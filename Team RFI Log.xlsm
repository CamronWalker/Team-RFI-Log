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G:\SU Project Files\S590 St George Temple CONST\RFIs\Team-RFI-Log\"/>
    </mc:Choice>
  </mc:AlternateContent>
  <xr:revisionPtr revIDLastSave="0" documentId="13_ncr:1_{9D2F3328-03F5-4558-B071-A9097C28703D}" xr6:coauthVersionLast="45" xr6:coauthVersionMax="45" xr10:uidLastSave="{00000000-0000-0000-0000-000000000000}"/>
  <bookViews>
    <workbookView xWindow="-110" yWindow="-110" windowWidth="38620" windowHeight="21220" activeTab="1" xr2:uid="{791B15CC-68B2-4D54-B53E-4FED7E26F6F4}"/>
  </bookViews>
  <sheets>
    <sheet name="Import" sheetId="5" r:id="rId1"/>
    <sheet name="Monthly Report" sheetId="6" r:id="rId2"/>
    <sheet name="Sheet1" sheetId="7" r:id="rId3"/>
    <sheet name="OAC Log" sheetId="1" r:id="rId4"/>
    <sheet name="Posting Log" sheetId="2" r:id="rId5"/>
  </sheets>
  <functionGroups builtInGroupCount="19"/>
  <definedNames>
    <definedName name="ExternalData_1" localSheetId="0" hidden="1">Import!$A$1:$AE$895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 i="6" l="1"/>
  <c r="D11" i="6"/>
  <c r="AG659" i="5" l="1"/>
  <c r="AG660" i="5"/>
  <c r="AG661" i="5"/>
  <c r="AG662" i="5"/>
  <c r="AG663" i="5"/>
  <c r="AG664" i="5"/>
  <c r="AG665" i="5"/>
  <c r="AG666" i="5"/>
  <c r="AG667" i="5"/>
  <c r="AG668" i="5"/>
  <c r="AG669" i="5"/>
  <c r="AG650" i="5" l="1"/>
  <c r="AG651" i="5"/>
  <c r="AG652" i="5"/>
  <c r="AG653" i="5"/>
  <c r="AG654" i="5"/>
  <c r="AG655" i="5"/>
  <c r="AG656" i="5"/>
  <c r="AG657" i="5"/>
  <c r="AG658" i="5"/>
  <c r="F2" i="7" l="1"/>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A609" i="7"/>
  <c r="A610" i="7"/>
  <c r="A611" i="7"/>
  <c r="A612" i="7"/>
  <c r="A613" i="7"/>
  <c r="A614" i="7"/>
  <c r="A615" i="7"/>
  <c r="A616" i="7"/>
  <c r="A617" i="7"/>
  <c r="A618" i="7"/>
  <c r="A619" i="7"/>
  <c r="A620" i="7"/>
  <c r="A621" i="7"/>
  <c r="A622" i="7"/>
  <c r="A623" i="7"/>
  <c r="A624" i="7"/>
  <c r="A625" i="7"/>
  <c r="A626" i="7"/>
  <c r="A627" i="7"/>
  <c r="A628" i="7"/>
  <c r="A629" i="7"/>
  <c r="A630" i="7"/>
  <c r="A631" i="7"/>
  <c r="A632" i="7"/>
  <c r="A633" i="7"/>
  <c r="A634" i="7"/>
  <c r="A635" i="7"/>
  <c r="A636" i="7"/>
  <c r="A637" i="7"/>
  <c r="A638" i="7"/>
  <c r="A639" i="7"/>
  <c r="A640" i="7"/>
  <c r="A641" i="7"/>
  <c r="A642" i="7"/>
  <c r="A643" i="7"/>
  <c r="A644" i="7"/>
  <c r="A645" i="7"/>
  <c r="A646" i="7"/>
  <c r="A647" i="7"/>
  <c r="A648" i="7"/>
  <c r="A649"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D609" i="7"/>
  <c r="E609" i="7" s="1"/>
  <c r="D610" i="7"/>
  <c r="E610" i="7" s="1"/>
  <c r="D611" i="7"/>
  <c r="E611" i="7" s="1"/>
  <c r="D612" i="7"/>
  <c r="E612" i="7" s="1"/>
  <c r="D613" i="7"/>
  <c r="E613" i="7" s="1"/>
  <c r="D614" i="7"/>
  <c r="E614" i="7" s="1"/>
  <c r="D615" i="7"/>
  <c r="E615" i="7" s="1"/>
  <c r="D616" i="7"/>
  <c r="E616" i="7" s="1"/>
  <c r="D617" i="7"/>
  <c r="E617" i="7" s="1"/>
  <c r="D618" i="7"/>
  <c r="E618" i="7" s="1"/>
  <c r="D619" i="7"/>
  <c r="E619" i="7" s="1"/>
  <c r="D620" i="7"/>
  <c r="E620" i="7" s="1"/>
  <c r="D621" i="7"/>
  <c r="E621" i="7" s="1"/>
  <c r="D622" i="7"/>
  <c r="E622" i="7" s="1"/>
  <c r="D623" i="7"/>
  <c r="E623" i="7" s="1"/>
  <c r="D624" i="7"/>
  <c r="E624" i="7" s="1"/>
  <c r="D625" i="7"/>
  <c r="E625" i="7" s="1"/>
  <c r="D626" i="7"/>
  <c r="E626" i="7" s="1"/>
  <c r="D627" i="7"/>
  <c r="E627" i="7" s="1"/>
  <c r="D628" i="7"/>
  <c r="E628" i="7" s="1"/>
  <c r="D629" i="7"/>
  <c r="E629" i="7" s="1"/>
  <c r="D630" i="7"/>
  <c r="E630" i="7" s="1"/>
  <c r="D631" i="7"/>
  <c r="E631" i="7" s="1"/>
  <c r="D632" i="7"/>
  <c r="E632" i="7" s="1"/>
  <c r="D633" i="7"/>
  <c r="E633" i="7" s="1"/>
  <c r="D634" i="7"/>
  <c r="E634" i="7" s="1"/>
  <c r="D635" i="7"/>
  <c r="E635" i="7" s="1"/>
  <c r="D636" i="7"/>
  <c r="E636" i="7" s="1"/>
  <c r="D637" i="7"/>
  <c r="E637" i="7" s="1"/>
  <c r="D638" i="7"/>
  <c r="E638" i="7" s="1"/>
  <c r="D639" i="7"/>
  <c r="E639" i="7" s="1"/>
  <c r="D640" i="7"/>
  <c r="E640" i="7" s="1"/>
  <c r="D641" i="7"/>
  <c r="E641" i="7" s="1"/>
  <c r="D642" i="7"/>
  <c r="E642" i="7" s="1"/>
  <c r="D643" i="7"/>
  <c r="E643" i="7" s="1"/>
  <c r="D644" i="7"/>
  <c r="E644" i="7" s="1"/>
  <c r="D645" i="7"/>
  <c r="E645" i="7" s="1"/>
  <c r="D646" i="7"/>
  <c r="E646" i="7" s="1"/>
  <c r="D647" i="7"/>
  <c r="E647" i="7" s="1"/>
  <c r="D648" i="7"/>
  <c r="E648" i="7" s="1"/>
  <c r="D649" i="7"/>
  <c r="E649" i="7" s="1"/>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A542" i="7"/>
  <c r="A543" i="7"/>
  <c r="A544" i="7"/>
  <c r="A545" i="7"/>
  <c r="A546" i="7"/>
  <c r="A547" i="7"/>
  <c r="A548" i="7"/>
  <c r="A549" i="7"/>
  <c r="A550" i="7"/>
  <c r="A551" i="7"/>
  <c r="A552" i="7"/>
  <c r="A553" i="7"/>
  <c r="A554" i="7"/>
  <c r="A555" i="7"/>
  <c r="A556" i="7"/>
  <c r="A557" i="7"/>
  <c r="A558" i="7"/>
  <c r="A559" i="7"/>
  <c r="A560" i="7"/>
  <c r="A561" i="7"/>
  <c r="A562" i="7"/>
  <c r="A563" i="7"/>
  <c r="A564" i="7"/>
  <c r="A565" i="7"/>
  <c r="A566" i="7"/>
  <c r="A567" i="7"/>
  <c r="A568" i="7"/>
  <c r="A569" i="7"/>
  <c r="A570" i="7"/>
  <c r="A571" i="7"/>
  <c r="A572" i="7"/>
  <c r="A573" i="7"/>
  <c r="A574" i="7"/>
  <c r="A575" i="7"/>
  <c r="A576" i="7"/>
  <c r="A577" i="7"/>
  <c r="A578" i="7"/>
  <c r="A579" i="7"/>
  <c r="A580" i="7"/>
  <c r="A581" i="7"/>
  <c r="A582" i="7"/>
  <c r="A583" i="7"/>
  <c r="A584" i="7"/>
  <c r="A585" i="7"/>
  <c r="A586" i="7"/>
  <c r="A587" i="7"/>
  <c r="A588" i="7"/>
  <c r="A589" i="7"/>
  <c r="A590" i="7"/>
  <c r="A591" i="7"/>
  <c r="A592" i="7"/>
  <c r="A593" i="7"/>
  <c r="A594" i="7"/>
  <c r="A595" i="7"/>
  <c r="A596" i="7"/>
  <c r="A597" i="7"/>
  <c r="A598" i="7"/>
  <c r="A599" i="7"/>
  <c r="A600" i="7"/>
  <c r="A601" i="7"/>
  <c r="A602" i="7"/>
  <c r="A603" i="7"/>
  <c r="A604" i="7"/>
  <c r="A605" i="7"/>
  <c r="A606" i="7"/>
  <c r="A607" i="7"/>
  <c r="A608"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D542" i="7"/>
  <c r="E542" i="7" s="1"/>
  <c r="D543" i="7"/>
  <c r="E543" i="7" s="1"/>
  <c r="D544" i="7"/>
  <c r="E544" i="7" s="1"/>
  <c r="D545" i="7"/>
  <c r="E545" i="7" s="1"/>
  <c r="D546" i="7"/>
  <c r="E546" i="7" s="1"/>
  <c r="D547" i="7"/>
  <c r="E547" i="7" s="1"/>
  <c r="D548" i="7"/>
  <c r="E548" i="7" s="1"/>
  <c r="D549" i="7"/>
  <c r="E549" i="7" s="1"/>
  <c r="D550" i="7"/>
  <c r="E550" i="7" s="1"/>
  <c r="D551" i="7"/>
  <c r="E551" i="7" s="1"/>
  <c r="D552" i="7"/>
  <c r="E552" i="7" s="1"/>
  <c r="D553" i="7"/>
  <c r="E553" i="7" s="1"/>
  <c r="D554" i="7"/>
  <c r="E554" i="7" s="1"/>
  <c r="D555" i="7"/>
  <c r="E555" i="7" s="1"/>
  <c r="D556" i="7"/>
  <c r="E556" i="7" s="1"/>
  <c r="D557" i="7"/>
  <c r="E557" i="7" s="1"/>
  <c r="D558" i="7"/>
  <c r="E558" i="7" s="1"/>
  <c r="D559" i="7"/>
  <c r="E559" i="7" s="1"/>
  <c r="D560" i="7"/>
  <c r="E560" i="7" s="1"/>
  <c r="D561" i="7"/>
  <c r="E561" i="7" s="1"/>
  <c r="D562" i="7"/>
  <c r="E562" i="7" s="1"/>
  <c r="D563" i="7"/>
  <c r="E563" i="7" s="1"/>
  <c r="D564" i="7"/>
  <c r="E564" i="7" s="1"/>
  <c r="D565" i="7"/>
  <c r="E565" i="7" s="1"/>
  <c r="D566" i="7"/>
  <c r="E566" i="7" s="1"/>
  <c r="D567" i="7"/>
  <c r="E567" i="7" s="1"/>
  <c r="D568" i="7"/>
  <c r="E568" i="7" s="1"/>
  <c r="D569" i="7"/>
  <c r="E569" i="7" s="1"/>
  <c r="D570" i="7"/>
  <c r="E570" i="7" s="1"/>
  <c r="D571" i="7"/>
  <c r="E571" i="7" s="1"/>
  <c r="D572" i="7"/>
  <c r="E572" i="7" s="1"/>
  <c r="D573" i="7"/>
  <c r="E573" i="7" s="1"/>
  <c r="D574" i="7"/>
  <c r="E574" i="7" s="1"/>
  <c r="D575" i="7"/>
  <c r="E575" i="7" s="1"/>
  <c r="D576" i="7"/>
  <c r="E576" i="7" s="1"/>
  <c r="D577" i="7"/>
  <c r="E577" i="7" s="1"/>
  <c r="D578" i="7"/>
  <c r="E578" i="7" s="1"/>
  <c r="D579" i="7"/>
  <c r="E579" i="7" s="1"/>
  <c r="D580" i="7"/>
  <c r="E580" i="7" s="1"/>
  <c r="D581" i="7"/>
  <c r="E581" i="7" s="1"/>
  <c r="D582" i="7"/>
  <c r="E582" i="7" s="1"/>
  <c r="D583" i="7"/>
  <c r="E583" i="7" s="1"/>
  <c r="D584" i="7"/>
  <c r="E584" i="7" s="1"/>
  <c r="D585" i="7"/>
  <c r="E585" i="7" s="1"/>
  <c r="D586" i="7"/>
  <c r="E586" i="7" s="1"/>
  <c r="D587" i="7"/>
  <c r="E587" i="7" s="1"/>
  <c r="D588" i="7"/>
  <c r="E588" i="7" s="1"/>
  <c r="D589" i="7"/>
  <c r="E589" i="7" s="1"/>
  <c r="D590" i="7"/>
  <c r="E590" i="7" s="1"/>
  <c r="D591" i="7"/>
  <c r="E591" i="7" s="1"/>
  <c r="D592" i="7"/>
  <c r="E592" i="7" s="1"/>
  <c r="D593" i="7"/>
  <c r="E593" i="7" s="1"/>
  <c r="D594" i="7"/>
  <c r="E594" i="7" s="1"/>
  <c r="D595" i="7"/>
  <c r="E595" i="7" s="1"/>
  <c r="D596" i="7"/>
  <c r="E596" i="7" s="1"/>
  <c r="D597" i="7"/>
  <c r="E597" i="7" s="1"/>
  <c r="D598" i="7"/>
  <c r="E598" i="7" s="1"/>
  <c r="D599" i="7"/>
  <c r="E599" i="7" s="1"/>
  <c r="D600" i="7"/>
  <c r="E600" i="7" s="1"/>
  <c r="D601" i="7"/>
  <c r="E601" i="7" s="1"/>
  <c r="D602" i="7"/>
  <c r="E602" i="7" s="1"/>
  <c r="D603" i="7"/>
  <c r="E603" i="7" s="1"/>
  <c r="D604" i="7"/>
  <c r="E604" i="7" s="1"/>
  <c r="D605" i="7"/>
  <c r="E605" i="7" s="1"/>
  <c r="D606" i="7"/>
  <c r="E606" i="7" s="1"/>
  <c r="D607" i="7"/>
  <c r="E607" i="7" s="1"/>
  <c r="D608" i="7"/>
  <c r="E608" i="7" s="1"/>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A512" i="7"/>
  <c r="A513" i="7"/>
  <c r="A514" i="7"/>
  <c r="A515" i="7"/>
  <c r="A516" i="7"/>
  <c r="A517" i="7"/>
  <c r="A518" i="7"/>
  <c r="A519" i="7"/>
  <c r="A520" i="7"/>
  <c r="A521" i="7"/>
  <c r="A522" i="7"/>
  <c r="A523" i="7"/>
  <c r="A524" i="7"/>
  <c r="A525" i="7"/>
  <c r="A526" i="7"/>
  <c r="A527" i="7"/>
  <c r="A528" i="7"/>
  <c r="A529" i="7"/>
  <c r="A530" i="7"/>
  <c r="A531" i="7"/>
  <c r="A532" i="7"/>
  <c r="A533" i="7"/>
  <c r="A534" i="7"/>
  <c r="A535" i="7"/>
  <c r="A536" i="7"/>
  <c r="A537" i="7"/>
  <c r="A538" i="7"/>
  <c r="A539" i="7"/>
  <c r="A540" i="7"/>
  <c r="A54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D512" i="7"/>
  <c r="E512" i="7" s="1"/>
  <c r="D513" i="7"/>
  <c r="E513" i="7" s="1"/>
  <c r="D514" i="7"/>
  <c r="E514" i="7" s="1"/>
  <c r="D515" i="7"/>
  <c r="E515" i="7" s="1"/>
  <c r="D516" i="7"/>
  <c r="E516" i="7" s="1"/>
  <c r="D517" i="7"/>
  <c r="E517" i="7" s="1"/>
  <c r="D518" i="7"/>
  <c r="E518" i="7" s="1"/>
  <c r="D519" i="7"/>
  <c r="E519" i="7" s="1"/>
  <c r="D520" i="7"/>
  <c r="E520" i="7" s="1"/>
  <c r="D521" i="7"/>
  <c r="E521" i="7" s="1"/>
  <c r="D522" i="7"/>
  <c r="E522" i="7" s="1"/>
  <c r="D523" i="7"/>
  <c r="E523" i="7" s="1"/>
  <c r="D524" i="7"/>
  <c r="E524" i="7" s="1"/>
  <c r="D525" i="7"/>
  <c r="E525" i="7" s="1"/>
  <c r="D526" i="7"/>
  <c r="E526" i="7" s="1"/>
  <c r="D527" i="7"/>
  <c r="E527" i="7" s="1"/>
  <c r="D528" i="7"/>
  <c r="E528" i="7" s="1"/>
  <c r="D529" i="7"/>
  <c r="E529" i="7" s="1"/>
  <c r="D530" i="7"/>
  <c r="E530" i="7" s="1"/>
  <c r="D531" i="7"/>
  <c r="E531" i="7" s="1"/>
  <c r="D532" i="7"/>
  <c r="E532" i="7" s="1"/>
  <c r="D533" i="7"/>
  <c r="E533" i="7" s="1"/>
  <c r="D534" i="7"/>
  <c r="E534" i="7" s="1"/>
  <c r="D535" i="7"/>
  <c r="E535" i="7" s="1"/>
  <c r="D536" i="7"/>
  <c r="E536" i="7" s="1"/>
  <c r="D537" i="7"/>
  <c r="E537" i="7" s="1"/>
  <c r="D538" i="7"/>
  <c r="E538" i="7" s="1"/>
  <c r="D539" i="7"/>
  <c r="E539" i="7" s="1"/>
  <c r="D540" i="7"/>
  <c r="E540" i="7" s="1"/>
  <c r="D541" i="7"/>
  <c r="E541" i="7" s="1"/>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A385" i="7"/>
  <c r="A386" i="7"/>
  <c r="A387" i="7"/>
  <c r="A388" i="7"/>
  <c r="A389" i="7"/>
  <c r="A390" i="7"/>
  <c r="A391" i="7"/>
  <c r="A392" i="7"/>
  <c r="A393" i="7"/>
  <c r="A394" i="7"/>
  <c r="A395" i="7"/>
  <c r="A396" i="7"/>
  <c r="A397" i="7"/>
  <c r="A398" i="7"/>
  <c r="A399" i="7"/>
  <c r="A400" i="7"/>
  <c r="A401" i="7"/>
  <c r="A402" i="7"/>
  <c r="A403" i="7"/>
  <c r="A404" i="7"/>
  <c r="A405" i="7"/>
  <c r="A406" i="7"/>
  <c r="A407" i="7"/>
  <c r="A408" i="7"/>
  <c r="A409" i="7"/>
  <c r="A410" i="7"/>
  <c r="A411" i="7"/>
  <c r="A412" i="7"/>
  <c r="A413" i="7"/>
  <c r="A414" i="7"/>
  <c r="A415" i="7"/>
  <c r="A416" i="7"/>
  <c r="A417" i="7"/>
  <c r="A418" i="7"/>
  <c r="A419" i="7"/>
  <c r="A420" i="7"/>
  <c r="A421" i="7"/>
  <c r="A422" i="7"/>
  <c r="A423" i="7"/>
  <c r="A424" i="7"/>
  <c r="A425" i="7"/>
  <c r="A426" i="7"/>
  <c r="A427" i="7"/>
  <c r="A428" i="7"/>
  <c r="A429" i="7"/>
  <c r="A430" i="7"/>
  <c r="A431" i="7"/>
  <c r="A432" i="7"/>
  <c r="A433" i="7"/>
  <c r="A434" i="7"/>
  <c r="A435" i="7"/>
  <c r="A436" i="7"/>
  <c r="A437" i="7"/>
  <c r="A438" i="7"/>
  <c r="A439" i="7"/>
  <c r="A440" i="7"/>
  <c r="A441" i="7"/>
  <c r="A442" i="7"/>
  <c r="A443" i="7"/>
  <c r="A444" i="7"/>
  <c r="A445" i="7"/>
  <c r="A446" i="7"/>
  <c r="A447" i="7"/>
  <c r="A448" i="7"/>
  <c r="A449" i="7"/>
  <c r="A450" i="7"/>
  <c r="A451" i="7"/>
  <c r="A452" i="7"/>
  <c r="A453" i="7"/>
  <c r="A454" i="7"/>
  <c r="A455" i="7"/>
  <c r="A456" i="7"/>
  <c r="A457" i="7"/>
  <c r="A458" i="7"/>
  <c r="A459" i="7"/>
  <c r="A460" i="7"/>
  <c r="A461" i="7"/>
  <c r="A462" i="7"/>
  <c r="A463" i="7"/>
  <c r="A464" i="7"/>
  <c r="A465" i="7"/>
  <c r="A466" i="7"/>
  <c r="A467" i="7"/>
  <c r="A468" i="7"/>
  <c r="A469" i="7"/>
  <c r="A470" i="7"/>
  <c r="A471" i="7"/>
  <c r="A472" i="7"/>
  <c r="A473" i="7"/>
  <c r="A474" i="7"/>
  <c r="A475" i="7"/>
  <c r="A476" i="7"/>
  <c r="A477" i="7"/>
  <c r="A478" i="7"/>
  <c r="A479" i="7"/>
  <c r="A480" i="7"/>
  <c r="A481" i="7"/>
  <c r="A482" i="7"/>
  <c r="A483" i="7"/>
  <c r="A484" i="7"/>
  <c r="A485" i="7"/>
  <c r="A486" i="7"/>
  <c r="A487" i="7"/>
  <c r="A488" i="7"/>
  <c r="A489" i="7"/>
  <c r="A490" i="7"/>
  <c r="A491" i="7"/>
  <c r="A492" i="7"/>
  <c r="A493" i="7"/>
  <c r="A494" i="7"/>
  <c r="A495" i="7"/>
  <c r="A496" i="7"/>
  <c r="A497" i="7"/>
  <c r="A498" i="7"/>
  <c r="A499" i="7"/>
  <c r="A500" i="7"/>
  <c r="A501" i="7"/>
  <c r="A502" i="7"/>
  <c r="A503" i="7"/>
  <c r="A504" i="7"/>
  <c r="A505" i="7"/>
  <c r="A506" i="7"/>
  <c r="A507" i="7"/>
  <c r="A508" i="7"/>
  <c r="A509" i="7"/>
  <c r="A510" i="7"/>
  <c r="A511"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D3" i="7"/>
  <c r="E3" i="7" s="1"/>
  <c r="D4" i="7"/>
  <c r="E4" i="7" s="1"/>
  <c r="D5" i="7"/>
  <c r="E5" i="7" s="1"/>
  <c r="D6" i="7"/>
  <c r="E6" i="7" s="1"/>
  <c r="D7" i="7"/>
  <c r="E7" i="7" s="1"/>
  <c r="D8" i="7"/>
  <c r="E8" i="7" s="1"/>
  <c r="D9" i="7"/>
  <c r="E9" i="7" s="1"/>
  <c r="D10" i="7"/>
  <c r="E10" i="7" s="1"/>
  <c r="D11" i="7"/>
  <c r="E11" i="7" s="1"/>
  <c r="D12" i="7"/>
  <c r="E12" i="7" s="1"/>
  <c r="D13" i="7"/>
  <c r="E13" i="7" s="1"/>
  <c r="D14" i="7"/>
  <c r="E14" i="7" s="1"/>
  <c r="D15" i="7"/>
  <c r="E15" i="7" s="1"/>
  <c r="D16" i="7"/>
  <c r="E16" i="7" s="1"/>
  <c r="D17" i="7"/>
  <c r="E17" i="7" s="1"/>
  <c r="D18" i="7"/>
  <c r="E18" i="7" s="1"/>
  <c r="D19" i="7"/>
  <c r="E19" i="7" s="1"/>
  <c r="D20" i="7"/>
  <c r="E20" i="7" s="1"/>
  <c r="D21" i="7"/>
  <c r="E21" i="7" s="1"/>
  <c r="D22" i="7"/>
  <c r="E22" i="7" s="1"/>
  <c r="D23" i="7"/>
  <c r="E23" i="7" s="1"/>
  <c r="D24" i="7"/>
  <c r="E24" i="7" s="1"/>
  <c r="D25" i="7"/>
  <c r="E25" i="7" s="1"/>
  <c r="D26" i="7"/>
  <c r="E26" i="7" s="1"/>
  <c r="D27" i="7"/>
  <c r="E27" i="7" s="1"/>
  <c r="D28" i="7"/>
  <c r="E28" i="7" s="1"/>
  <c r="D29" i="7"/>
  <c r="E29" i="7" s="1"/>
  <c r="D30" i="7"/>
  <c r="E30" i="7" s="1"/>
  <c r="D31" i="7"/>
  <c r="E31" i="7" s="1"/>
  <c r="D32" i="7"/>
  <c r="E32" i="7" s="1"/>
  <c r="D33" i="7"/>
  <c r="E33" i="7" s="1"/>
  <c r="D34" i="7"/>
  <c r="E34" i="7" s="1"/>
  <c r="D35" i="7"/>
  <c r="E35" i="7" s="1"/>
  <c r="D36" i="7"/>
  <c r="E36" i="7" s="1"/>
  <c r="D37" i="7"/>
  <c r="E37" i="7" s="1"/>
  <c r="D38" i="7"/>
  <c r="E38" i="7" s="1"/>
  <c r="D39" i="7"/>
  <c r="E39" i="7" s="1"/>
  <c r="D40" i="7"/>
  <c r="E40" i="7" s="1"/>
  <c r="D41" i="7"/>
  <c r="E41" i="7" s="1"/>
  <c r="D42" i="7"/>
  <c r="E42" i="7" s="1"/>
  <c r="D43" i="7"/>
  <c r="E43" i="7" s="1"/>
  <c r="D44" i="7"/>
  <c r="E44" i="7" s="1"/>
  <c r="D45" i="7"/>
  <c r="E45" i="7" s="1"/>
  <c r="D46" i="7"/>
  <c r="E46" i="7" s="1"/>
  <c r="D47" i="7"/>
  <c r="E47" i="7" s="1"/>
  <c r="D48" i="7"/>
  <c r="E48" i="7" s="1"/>
  <c r="D49" i="7"/>
  <c r="E49" i="7" s="1"/>
  <c r="D50" i="7"/>
  <c r="E50" i="7" s="1"/>
  <c r="D51" i="7"/>
  <c r="E51" i="7" s="1"/>
  <c r="D52" i="7"/>
  <c r="E52" i="7" s="1"/>
  <c r="D53" i="7"/>
  <c r="E53" i="7" s="1"/>
  <c r="D54" i="7"/>
  <c r="E54" i="7" s="1"/>
  <c r="D55" i="7"/>
  <c r="E55" i="7" s="1"/>
  <c r="D56" i="7"/>
  <c r="E56" i="7" s="1"/>
  <c r="D57" i="7"/>
  <c r="E57" i="7" s="1"/>
  <c r="D58" i="7"/>
  <c r="E58" i="7" s="1"/>
  <c r="D59" i="7"/>
  <c r="E59" i="7" s="1"/>
  <c r="D60" i="7"/>
  <c r="E60" i="7" s="1"/>
  <c r="D61" i="7"/>
  <c r="E61" i="7" s="1"/>
  <c r="D62" i="7"/>
  <c r="E62" i="7" s="1"/>
  <c r="D63" i="7"/>
  <c r="E63" i="7" s="1"/>
  <c r="D64" i="7"/>
  <c r="E64" i="7" s="1"/>
  <c r="D65" i="7"/>
  <c r="E65" i="7" s="1"/>
  <c r="D66" i="7"/>
  <c r="E66" i="7" s="1"/>
  <c r="D67" i="7"/>
  <c r="E67" i="7" s="1"/>
  <c r="D68" i="7"/>
  <c r="E68" i="7" s="1"/>
  <c r="D69" i="7"/>
  <c r="E69" i="7" s="1"/>
  <c r="D70" i="7"/>
  <c r="E70" i="7" s="1"/>
  <c r="D71" i="7"/>
  <c r="E71" i="7" s="1"/>
  <c r="D72" i="7"/>
  <c r="E72" i="7" s="1"/>
  <c r="D73" i="7"/>
  <c r="E73" i="7" s="1"/>
  <c r="D74" i="7"/>
  <c r="E74" i="7" s="1"/>
  <c r="D75" i="7"/>
  <c r="E75" i="7" s="1"/>
  <c r="D76" i="7"/>
  <c r="E76" i="7" s="1"/>
  <c r="D77" i="7"/>
  <c r="E77" i="7" s="1"/>
  <c r="D78" i="7"/>
  <c r="E78" i="7" s="1"/>
  <c r="D79" i="7"/>
  <c r="E79" i="7" s="1"/>
  <c r="D80" i="7"/>
  <c r="E80" i="7" s="1"/>
  <c r="D81" i="7"/>
  <c r="E81" i="7" s="1"/>
  <c r="D82" i="7"/>
  <c r="E82" i="7" s="1"/>
  <c r="D83" i="7"/>
  <c r="E83" i="7" s="1"/>
  <c r="D84" i="7"/>
  <c r="E84" i="7" s="1"/>
  <c r="D85" i="7"/>
  <c r="E85" i="7" s="1"/>
  <c r="D86" i="7"/>
  <c r="E86" i="7" s="1"/>
  <c r="D87" i="7"/>
  <c r="E87" i="7" s="1"/>
  <c r="D88" i="7"/>
  <c r="E88" i="7" s="1"/>
  <c r="D89" i="7"/>
  <c r="E89" i="7" s="1"/>
  <c r="D90" i="7"/>
  <c r="E90" i="7" s="1"/>
  <c r="D91" i="7"/>
  <c r="E91" i="7" s="1"/>
  <c r="D92" i="7"/>
  <c r="E92" i="7" s="1"/>
  <c r="D93" i="7"/>
  <c r="E93" i="7" s="1"/>
  <c r="D94" i="7"/>
  <c r="E94" i="7" s="1"/>
  <c r="D95" i="7"/>
  <c r="E95" i="7" s="1"/>
  <c r="D96" i="7"/>
  <c r="E96" i="7" s="1"/>
  <c r="D97" i="7"/>
  <c r="E97" i="7" s="1"/>
  <c r="D98" i="7"/>
  <c r="E98" i="7" s="1"/>
  <c r="D99" i="7"/>
  <c r="E99" i="7" s="1"/>
  <c r="D100" i="7"/>
  <c r="E100" i="7" s="1"/>
  <c r="D101" i="7"/>
  <c r="E101" i="7" s="1"/>
  <c r="D102" i="7"/>
  <c r="E102" i="7" s="1"/>
  <c r="D103" i="7"/>
  <c r="E103" i="7" s="1"/>
  <c r="D104" i="7"/>
  <c r="E104" i="7" s="1"/>
  <c r="D105" i="7"/>
  <c r="E105" i="7" s="1"/>
  <c r="D106" i="7"/>
  <c r="E106" i="7" s="1"/>
  <c r="D107" i="7"/>
  <c r="E107" i="7" s="1"/>
  <c r="D108" i="7"/>
  <c r="E108" i="7" s="1"/>
  <c r="D109" i="7"/>
  <c r="E109" i="7" s="1"/>
  <c r="D110" i="7"/>
  <c r="E110" i="7" s="1"/>
  <c r="D111" i="7"/>
  <c r="E111" i="7" s="1"/>
  <c r="D112" i="7"/>
  <c r="E112" i="7" s="1"/>
  <c r="D113" i="7"/>
  <c r="E113" i="7" s="1"/>
  <c r="D114" i="7"/>
  <c r="E114" i="7" s="1"/>
  <c r="D115" i="7"/>
  <c r="E115" i="7" s="1"/>
  <c r="D116" i="7"/>
  <c r="E116" i="7" s="1"/>
  <c r="D117" i="7"/>
  <c r="E117" i="7" s="1"/>
  <c r="D118" i="7"/>
  <c r="E118" i="7" s="1"/>
  <c r="D119" i="7"/>
  <c r="E119" i="7" s="1"/>
  <c r="D120" i="7"/>
  <c r="E120" i="7" s="1"/>
  <c r="D121" i="7"/>
  <c r="E121" i="7" s="1"/>
  <c r="D122" i="7"/>
  <c r="E122" i="7" s="1"/>
  <c r="D123" i="7"/>
  <c r="E123" i="7" s="1"/>
  <c r="D124" i="7"/>
  <c r="E124" i="7" s="1"/>
  <c r="D125" i="7"/>
  <c r="E125" i="7" s="1"/>
  <c r="D126" i="7"/>
  <c r="E126" i="7" s="1"/>
  <c r="D127" i="7"/>
  <c r="E127" i="7" s="1"/>
  <c r="D128" i="7"/>
  <c r="E128" i="7" s="1"/>
  <c r="D129" i="7"/>
  <c r="E129" i="7" s="1"/>
  <c r="D130" i="7"/>
  <c r="E130" i="7" s="1"/>
  <c r="D131" i="7"/>
  <c r="E131" i="7" s="1"/>
  <c r="D132" i="7"/>
  <c r="E132" i="7" s="1"/>
  <c r="D133" i="7"/>
  <c r="E133" i="7" s="1"/>
  <c r="D134" i="7"/>
  <c r="E134" i="7" s="1"/>
  <c r="D135" i="7"/>
  <c r="E135" i="7" s="1"/>
  <c r="D136" i="7"/>
  <c r="E136" i="7" s="1"/>
  <c r="D137" i="7"/>
  <c r="E137" i="7" s="1"/>
  <c r="D138" i="7"/>
  <c r="E138" i="7" s="1"/>
  <c r="D139" i="7"/>
  <c r="E139" i="7" s="1"/>
  <c r="D140" i="7"/>
  <c r="E140" i="7" s="1"/>
  <c r="D141" i="7"/>
  <c r="E141" i="7" s="1"/>
  <c r="D142" i="7"/>
  <c r="E142" i="7" s="1"/>
  <c r="D143" i="7"/>
  <c r="E143" i="7" s="1"/>
  <c r="D144" i="7"/>
  <c r="E144" i="7" s="1"/>
  <c r="D145" i="7"/>
  <c r="E145" i="7" s="1"/>
  <c r="D146" i="7"/>
  <c r="E146" i="7" s="1"/>
  <c r="D147" i="7"/>
  <c r="E147" i="7" s="1"/>
  <c r="D148" i="7"/>
  <c r="E148" i="7" s="1"/>
  <c r="D149" i="7"/>
  <c r="E149" i="7" s="1"/>
  <c r="D150" i="7"/>
  <c r="E150" i="7" s="1"/>
  <c r="D151" i="7"/>
  <c r="E151" i="7" s="1"/>
  <c r="D152" i="7"/>
  <c r="E152" i="7" s="1"/>
  <c r="D153" i="7"/>
  <c r="E153" i="7" s="1"/>
  <c r="D154" i="7"/>
  <c r="E154" i="7" s="1"/>
  <c r="D155" i="7"/>
  <c r="E155" i="7" s="1"/>
  <c r="D156" i="7"/>
  <c r="E156" i="7" s="1"/>
  <c r="D157" i="7"/>
  <c r="E157" i="7" s="1"/>
  <c r="D158" i="7"/>
  <c r="E158" i="7" s="1"/>
  <c r="D159" i="7"/>
  <c r="E159" i="7" s="1"/>
  <c r="D160" i="7"/>
  <c r="E160" i="7" s="1"/>
  <c r="D161" i="7"/>
  <c r="E161" i="7" s="1"/>
  <c r="D162" i="7"/>
  <c r="E162" i="7" s="1"/>
  <c r="D163" i="7"/>
  <c r="E163" i="7" s="1"/>
  <c r="D164" i="7"/>
  <c r="E164" i="7" s="1"/>
  <c r="D165" i="7"/>
  <c r="E165" i="7" s="1"/>
  <c r="D166" i="7"/>
  <c r="E166" i="7" s="1"/>
  <c r="D167" i="7"/>
  <c r="E167" i="7" s="1"/>
  <c r="D168" i="7"/>
  <c r="E168" i="7" s="1"/>
  <c r="D169" i="7"/>
  <c r="E169" i="7" s="1"/>
  <c r="D170" i="7"/>
  <c r="E170" i="7" s="1"/>
  <c r="D171" i="7"/>
  <c r="E171" i="7" s="1"/>
  <c r="D172" i="7"/>
  <c r="E172" i="7" s="1"/>
  <c r="D173" i="7"/>
  <c r="E173" i="7" s="1"/>
  <c r="D174" i="7"/>
  <c r="E174" i="7" s="1"/>
  <c r="D175" i="7"/>
  <c r="E175" i="7" s="1"/>
  <c r="D176" i="7"/>
  <c r="E176" i="7" s="1"/>
  <c r="D177" i="7"/>
  <c r="E177" i="7" s="1"/>
  <c r="D178" i="7"/>
  <c r="E178" i="7" s="1"/>
  <c r="D179" i="7"/>
  <c r="E179" i="7" s="1"/>
  <c r="D180" i="7"/>
  <c r="E180" i="7" s="1"/>
  <c r="D181" i="7"/>
  <c r="E181" i="7" s="1"/>
  <c r="D182" i="7"/>
  <c r="E182" i="7" s="1"/>
  <c r="D183" i="7"/>
  <c r="E183" i="7" s="1"/>
  <c r="D184" i="7"/>
  <c r="E184" i="7" s="1"/>
  <c r="D185" i="7"/>
  <c r="E185" i="7" s="1"/>
  <c r="D186" i="7"/>
  <c r="E186" i="7" s="1"/>
  <c r="D187" i="7"/>
  <c r="E187" i="7" s="1"/>
  <c r="D188" i="7"/>
  <c r="E188" i="7" s="1"/>
  <c r="D189" i="7"/>
  <c r="E189" i="7" s="1"/>
  <c r="D190" i="7"/>
  <c r="E190" i="7" s="1"/>
  <c r="D191" i="7"/>
  <c r="E191" i="7" s="1"/>
  <c r="D192" i="7"/>
  <c r="E192" i="7" s="1"/>
  <c r="D193" i="7"/>
  <c r="E193" i="7" s="1"/>
  <c r="D194" i="7"/>
  <c r="E194" i="7" s="1"/>
  <c r="D195" i="7"/>
  <c r="E195" i="7" s="1"/>
  <c r="D196" i="7"/>
  <c r="E196" i="7" s="1"/>
  <c r="D197" i="7"/>
  <c r="E197" i="7" s="1"/>
  <c r="D198" i="7"/>
  <c r="E198" i="7" s="1"/>
  <c r="D199" i="7"/>
  <c r="E199" i="7" s="1"/>
  <c r="D200" i="7"/>
  <c r="E200" i="7" s="1"/>
  <c r="D201" i="7"/>
  <c r="E201" i="7" s="1"/>
  <c r="D202" i="7"/>
  <c r="E202" i="7" s="1"/>
  <c r="D203" i="7"/>
  <c r="E203" i="7" s="1"/>
  <c r="D204" i="7"/>
  <c r="E204" i="7" s="1"/>
  <c r="D205" i="7"/>
  <c r="E205" i="7" s="1"/>
  <c r="D206" i="7"/>
  <c r="E206" i="7" s="1"/>
  <c r="D207" i="7"/>
  <c r="E207" i="7" s="1"/>
  <c r="D208" i="7"/>
  <c r="E208" i="7" s="1"/>
  <c r="D209" i="7"/>
  <c r="E209" i="7" s="1"/>
  <c r="D210" i="7"/>
  <c r="E210" i="7" s="1"/>
  <c r="D211" i="7"/>
  <c r="E211" i="7" s="1"/>
  <c r="D212" i="7"/>
  <c r="E212" i="7" s="1"/>
  <c r="D213" i="7"/>
  <c r="E213" i="7" s="1"/>
  <c r="D214" i="7"/>
  <c r="E214" i="7" s="1"/>
  <c r="D215" i="7"/>
  <c r="E215" i="7" s="1"/>
  <c r="D216" i="7"/>
  <c r="E216" i="7" s="1"/>
  <c r="D217" i="7"/>
  <c r="E217" i="7" s="1"/>
  <c r="D218" i="7"/>
  <c r="E218" i="7" s="1"/>
  <c r="D219" i="7"/>
  <c r="E219" i="7" s="1"/>
  <c r="D220" i="7"/>
  <c r="E220" i="7" s="1"/>
  <c r="D221" i="7"/>
  <c r="E221" i="7" s="1"/>
  <c r="D222" i="7"/>
  <c r="E222" i="7" s="1"/>
  <c r="D223" i="7"/>
  <c r="E223" i="7" s="1"/>
  <c r="D224" i="7"/>
  <c r="E224" i="7" s="1"/>
  <c r="D225" i="7"/>
  <c r="E225" i="7" s="1"/>
  <c r="D226" i="7"/>
  <c r="E226" i="7" s="1"/>
  <c r="D227" i="7"/>
  <c r="E227" i="7" s="1"/>
  <c r="D228" i="7"/>
  <c r="E228" i="7" s="1"/>
  <c r="D229" i="7"/>
  <c r="E229" i="7" s="1"/>
  <c r="D230" i="7"/>
  <c r="E230" i="7" s="1"/>
  <c r="D231" i="7"/>
  <c r="E231" i="7" s="1"/>
  <c r="D232" i="7"/>
  <c r="E232" i="7" s="1"/>
  <c r="D233" i="7"/>
  <c r="E233" i="7" s="1"/>
  <c r="D234" i="7"/>
  <c r="E234" i="7" s="1"/>
  <c r="D235" i="7"/>
  <c r="E235" i="7" s="1"/>
  <c r="D236" i="7"/>
  <c r="E236" i="7" s="1"/>
  <c r="D237" i="7"/>
  <c r="E237" i="7" s="1"/>
  <c r="D238" i="7"/>
  <c r="E238" i="7" s="1"/>
  <c r="D239" i="7"/>
  <c r="E239" i="7" s="1"/>
  <c r="D240" i="7"/>
  <c r="E240" i="7" s="1"/>
  <c r="D241" i="7"/>
  <c r="E241" i="7" s="1"/>
  <c r="D242" i="7"/>
  <c r="E242" i="7" s="1"/>
  <c r="D243" i="7"/>
  <c r="E243" i="7" s="1"/>
  <c r="D244" i="7"/>
  <c r="E244" i="7" s="1"/>
  <c r="D245" i="7"/>
  <c r="E245" i="7" s="1"/>
  <c r="D246" i="7"/>
  <c r="E246" i="7" s="1"/>
  <c r="D247" i="7"/>
  <c r="E247" i="7" s="1"/>
  <c r="D248" i="7"/>
  <c r="E248" i="7" s="1"/>
  <c r="D249" i="7"/>
  <c r="E249" i="7" s="1"/>
  <c r="D250" i="7"/>
  <c r="E250" i="7" s="1"/>
  <c r="D251" i="7"/>
  <c r="E251" i="7" s="1"/>
  <c r="D252" i="7"/>
  <c r="E252" i="7" s="1"/>
  <c r="D253" i="7"/>
  <c r="E253" i="7" s="1"/>
  <c r="D254" i="7"/>
  <c r="E254" i="7" s="1"/>
  <c r="D255" i="7"/>
  <c r="E255" i="7" s="1"/>
  <c r="D256" i="7"/>
  <c r="E256" i="7" s="1"/>
  <c r="D257" i="7"/>
  <c r="E257" i="7" s="1"/>
  <c r="D258" i="7"/>
  <c r="E258" i="7" s="1"/>
  <c r="D259" i="7"/>
  <c r="E259" i="7" s="1"/>
  <c r="D260" i="7"/>
  <c r="E260" i="7" s="1"/>
  <c r="D261" i="7"/>
  <c r="E261" i="7" s="1"/>
  <c r="D262" i="7"/>
  <c r="E262" i="7" s="1"/>
  <c r="D263" i="7"/>
  <c r="E263" i="7" s="1"/>
  <c r="D264" i="7"/>
  <c r="E264" i="7" s="1"/>
  <c r="D265" i="7"/>
  <c r="E265" i="7" s="1"/>
  <c r="D266" i="7"/>
  <c r="E266" i="7" s="1"/>
  <c r="D267" i="7"/>
  <c r="E267" i="7" s="1"/>
  <c r="D268" i="7"/>
  <c r="E268" i="7" s="1"/>
  <c r="D269" i="7"/>
  <c r="E269" i="7" s="1"/>
  <c r="D270" i="7"/>
  <c r="E270" i="7" s="1"/>
  <c r="D271" i="7"/>
  <c r="E271" i="7" s="1"/>
  <c r="D272" i="7"/>
  <c r="E272" i="7" s="1"/>
  <c r="D273" i="7"/>
  <c r="E273" i="7" s="1"/>
  <c r="D274" i="7"/>
  <c r="E274" i="7" s="1"/>
  <c r="D275" i="7"/>
  <c r="E275" i="7" s="1"/>
  <c r="D276" i="7"/>
  <c r="E276" i="7" s="1"/>
  <c r="D277" i="7"/>
  <c r="E277" i="7" s="1"/>
  <c r="D278" i="7"/>
  <c r="E278" i="7" s="1"/>
  <c r="D279" i="7"/>
  <c r="E279" i="7" s="1"/>
  <c r="D280" i="7"/>
  <c r="E280" i="7" s="1"/>
  <c r="D281" i="7"/>
  <c r="E281" i="7" s="1"/>
  <c r="D282" i="7"/>
  <c r="E282" i="7" s="1"/>
  <c r="D283" i="7"/>
  <c r="E283" i="7" s="1"/>
  <c r="D284" i="7"/>
  <c r="E284" i="7" s="1"/>
  <c r="D285" i="7"/>
  <c r="E285" i="7" s="1"/>
  <c r="D286" i="7"/>
  <c r="E286" i="7" s="1"/>
  <c r="D287" i="7"/>
  <c r="E287" i="7" s="1"/>
  <c r="D288" i="7"/>
  <c r="E288" i="7" s="1"/>
  <c r="D289" i="7"/>
  <c r="E289" i="7" s="1"/>
  <c r="D290" i="7"/>
  <c r="E290" i="7" s="1"/>
  <c r="D291" i="7"/>
  <c r="E291" i="7" s="1"/>
  <c r="D292" i="7"/>
  <c r="E292" i="7" s="1"/>
  <c r="D293" i="7"/>
  <c r="E293" i="7" s="1"/>
  <c r="D294" i="7"/>
  <c r="E294" i="7" s="1"/>
  <c r="D295" i="7"/>
  <c r="E295" i="7" s="1"/>
  <c r="D296" i="7"/>
  <c r="E296" i="7" s="1"/>
  <c r="D297" i="7"/>
  <c r="E297" i="7" s="1"/>
  <c r="D298" i="7"/>
  <c r="E298" i="7" s="1"/>
  <c r="D299" i="7"/>
  <c r="E299" i="7" s="1"/>
  <c r="D300" i="7"/>
  <c r="E300" i="7" s="1"/>
  <c r="D301" i="7"/>
  <c r="E301" i="7" s="1"/>
  <c r="D302" i="7"/>
  <c r="E302" i="7" s="1"/>
  <c r="D303" i="7"/>
  <c r="E303" i="7" s="1"/>
  <c r="D304" i="7"/>
  <c r="E304" i="7" s="1"/>
  <c r="D305" i="7"/>
  <c r="E305" i="7" s="1"/>
  <c r="D306" i="7"/>
  <c r="E306" i="7" s="1"/>
  <c r="D307" i="7"/>
  <c r="E307" i="7" s="1"/>
  <c r="D308" i="7"/>
  <c r="E308" i="7" s="1"/>
  <c r="D309" i="7"/>
  <c r="E309" i="7" s="1"/>
  <c r="D310" i="7"/>
  <c r="E310" i="7" s="1"/>
  <c r="D311" i="7"/>
  <c r="E311" i="7" s="1"/>
  <c r="D312" i="7"/>
  <c r="E312" i="7" s="1"/>
  <c r="D313" i="7"/>
  <c r="E313" i="7" s="1"/>
  <c r="D314" i="7"/>
  <c r="E314" i="7" s="1"/>
  <c r="D315" i="7"/>
  <c r="E315" i="7" s="1"/>
  <c r="D316" i="7"/>
  <c r="E316" i="7" s="1"/>
  <c r="D317" i="7"/>
  <c r="E317" i="7" s="1"/>
  <c r="D318" i="7"/>
  <c r="E318" i="7" s="1"/>
  <c r="D319" i="7"/>
  <c r="E319" i="7" s="1"/>
  <c r="D320" i="7"/>
  <c r="E320" i="7" s="1"/>
  <c r="D321" i="7"/>
  <c r="E321" i="7" s="1"/>
  <c r="D322" i="7"/>
  <c r="E322" i="7" s="1"/>
  <c r="D323" i="7"/>
  <c r="E323" i="7" s="1"/>
  <c r="D324" i="7"/>
  <c r="E324" i="7" s="1"/>
  <c r="D325" i="7"/>
  <c r="E325" i="7" s="1"/>
  <c r="D326" i="7"/>
  <c r="E326" i="7" s="1"/>
  <c r="D327" i="7"/>
  <c r="E327" i="7" s="1"/>
  <c r="D328" i="7"/>
  <c r="E328" i="7" s="1"/>
  <c r="D329" i="7"/>
  <c r="E329" i="7" s="1"/>
  <c r="D330" i="7"/>
  <c r="E330" i="7" s="1"/>
  <c r="D331" i="7"/>
  <c r="E331" i="7" s="1"/>
  <c r="D332" i="7"/>
  <c r="E332" i="7" s="1"/>
  <c r="D333" i="7"/>
  <c r="E333" i="7" s="1"/>
  <c r="D334" i="7"/>
  <c r="E334" i="7" s="1"/>
  <c r="D335" i="7"/>
  <c r="E335" i="7" s="1"/>
  <c r="D336" i="7"/>
  <c r="E336" i="7" s="1"/>
  <c r="D337" i="7"/>
  <c r="E337" i="7" s="1"/>
  <c r="D338" i="7"/>
  <c r="E338" i="7" s="1"/>
  <c r="D339" i="7"/>
  <c r="E339" i="7" s="1"/>
  <c r="D340" i="7"/>
  <c r="E340" i="7" s="1"/>
  <c r="D341" i="7"/>
  <c r="E341" i="7" s="1"/>
  <c r="D342" i="7"/>
  <c r="E342" i="7" s="1"/>
  <c r="D343" i="7"/>
  <c r="E343" i="7" s="1"/>
  <c r="D344" i="7"/>
  <c r="E344" i="7" s="1"/>
  <c r="D345" i="7"/>
  <c r="E345" i="7" s="1"/>
  <c r="D346" i="7"/>
  <c r="E346" i="7" s="1"/>
  <c r="D347" i="7"/>
  <c r="E347" i="7" s="1"/>
  <c r="D348" i="7"/>
  <c r="E348" i="7" s="1"/>
  <c r="D349" i="7"/>
  <c r="E349" i="7" s="1"/>
  <c r="D350" i="7"/>
  <c r="E350" i="7" s="1"/>
  <c r="D351" i="7"/>
  <c r="E351" i="7" s="1"/>
  <c r="D352" i="7"/>
  <c r="E352" i="7" s="1"/>
  <c r="D353" i="7"/>
  <c r="E353" i="7" s="1"/>
  <c r="D354" i="7"/>
  <c r="E354" i="7" s="1"/>
  <c r="D355" i="7"/>
  <c r="E355" i="7" s="1"/>
  <c r="D356" i="7"/>
  <c r="E356" i="7" s="1"/>
  <c r="D357" i="7"/>
  <c r="E357" i="7" s="1"/>
  <c r="D358" i="7"/>
  <c r="E358" i="7" s="1"/>
  <c r="D359" i="7"/>
  <c r="E359" i="7" s="1"/>
  <c r="D360" i="7"/>
  <c r="E360" i="7" s="1"/>
  <c r="D361" i="7"/>
  <c r="E361" i="7" s="1"/>
  <c r="D362" i="7"/>
  <c r="E362" i="7" s="1"/>
  <c r="D363" i="7"/>
  <c r="E363" i="7" s="1"/>
  <c r="D364" i="7"/>
  <c r="E364" i="7" s="1"/>
  <c r="D365" i="7"/>
  <c r="E365" i="7" s="1"/>
  <c r="D366" i="7"/>
  <c r="E366" i="7" s="1"/>
  <c r="D367" i="7"/>
  <c r="E367" i="7" s="1"/>
  <c r="D368" i="7"/>
  <c r="E368" i="7" s="1"/>
  <c r="D369" i="7"/>
  <c r="E369" i="7" s="1"/>
  <c r="D370" i="7"/>
  <c r="E370" i="7" s="1"/>
  <c r="D371" i="7"/>
  <c r="E371" i="7" s="1"/>
  <c r="D372" i="7"/>
  <c r="E372" i="7" s="1"/>
  <c r="D373" i="7"/>
  <c r="E373" i="7" s="1"/>
  <c r="D374" i="7"/>
  <c r="E374" i="7" s="1"/>
  <c r="D375" i="7"/>
  <c r="E375" i="7" s="1"/>
  <c r="D376" i="7"/>
  <c r="E376" i="7" s="1"/>
  <c r="D377" i="7"/>
  <c r="E377" i="7" s="1"/>
  <c r="D378" i="7"/>
  <c r="E378" i="7" s="1"/>
  <c r="D379" i="7"/>
  <c r="E379" i="7" s="1"/>
  <c r="D380" i="7"/>
  <c r="E380" i="7" s="1"/>
  <c r="D381" i="7"/>
  <c r="E381" i="7" s="1"/>
  <c r="D382" i="7"/>
  <c r="E382" i="7" s="1"/>
  <c r="D383" i="7"/>
  <c r="E383" i="7" s="1"/>
  <c r="D384" i="7"/>
  <c r="E384" i="7" s="1"/>
  <c r="D385" i="7"/>
  <c r="E385" i="7" s="1"/>
  <c r="D386" i="7"/>
  <c r="E386" i="7" s="1"/>
  <c r="D387" i="7"/>
  <c r="E387" i="7" s="1"/>
  <c r="D388" i="7"/>
  <c r="E388" i="7" s="1"/>
  <c r="D389" i="7"/>
  <c r="E389" i="7" s="1"/>
  <c r="D390" i="7"/>
  <c r="E390" i="7" s="1"/>
  <c r="D391" i="7"/>
  <c r="E391" i="7" s="1"/>
  <c r="D392" i="7"/>
  <c r="E392" i="7" s="1"/>
  <c r="D393" i="7"/>
  <c r="E393" i="7" s="1"/>
  <c r="D394" i="7"/>
  <c r="E394" i="7" s="1"/>
  <c r="D395" i="7"/>
  <c r="E395" i="7" s="1"/>
  <c r="D396" i="7"/>
  <c r="E396" i="7" s="1"/>
  <c r="D397" i="7"/>
  <c r="E397" i="7" s="1"/>
  <c r="D398" i="7"/>
  <c r="E398" i="7" s="1"/>
  <c r="D399" i="7"/>
  <c r="E399" i="7" s="1"/>
  <c r="D400" i="7"/>
  <c r="E400" i="7" s="1"/>
  <c r="D401" i="7"/>
  <c r="E401" i="7" s="1"/>
  <c r="D402" i="7"/>
  <c r="E402" i="7" s="1"/>
  <c r="D403" i="7"/>
  <c r="E403" i="7" s="1"/>
  <c r="D404" i="7"/>
  <c r="E404" i="7" s="1"/>
  <c r="D405" i="7"/>
  <c r="E405" i="7" s="1"/>
  <c r="D406" i="7"/>
  <c r="E406" i="7" s="1"/>
  <c r="D407" i="7"/>
  <c r="E407" i="7" s="1"/>
  <c r="D408" i="7"/>
  <c r="E408" i="7" s="1"/>
  <c r="D409" i="7"/>
  <c r="E409" i="7" s="1"/>
  <c r="D410" i="7"/>
  <c r="E410" i="7" s="1"/>
  <c r="D411" i="7"/>
  <c r="E411" i="7" s="1"/>
  <c r="D412" i="7"/>
  <c r="E412" i="7" s="1"/>
  <c r="D413" i="7"/>
  <c r="E413" i="7" s="1"/>
  <c r="D414" i="7"/>
  <c r="E414" i="7" s="1"/>
  <c r="D415" i="7"/>
  <c r="E415" i="7" s="1"/>
  <c r="D416" i="7"/>
  <c r="E416" i="7" s="1"/>
  <c r="D417" i="7"/>
  <c r="E417" i="7" s="1"/>
  <c r="D418" i="7"/>
  <c r="E418" i="7" s="1"/>
  <c r="D419" i="7"/>
  <c r="E419" i="7" s="1"/>
  <c r="D420" i="7"/>
  <c r="E420" i="7" s="1"/>
  <c r="D421" i="7"/>
  <c r="E421" i="7" s="1"/>
  <c r="D422" i="7"/>
  <c r="E422" i="7" s="1"/>
  <c r="D423" i="7"/>
  <c r="E423" i="7" s="1"/>
  <c r="D424" i="7"/>
  <c r="E424" i="7" s="1"/>
  <c r="D425" i="7"/>
  <c r="E425" i="7" s="1"/>
  <c r="D426" i="7"/>
  <c r="E426" i="7" s="1"/>
  <c r="D427" i="7"/>
  <c r="E427" i="7" s="1"/>
  <c r="D428" i="7"/>
  <c r="E428" i="7" s="1"/>
  <c r="D429" i="7"/>
  <c r="E429" i="7" s="1"/>
  <c r="D430" i="7"/>
  <c r="E430" i="7" s="1"/>
  <c r="D431" i="7"/>
  <c r="E431" i="7" s="1"/>
  <c r="D432" i="7"/>
  <c r="E432" i="7" s="1"/>
  <c r="D433" i="7"/>
  <c r="E433" i="7" s="1"/>
  <c r="D434" i="7"/>
  <c r="E434" i="7" s="1"/>
  <c r="D435" i="7"/>
  <c r="E435" i="7" s="1"/>
  <c r="D436" i="7"/>
  <c r="E436" i="7" s="1"/>
  <c r="D437" i="7"/>
  <c r="E437" i="7" s="1"/>
  <c r="D438" i="7"/>
  <c r="E438" i="7" s="1"/>
  <c r="D439" i="7"/>
  <c r="E439" i="7" s="1"/>
  <c r="D440" i="7"/>
  <c r="E440" i="7" s="1"/>
  <c r="D441" i="7"/>
  <c r="E441" i="7" s="1"/>
  <c r="D442" i="7"/>
  <c r="E442" i="7" s="1"/>
  <c r="D443" i="7"/>
  <c r="E443" i="7" s="1"/>
  <c r="D444" i="7"/>
  <c r="E444" i="7" s="1"/>
  <c r="D445" i="7"/>
  <c r="E445" i="7" s="1"/>
  <c r="D446" i="7"/>
  <c r="E446" i="7" s="1"/>
  <c r="D447" i="7"/>
  <c r="E447" i="7" s="1"/>
  <c r="D448" i="7"/>
  <c r="E448" i="7" s="1"/>
  <c r="D449" i="7"/>
  <c r="E449" i="7" s="1"/>
  <c r="D450" i="7"/>
  <c r="E450" i="7" s="1"/>
  <c r="D451" i="7"/>
  <c r="E451" i="7" s="1"/>
  <c r="D452" i="7"/>
  <c r="E452" i="7" s="1"/>
  <c r="D453" i="7"/>
  <c r="E453" i="7" s="1"/>
  <c r="D454" i="7"/>
  <c r="E454" i="7" s="1"/>
  <c r="D455" i="7"/>
  <c r="E455" i="7" s="1"/>
  <c r="D456" i="7"/>
  <c r="E456" i="7" s="1"/>
  <c r="D457" i="7"/>
  <c r="E457" i="7" s="1"/>
  <c r="D458" i="7"/>
  <c r="E458" i="7" s="1"/>
  <c r="D459" i="7"/>
  <c r="E459" i="7" s="1"/>
  <c r="D460" i="7"/>
  <c r="E460" i="7" s="1"/>
  <c r="D461" i="7"/>
  <c r="E461" i="7" s="1"/>
  <c r="D462" i="7"/>
  <c r="E462" i="7" s="1"/>
  <c r="D463" i="7"/>
  <c r="E463" i="7" s="1"/>
  <c r="D464" i="7"/>
  <c r="E464" i="7" s="1"/>
  <c r="D465" i="7"/>
  <c r="E465" i="7" s="1"/>
  <c r="D466" i="7"/>
  <c r="E466" i="7" s="1"/>
  <c r="D467" i="7"/>
  <c r="E467" i="7" s="1"/>
  <c r="D468" i="7"/>
  <c r="E468" i="7" s="1"/>
  <c r="D469" i="7"/>
  <c r="E469" i="7" s="1"/>
  <c r="D470" i="7"/>
  <c r="E470" i="7" s="1"/>
  <c r="D471" i="7"/>
  <c r="E471" i="7" s="1"/>
  <c r="D472" i="7"/>
  <c r="E472" i="7" s="1"/>
  <c r="D473" i="7"/>
  <c r="E473" i="7" s="1"/>
  <c r="D474" i="7"/>
  <c r="E474" i="7" s="1"/>
  <c r="D475" i="7"/>
  <c r="E475" i="7" s="1"/>
  <c r="D476" i="7"/>
  <c r="E476" i="7" s="1"/>
  <c r="D477" i="7"/>
  <c r="E477" i="7" s="1"/>
  <c r="D478" i="7"/>
  <c r="E478" i="7" s="1"/>
  <c r="D479" i="7"/>
  <c r="E479" i="7" s="1"/>
  <c r="D480" i="7"/>
  <c r="E480" i="7" s="1"/>
  <c r="D481" i="7"/>
  <c r="E481" i="7" s="1"/>
  <c r="D482" i="7"/>
  <c r="E482" i="7" s="1"/>
  <c r="D483" i="7"/>
  <c r="E483" i="7" s="1"/>
  <c r="D484" i="7"/>
  <c r="E484" i="7" s="1"/>
  <c r="D485" i="7"/>
  <c r="E485" i="7" s="1"/>
  <c r="D486" i="7"/>
  <c r="E486" i="7" s="1"/>
  <c r="D487" i="7"/>
  <c r="E487" i="7" s="1"/>
  <c r="D488" i="7"/>
  <c r="E488" i="7" s="1"/>
  <c r="D489" i="7"/>
  <c r="E489" i="7" s="1"/>
  <c r="D490" i="7"/>
  <c r="E490" i="7" s="1"/>
  <c r="D491" i="7"/>
  <c r="E491" i="7" s="1"/>
  <c r="D492" i="7"/>
  <c r="E492" i="7" s="1"/>
  <c r="D493" i="7"/>
  <c r="E493" i="7" s="1"/>
  <c r="D494" i="7"/>
  <c r="E494" i="7" s="1"/>
  <c r="D495" i="7"/>
  <c r="E495" i="7" s="1"/>
  <c r="D496" i="7"/>
  <c r="E496" i="7" s="1"/>
  <c r="D497" i="7"/>
  <c r="E497" i="7" s="1"/>
  <c r="D498" i="7"/>
  <c r="E498" i="7" s="1"/>
  <c r="D499" i="7"/>
  <c r="E499" i="7" s="1"/>
  <c r="D500" i="7"/>
  <c r="E500" i="7" s="1"/>
  <c r="D501" i="7"/>
  <c r="E501" i="7" s="1"/>
  <c r="D502" i="7"/>
  <c r="E502" i="7" s="1"/>
  <c r="D503" i="7"/>
  <c r="E503" i="7" s="1"/>
  <c r="D504" i="7"/>
  <c r="E504" i="7" s="1"/>
  <c r="D505" i="7"/>
  <c r="E505" i="7" s="1"/>
  <c r="D506" i="7"/>
  <c r="E506" i="7" s="1"/>
  <c r="D507" i="7"/>
  <c r="E507" i="7" s="1"/>
  <c r="D508" i="7"/>
  <c r="E508" i="7" s="1"/>
  <c r="D509" i="7"/>
  <c r="E509" i="7" s="1"/>
  <c r="D510" i="7"/>
  <c r="E510" i="7" s="1"/>
  <c r="D511" i="7"/>
  <c r="E511" i="7" s="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2" i="7"/>
  <c r="D2" i="7"/>
  <c r="E2" i="7" s="1"/>
  <c r="C2" i="7"/>
  <c r="B2" i="7"/>
  <c r="A2" i="7"/>
  <c r="AG625" i="5"/>
  <c r="AG624" i="5"/>
  <c r="AG623" i="5"/>
  <c r="AG622" i="5"/>
  <c r="AG621" i="5"/>
  <c r="AG620" i="5"/>
  <c r="AG619" i="5"/>
  <c r="AG618" i="5"/>
  <c r="AG617" i="5"/>
  <c r="AG616" i="5"/>
  <c r="AG615" i="5"/>
  <c r="AG614" i="5"/>
  <c r="AG613" i="5"/>
  <c r="AG612" i="5"/>
  <c r="AG611" i="5"/>
  <c r="AG610" i="5"/>
  <c r="AG609" i="5"/>
  <c r="AG608" i="5"/>
  <c r="AG607" i="5"/>
  <c r="AG606" i="5"/>
  <c r="AG605" i="5"/>
  <c r="AG604" i="5"/>
  <c r="AG603" i="5"/>
  <c r="AG602" i="5"/>
  <c r="AG601" i="5"/>
  <c r="AG600" i="5"/>
  <c r="AG599" i="5"/>
  <c r="AG598" i="5"/>
  <c r="AG597" i="5"/>
  <c r="AG596" i="5"/>
  <c r="AG595" i="5"/>
  <c r="AG594" i="5"/>
  <c r="AG593" i="5"/>
  <c r="AG592" i="5"/>
  <c r="AG591" i="5"/>
  <c r="AG590" i="5"/>
  <c r="AG589" i="5"/>
  <c r="AG588" i="5"/>
  <c r="AG587" i="5"/>
  <c r="AG586" i="5"/>
  <c r="AG585" i="5"/>
  <c r="AG584" i="5"/>
  <c r="AG583" i="5"/>
  <c r="AG582" i="5"/>
  <c r="AG581" i="5"/>
  <c r="AG580" i="5"/>
  <c r="AG579" i="5"/>
  <c r="AG578" i="5"/>
  <c r="AG577" i="5"/>
  <c r="AG576" i="5"/>
  <c r="AG575" i="5"/>
  <c r="AG574" i="5"/>
  <c r="AG573" i="5"/>
  <c r="AG572" i="5"/>
  <c r="AG571" i="5"/>
  <c r="AG570" i="5"/>
  <c r="AG569" i="5"/>
  <c r="AG568" i="5"/>
  <c r="AG567" i="5"/>
  <c r="AG566" i="5"/>
  <c r="AG565" i="5"/>
  <c r="AG564" i="5"/>
  <c r="AG563" i="5"/>
  <c r="AG562" i="5"/>
  <c r="AG561" i="5"/>
  <c r="AG560" i="5"/>
  <c r="AG559" i="5"/>
  <c r="AG558" i="5"/>
  <c r="AG557" i="5"/>
  <c r="AG556" i="5"/>
  <c r="AG555" i="5"/>
  <c r="AG554" i="5"/>
  <c r="AG553" i="5"/>
  <c r="AG552" i="5"/>
  <c r="AG551" i="5"/>
  <c r="AG550" i="5"/>
  <c r="AG549" i="5"/>
  <c r="AG548" i="5"/>
  <c r="AG547" i="5"/>
  <c r="AG546" i="5"/>
  <c r="AG545" i="5"/>
  <c r="AG544" i="5"/>
  <c r="AG543" i="5"/>
  <c r="AG542" i="5"/>
  <c r="AG541" i="5"/>
  <c r="AG540" i="5"/>
  <c r="AG539" i="5"/>
  <c r="AG538" i="5"/>
  <c r="AG537" i="5"/>
  <c r="AG536" i="5"/>
  <c r="AG535" i="5"/>
  <c r="AG534" i="5"/>
  <c r="AG533" i="5"/>
  <c r="AG532" i="5"/>
  <c r="AG531" i="5"/>
  <c r="AG530" i="5"/>
  <c r="AG529" i="5"/>
  <c r="AG528" i="5"/>
  <c r="AG527" i="5"/>
  <c r="AG526" i="5"/>
  <c r="AG525" i="5"/>
  <c r="AG524" i="5"/>
  <c r="AG523" i="5"/>
  <c r="AG522" i="5"/>
  <c r="AG521" i="5"/>
  <c r="AG520" i="5"/>
  <c r="AG519" i="5"/>
  <c r="AG518" i="5"/>
  <c r="AG517" i="5"/>
  <c r="AG516" i="5"/>
  <c r="AG515" i="5"/>
  <c r="AG514" i="5"/>
  <c r="AG513" i="5"/>
  <c r="AG512" i="5"/>
  <c r="AG511" i="5"/>
  <c r="AG510" i="5"/>
  <c r="AG509" i="5"/>
  <c r="AG508" i="5"/>
  <c r="AG507" i="5"/>
  <c r="AG506" i="5"/>
  <c r="AG505" i="5"/>
  <c r="AG504" i="5"/>
  <c r="AG503" i="5"/>
  <c r="AG502" i="5"/>
  <c r="AG501" i="5"/>
  <c r="AG500" i="5"/>
  <c r="AG499" i="5"/>
  <c r="AG498" i="5"/>
  <c r="AG497" i="5"/>
  <c r="AG496" i="5"/>
  <c r="AG495" i="5"/>
  <c r="AG494" i="5"/>
  <c r="AG493" i="5"/>
  <c r="AG492" i="5"/>
  <c r="AG491" i="5"/>
  <c r="AG490" i="5"/>
  <c r="AG489" i="5"/>
  <c r="AG488" i="5"/>
  <c r="AG487" i="5"/>
  <c r="AG486" i="5"/>
  <c r="AG485" i="5"/>
  <c r="AG484" i="5"/>
  <c r="AG483" i="5"/>
  <c r="AG482" i="5"/>
  <c r="AG481" i="5"/>
  <c r="AG480" i="5"/>
  <c r="AG479" i="5"/>
  <c r="AG478" i="5"/>
  <c r="AG477" i="5"/>
  <c r="AG476" i="5"/>
  <c r="AG475" i="5"/>
  <c r="AG474" i="5"/>
  <c r="AG473" i="5"/>
  <c r="AG472" i="5"/>
  <c r="AG471" i="5"/>
  <c r="AG470" i="5"/>
  <c r="AG469" i="5"/>
  <c r="AG468" i="5"/>
  <c r="AG467" i="5"/>
  <c r="AG466" i="5"/>
  <c r="AG465" i="5"/>
  <c r="AG464" i="5"/>
  <c r="AG463" i="5"/>
  <c r="AG462" i="5"/>
  <c r="AG461" i="5"/>
  <c r="AG460" i="5"/>
  <c r="AG459" i="5"/>
  <c r="AG458" i="5"/>
  <c r="AG457" i="5"/>
  <c r="AG456" i="5"/>
  <c r="AG455" i="5"/>
  <c r="AG454" i="5"/>
  <c r="AG453" i="5"/>
  <c r="AG452" i="5"/>
  <c r="AG451" i="5"/>
  <c r="AG450" i="5"/>
  <c r="AG449" i="5"/>
  <c r="AG448" i="5"/>
  <c r="AG447" i="5"/>
  <c r="AG446" i="5"/>
  <c r="AG445" i="5"/>
  <c r="AG444" i="5"/>
  <c r="AG443" i="5"/>
  <c r="AG442" i="5"/>
  <c r="AG441" i="5"/>
  <c r="AG440" i="5"/>
  <c r="AG439" i="5"/>
  <c r="AG438" i="5"/>
  <c r="AG437" i="5"/>
  <c r="AG436" i="5"/>
  <c r="AG435" i="5"/>
  <c r="AG434" i="5"/>
  <c r="AG433" i="5"/>
  <c r="AG432" i="5"/>
  <c r="AG431" i="5"/>
  <c r="AG430" i="5"/>
  <c r="AG429" i="5"/>
  <c r="AG428" i="5"/>
  <c r="AG427" i="5"/>
  <c r="AG426" i="5"/>
  <c r="AG425" i="5"/>
  <c r="AG424" i="5"/>
  <c r="AG423" i="5"/>
  <c r="AG422" i="5"/>
  <c r="AG421" i="5"/>
  <c r="AG420" i="5"/>
  <c r="AG419" i="5"/>
  <c r="AG418" i="5"/>
  <c r="AG417" i="5"/>
  <c r="AG416" i="5"/>
  <c r="AG415" i="5"/>
  <c r="AG414" i="5"/>
  <c r="AG413" i="5"/>
  <c r="AG412" i="5"/>
  <c r="AG411" i="5"/>
  <c r="AG410" i="5"/>
  <c r="AG409" i="5"/>
  <c r="AG408" i="5"/>
  <c r="AG407" i="5"/>
  <c r="AG406" i="5"/>
  <c r="AG405" i="5"/>
  <c r="AG404" i="5"/>
  <c r="AG403" i="5"/>
  <c r="AG402" i="5"/>
  <c r="AG401" i="5"/>
  <c r="AG400" i="5"/>
  <c r="AG399" i="5"/>
  <c r="AG398" i="5"/>
  <c r="AG397" i="5"/>
  <c r="AG396" i="5"/>
  <c r="AG395" i="5"/>
  <c r="AG394" i="5"/>
  <c r="AG393" i="5"/>
  <c r="AG392" i="5"/>
  <c r="AG391" i="5"/>
  <c r="AG390" i="5"/>
  <c r="AG389" i="5"/>
  <c r="AG388" i="5"/>
  <c r="AG387" i="5"/>
  <c r="AG386" i="5"/>
  <c r="AG385" i="5"/>
  <c r="AG384" i="5"/>
  <c r="AG383" i="5"/>
  <c r="AG382" i="5"/>
  <c r="AG381" i="5"/>
  <c r="AG380" i="5"/>
  <c r="AG379" i="5"/>
  <c r="AG378" i="5"/>
  <c r="AG377" i="5"/>
  <c r="AG376" i="5"/>
  <c r="AG375" i="5"/>
  <c r="AG374" i="5"/>
  <c r="AG373" i="5"/>
  <c r="AG372" i="5"/>
  <c r="AG371" i="5"/>
  <c r="AG370" i="5"/>
  <c r="AG369" i="5"/>
  <c r="AG368" i="5"/>
  <c r="AG367" i="5"/>
  <c r="AG366" i="5"/>
  <c r="AG365" i="5"/>
  <c r="AG364" i="5"/>
  <c r="AG363" i="5"/>
  <c r="AG362" i="5"/>
  <c r="AG361" i="5"/>
  <c r="AG360" i="5"/>
  <c r="AG359" i="5"/>
  <c r="AG358" i="5"/>
  <c r="AG357" i="5"/>
  <c r="AG356" i="5"/>
  <c r="AG355" i="5"/>
  <c r="AG354" i="5"/>
  <c r="AG353" i="5"/>
  <c r="AG352" i="5"/>
  <c r="AG351" i="5"/>
  <c r="AG350" i="5"/>
  <c r="AG349" i="5"/>
  <c r="AG348" i="5"/>
  <c r="AG347" i="5"/>
  <c r="AG346" i="5"/>
  <c r="AG345" i="5"/>
  <c r="AG344" i="5"/>
  <c r="AG343" i="5"/>
  <c r="AG342" i="5"/>
  <c r="AG341" i="5"/>
  <c r="AG340" i="5"/>
  <c r="AG339" i="5"/>
  <c r="AG338" i="5"/>
  <c r="AG337" i="5"/>
  <c r="AG336" i="5"/>
  <c r="AG335" i="5"/>
  <c r="AG334" i="5"/>
  <c r="AG333" i="5"/>
  <c r="AG332" i="5"/>
  <c r="AG331" i="5"/>
  <c r="AG330" i="5"/>
  <c r="AG329" i="5"/>
  <c r="AG328" i="5"/>
  <c r="AG327" i="5"/>
  <c r="AG326" i="5"/>
  <c r="AG325" i="5"/>
  <c r="AG324" i="5"/>
  <c r="AG323" i="5"/>
  <c r="AG322" i="5"/>
  <c r="AG321" i="5"/>
  <c r="AG320" i="5"/>
  <c r="AG319" i="5"/>
  <c r="AG318" i="5"/>
  <c r="AG317" i="5"/>
  <c r="AG316" i="5"/>
  <c r="AG315" i="5"/>
  <c r="AG314" i="5"/>
  <c r="AG313" i="5"/>
  <c r="AG312" i="5"/>
  <c r="AG311" i="5"/>
  <c r="AG310" i="5"/>
  <c r="AG309" i="5"/>
  <c r="AG308" i="5"/>
  <c r="AG307" i="5"/>
  <c r="AG306" i="5"/>
  <c r="AG305" i="5"/>
  <c r="AG304" i="5"/>
  <c r="AG303" i="5"/>
  <c r="AG302" i="5"/>
  <c r="AG301" i="5"/>
  <c r="AG300" i="5"/>
  <c r="AG299" i="5"/>
  <c r="AG298" i="5"/>
  <c r="AG297" i="5"/>
  <c r="AG296" i="5"/>
  <c r="AG295" i="5"/>
  <c r="AG294" i="5"/>
  <c r="AG293" i="5"/>
  <c r="AG292" i="5"/>
  <c r="AG291" i="5"/>
  <c r="AG290" i="5"/>
  <c r="AG289" i="5"/>
  <c r="AG288" i="5"/>
  <c r="AG287" i="5"/>
  <c r="AG286" i="5"/>
  <c r="AG285" i="5"/>
  <c r="AG284" i="5"/>
  <c r="AG283" i="5"/>
  <c r="AG282" i="5"/>
  <c r="AG281" i="5"/>
  <c r="AG280" i="5"/>
  <c r="AG279" i="5"/>
  <c r="AG278" i="5"/>
  <c r="AG277" i="5"/>
  <c r="AG276" i="5"/>
  <c r="AG275" i="5"/>
  <c r="AG274" i="5"/>
  <c r="AG273" i="5"/>
  <c r="AG272" i="5"/>
  <c r="AG271" i="5"/>
  <c r="AG270" i="5"/>
  <c r="AG269" i="5"/>
  <c r="AG268" i="5"/>
  <c r="AG267" i="5"/>
  <c r="AG266" i="5"/>
  <c r="AG265" i="5"/>
  <c r="AG264" i="5"/>
  <c r="AG263" i="5"/>
  <c r="AG262" i="5"/>
  <c r="AG261" i="5"/>
  <c r="AG260" i="5"/>
  <c r="AG259" i="5"/>
  <c r="AG258" i="5"/>
  <c r="AG257" i="5"/>
  <c r="AG256" i="5"/>
  <c r="AG255" i="5"/>
  <c r="AG254" i="5"/>
  <c r="AG253" i="5"/>
  <c r="AG252" i="5"/>
  <c r="AG251" i="5"/>
  <c r="AG250" i="5"/>
  <c r="AG249" i="5"/>
  <c r="AG248" i="5"/>
  <c r="AG247" i="5"/>
  <c r="AG246" i="5"/>
  <c r="AG245" i="5"/>
  <c r="AG244" i="5"/>
  <c r="AG243" i="5"/>
  <c r="AG242" i="5"/>
  <c r="AG241" i="5"/>
  <c r="AG240" i="5"/>
  <c r="AG239" i="5"/>
  <c r="AG238" i="5"/>
  <c r="AG237" i="5"/>
  <c r="AG236" i="5"/>
  <c r="AG235" i="5"/>
  <c r="AG234" i="5"/>
  <c r="AG233" i="5"/>
  <c r="AG232" i="5"/>
  <c r="AG231" i="5"/>
  <c r="AG230" i="5"/>
  <c r="AG229" i="5"/>
  <c r="AG228" i="5"/>
  <c r="AG227" i="5"/>
  <c r="AG226" i="5"/>
  <c r="AG225" i="5"/>
  <c r="AG224" i="5"/>
  <c r="AG223" i="5"/>
  <c r="AG222" i="5"/>
  <c r="AG221" i="5"/>
  <c r="AG220" i="5"/>
  <c r="AG219" i="5"/>
  <c r="AG218" i="5"/>
  <c r="AG217" i="5"/>
  <c r="AG216" i="5"/>
  <c r="AG215" i="5"/>
  <c r="AG214" i="5"/>
  <c r="AG213" i="5"/>
  <c r="AG212" i="5"/>
  <c r="AG211" i="5"/>
  <c r="AG210" i="5"/>
  <c r="AG209" i="5"/>
  <c r="AG208" i="5"/>
  <c r="AG207" i="5"/>
  <c r="AG206" i="5"/>
  <c r="AG205" i="5"/>
  <c r="AG204" i="5"/>
  <c r="AG203" i="5"/>
  <c r="AG202" i="5"/>
  <c r="AG201" i="5"/>
  <c r="AG200" i="5"/>
  <c r="AG199" i="5"/>
  <c r="AG198" i="5"/>
  <c r="AG197" i="5"/>
  <c r="AG196" i="5"/>
  <c r="AG195" i="5"/>
  <c r="AG194" i="5"/>
  <c r="AG193" i="5"/>
  <c r="AG192" i="5"/>
  <c r="AG191" i="5"/>
  <c r="AG190" i="5"/>
  <c r="AG189" i="5"/>
  <c r="AG188" i="5"/>
  <c r="AG187" i="5"/>
  <c r="AG186" i="5"/>
  <c r="AG185" i="5"/>
  <c r="AG184" i="5"/>
  <c r="AG183" i="5"/>
  <c r="AG182" i="5"/>
  <c r="AG181" i="5"/>
  <c r="AG180" i="5"/>
  <c r="AG179" i="5"/>
  <c r="AG178" i="5"/>
  <c r="AG177" i="5"/>
  <c r="AG176" i="5"/>
  <c r="AG175" i="5"/>
  <c r="AG174" i="5"/>
  <c r="AG173" i="5"/>
  <c r="AG172" i="5"/>
  <c r="AG171" i="5"/>
  <c r="AG170" i="5"/>
  <c r="AG169" i="5"/>
  <c r="AG168" i="5"/>
  <c r="AG167" i="5"/>
  <c r="AG166" i="5"/>
  <c r="AG165" i="5"/>
  <c r="AG164" i="5"/>
  <c r="AG163" i="5"/>
  <c r="AG162" i="5"/>
  <c r="AG161" i="5"/>
  <c r="AG160" i="5"/>
  <c r="AG159" i="5"/>
  <c r="AG158" i="5"/>
  <c r="AG157" i="5"/>
  <c r="AG156" i="5"/>
  <c r="AG155" i="5"/>
  <c r="AG154" i="5"/>
  <c r="AG153" i="5"/>
  <c r="AG152" i="5"/>
  <c r="AG151" i="5"/>
  <c r="AG150" i="5"/>
  <c r="AG149" i="5"/>
  <c r="AG148" i="5"/>
  <c r="AG147" i="5"/>
  <c r="AG146" i="5"/>
  <c r="AG145" i="5"/>
  <c r="AG144" i="5"/>
  <c r="AG143" i="5"/>
  <c r="AG142" i="5"/>
  <c r="AG141" i="5"/>
  <c r="AG140" i="5"/>
  <c r="AG139" i="5"/>
  <c r="AG138" i="5"/>
  <c r="AG137" i="5"/>
  <c r="AG136" i="5"/>
  <c r="AG135" i="5"/>
  <c r="AG134" i="5"/>
  <c r="AG133" i="5"/>
  <c r="AG132" i="5"/>
  <c r="AG131" i="5"/>
  <c r="AG130" i="5"/>
  <c r="AG129" i="5"/>
  <c r="AG128" i="5"/>
  <c r="AG127" i="5"/>
  <c r="AG126" i="5"/>
  <c r="AG125" i="5"/>
  <c r="AG124" i="5"/>
  <c r="AG123" i="5"/>
  <c r="AG122" i="5"/>
  <c r="AG121" i="5"/>
  <c r="AG120" i="5"/>
  <c r="AG119" i="5"/>
  <c r="AG118" i="5"/>
  <c r="AG117" i="5"/>
  <c r="AG116" i="5"/>
  <c r="AG115" i="5"/>
  <c r="AG114" i="5"/>
  <c r="AG113" i="5"/>
  <c r="AG112" i="5"/>
  <c r="AG111" i="5"/>
  <c r="AG110" i="5"/>
  <c r="AG109" i="5"/>
  <c r="AG108" i="5"/>
  <c r="AG107" i="5"/>
  <c r="AG106" i="5"/>
  <c r="AG105" i="5"/>
  <c r="AG104" i="5"/>
  <c r="AG103" i="5"/>
  <c r="AG102" i="5"/>
  <c r="AG101" i="5"/>
  <c r="AG100" i="5"/>
  <c r="AG99" i="5"/>
  <c r="AG98" i="5"/>
  <c r="AG97" i="5"/>
  <c r="AG96" i="5"/>
  <c r="AG95" i="5"/>
  <c r="AG94" i="5"/>
  <c r="AG93" i="5"/>
  <c r="AG92" i="5"/>
  <c r="AG91" i="5"/>
  <c r="AG90" i="5"/>
  <c r="AG89" i="5"/>
  <c r="AG88" i="5"/>
  <c r="AG87" i="5"/>
  <c r="AG86" i="5"/>
  <c r="AG85" i="5"/>
  <c r="AG84" i="5"/>
  <c r="AG83" i="5"/>
  <c r="AG82" i="5"/>
  <c r="AG81" i="5"/>
  <c r="AG80" i="5"/>
  <c r="AG79" i="5"/>
  <c r="AG78" i="5"/>
  <c r="AG77" i="5"/>
  <c r="AG76" i="5"/>
  <c r="AG75" i="5"/>
  <c r="AG74" i="5"/>
  <c r="AG73" i="5"/>
  <c r="AG72" i="5"/>
  <c r="AG71" i="5"/>
  <c r="AG70" i="5"/>
  <c r="AG69" i="5"/>
  <c r="AG68" i="5"/>
  <c r="AG67" i="5"/>
  <c r="AG66" i="5"/>
  <c r="AG65" i="5"/>
  <c r="AG64" i="5"/>
  <c r="AG63" i="5"/>
  <c r="AG62" i="5"/>
  <c r="AG61" i="5"/>
  <c r="AG60" i="5"/>
  <c r="AG59" i="5"/>
  <c r="AG58" i="5"/>
  <c r="AG57" i="5"/>
  <c r="AG56" i="5"/>
  <c r="AG55" i="5"/>
  <c r="AG54" i="5"/>
  <c r="AG53" i="5"/>
  <c r="AG52" i="5"/>
  <c r="AG51" i="5"/>
  <c r="AG50" i="5"/>
  <c r="AG49" i="5"/>
  <c r="AG48" i="5"/>
  <c r="AG47" i="5"/>
  <c r="AG46" i="5"/>
  <c r="AG45" i="5"/>
  <c r="AG44" i="5"/>
  <c r="AG43" i="5"/>
  <c r="AG42" i="5"/>
  <c r="AG41" i="5"/>
  <c r="AG40" i="5"/>
  <c r="AG39" i="5"/>
  <c r="AG38" i="5"/>
  <c r="AG37" i="5"/>
  <c r="AG36" i="5"/>
  <c r="AG35" i="5"/>
  <c r="AG34" i="5"/>
  <c r="AG33" i="5"/>
  <c r="AG32" i="5"/>
  <c r="AG31" i="5"/>
  <c r="AG30" i="5"/>
  <c r="AG29" i="5"/>
  <c r="AG28" i="5"/>
  <c r="AG27" i="5"/>
  <c r="AG26" i="5"/>
  <c r="AG25" i="5"/>
  <c r="AG24" i="5"/>
  <c r="AG23" i="5"/>
  <c r="AG22" i="5"/>
  <c r="AG21" i="5"/>
  <c r="AG20" i="5"/>
  <c r="AG19" i="5"/>
  <c r="AG18" i="5"/>
  <c r="AG17" i="5"/>
  <c r="AG16" i="5"/>
  <c r="AG15" i="5"/>
  <c r="AG14" i="5"/>
  <c r="AG13" i="5"/>
  <c r="AG12" i="5"/>
  <c r="AG11" i="5"/>
  <c r="AG10" i="5"/>
  <c r="AG9" i="5"/>
  <c r="AG8" i="5"/>
  <c r="AG7" i="5"/>
  <c r="AG6" i="5"/>
  <c r="AG5" i="5"/>
  <c r="AG4" i="5"/>
  <c r="AG3" i="5"/>
  <c r="AG2" i="5"/>
  <c r="D16" i="6" a="1"/>
  <c r="D16" i="6" s="1"/>
  <c r="E16" i="6" s="1"/>
  <c r="E7" i="6"/>
  <c r="AG647" i="5"/>
  <c r="AG626" i="5"/>
  <c r="AG627" i="5"/>
  <c r="AG628" i="5"/>
  <c r="AG629" i="5"/>
  <c r="AG630" i="5"/>
  <c r="AG631" i="5"/>
  <c r="AG632" i="5"/>
  <c r="AG633" i="5"/>
  <c r="AG634" i="5"/>
  <c r="AG635" i="5"/>
  <c r="AG636" i="5"/>
  <c r="AG637" i="5"/>
  <c r="AG638" i="5"/>
  <c r="AG639" i="5"/>
  <c r="AG640" i="5"/>
  <c r="AG641" i="5"/>
  <c r="AG642" i="5"/>
  <c r="AG643" i="5"/>
  <c r="AG644" i="5"/>
  <c r="AG645" i="5"/>
  <c r="AG646" i="5"/>
  <c r="AG648" i="5"/>
  <c r="AG649" i="5"/>
  <c r="P2" i="6" l="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1"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84E626-5BAB-4CD4-AE21-93E181344BD8}" keepAlive="1" name="Query - Rfi" description="Connection to the 'Rfi' query in the workbook." type="5" refreshedVersion="6" background="1" saveData="1">
    <dbPr connection="Provider=Microsoft.Mashup.OleDb.1;Data Source=$Workbook$;Location=Rfi;Extended Properties=&quot;&quot;" command="SELECT * FROM [Rfi]"/>
  </connection>
</connections>
</file>

<file path=xl/sharedStrings.xml><?xml version="1.0" encoding="utf-8"?>
<sst xmlns="http://schemas.openxmlformats.org/spreadsheetml/2006/main" count="8903" uniqueCount="3270">
  <si>
    <t>Number</t>
  </si>
  <si>
    <t>Rev</t>
  </si>
  <si>
    <t>Spec Section</t>
  </si>
  <si>
    <t>Drawing Ref</t>
  </si>
  <si>
    <t>Type</t>
  </si>
  <si>
    <t>Subject</t>
  </si>
  <si>
    <t>Question</t>
  </si>
  <si>
    <t>Suggestion</t>
  </si>
  <si>
    <t>Responses</t>
  </si>
  <si>
    <t>Ball In Court</t>
  </si>
  <si>
    <t>Ball In Court Organization</t>
  </si>
  <si>
    <t>Priority</t>
  </si>
  <si>
    <t>From</t>
  </si>
  <si>
    <t>From Organization</t>
  </si>
  <si>
    <t>To</t>
  </si>
  <si>
    <t>To Organization</t>
  </si>
  <si>
    <t>Sent</t>
  </si>
  <si>
    <t>Reference</t>
  </si>
  <si>
    <t>Schedule</t>
  </si>
  <si>
    <t>Cost</t>
  </si>
  <si>
    <t>ROM</t>
  </si>
  <si>
    <t>State</t>
  </si>
  <si>
    <t>Due By</t>
  </si>
  <si>
    <t>Answer Marked On</t>
  </si>
  <si>
    <t>Responded On</t>
  </si>
  <si>
    <t>Forwarded On</t>
  </si>
  <si>
    <t>Created Date</t>
  </si>
  <si>
    <t>Status</t>
  </si>
  <si>
    <t>Time to Answer</t>
  </si>
  <si>
    <t>034100</t>
  </si>
  <si>
    <t>Request for Information</t>
  </si>
  <si>
    <t>Precast Questions Dimensions &amp; Elevations</t>
  </si>
  <si>
    <t>Question from RFI 1 response: 
Ref: attached layout 
1.Grid A5.3 and AH- No opening shown on plan. Panel Q shows a door opening. Advice? 
2.Grid A5.5 and AH- there is no F panel, should this be panel P? 
3.Grid A8 between AC-AB and AG-AF- the dimensions add up to 27'-11 1/14" grid to grid. It should be 28'-0". Please advise where to add the 3/4"?</t>
  </si>
  <si>
    <t>See Attached "RFI 1A - CRSA Response"</t>
  </si>
  <si>
    <t>Medium</t>
  </si>
  <si>
    <t>Brent Klopfer</t>
  </si>
  <si>
    <t>Forterra Structural Precast</t>
  </si>
  <si>
    <t>CRSA ARCHITECTURE</t>
  </si>
  <si>
    <t>Closed</t>
  </si>
  <si>
    <t>220716</t>
  </si>
  <si>
    <t>LEED Submittal Removal</t>
  </si>
  <si>
    <t>Please confirm that per a phone conversation between David Adams and Scott Gilberg on 9-11-2019 that this is not a LEED project and the references in sections 220716, 220719, 221116, 224716, 230713, 230716, 232113, 233300, 233600, 236423 and 238240 calling for LEED submittals can be removed.  
For reference I have attached a list of the specific submittals.</t>
  </si>
  <si>
    <t>confirmed this project is not a LEED project.</t>
  </si>
  <si>
    <t>David Adams</t>
  </si>
  <si>
    <t>Westland Construction, Inc.</t>
  </si>
  <si>
    <t>Panels Tilt Bracing</t>
  </si>
  <si>
    <t>1. Panel Tilt Braces will be anchored to the suspended deck . The typical brace will impose an uplift load of between 1700 lbs and 2000 lbs for the shorter walls, where the taller entrance panels will have about a 3000 lb uplift force. Due to the deck thickness, tilt brace anchors will need to be drill through the slab and deck with a possible backing plate. 
Please confirm acceptance?</t>
  </si>
  <si>
    <t>It is acceptable to drill though the concrete and metal deck and use a backing plate.  Coordinate with Westland for the repair of the holes after the bracing and anchors are removed. |  | Westland Construction needs to coordinate what is required for repairing holes after bracing is removed. The repairing of the holes if not included in our price and will need to be review if we're required to repair.</t>
  </si>
  <si>
    <t>Plan Review Questions</t>
  </si>
  <si>
    <t>Please see the attached list of questions. If there is any ambiguity or questions arising from them please let me know. </t>
  </si>
  <si>
    <t>See attached for answered structural questions | See attachment | See completed RFI. |  | looks like we are still needing a response to the question regarding Sheet P110.</t>
  </si>
  <si>
    <t>Kyle Welch</t>
  </si>
  <si>
    <t>precast openings</t>
  </si>
  <si>
    <t>PLEASE PROVIDE THE FOLLOWING INFORMATION:
1. Do the the windows clouded in the attached elevation have the back forming like the walk through openings have?
2. Please confirm the opening size? With the dimensions that are shown on the elevations and details we come up with a clear
opening of 4'-0 1/2"?
See attached PDF.</t>
  </si>
  <si>
    <t>Yes, the windows above the openings will be back formed as well
4'-0 1/2" is Correct for clear opening width
These have also been noted in the review of the Shop Drawings |</t>
  </si>
  <si>
    <t>AE 4136 Elevations</t>
  </si>
  <si>
    <t>Please advise if the elevations for called out as RM 176 on Sheet 4136 are supposed to be the elevations for RM 183, and the elevations called out for RM 175 and 191 are for RM 184?</t>
  </si>
  <si>
    <t>You are Correct. Only Rooms 183 &amp; 184 are on this sheet with the coordinating elevations. This was previously caught by CRSA and fixed. Room names and numbers have been revised. Updated sheet will be released with Addendum #6</t>
  </si>
  <si>
    <t>Tie Rods</t>
  </si>
  <si>
    <t>Can we sleeve the tie rod holes and post install the bolts after we pour the jacket walls?
We could sleeve with pipe 1/8" bigger than bolts, or as tight as we can get them hoping to eliminate the need of grouting.
If approved could we use schedule 40 or 80 PVC for sleeves?</t>
  </si>
  <si>
    <t>SEE ATTACHMENT |</t>
  </si>
  <si>
    <t>Aaron Bolli</t>
  </si>
  <si>
    <t>Innovative Concrete LLC</t>
  </si>
  <si>
    <t>Structural Engineers</t>
  </si>
  <si>
    <t>Sheet S220</t>
  </si>
  <si>
    <t>Core Elevator &amp; Stairwell Walls</t>
  </si>
  <si>
    <t>We could sleeve with pipe 1/8" bigger than bolts, or as tight as we can get them hoping to eliminate the need of grouting.
As per our meeting, we discussed pouring continuous walls and tying the suspended slabs in with form savers, can we get details and engineering showing this?
Also, please clarify the note on detail 16-S220 stating 125% of dowel when using form saver.</t>
  </si>
  <si>
    <t>See attached for our response |</t>
  </si>
  <si>
    <t>AE100 and S100</t>
  </si>
  <si>
    <t>Discrepancy in Structural &amp; Architectural Pages</t>
  </si>
  <si>
    <t>We could sleeve with pipe 1/8" bigger than bolts, or as tight as we can get them hoping to eliminate the need of grouting.
Page AE100 shows 2 Walls and S100 shows 1 Wall (Grid A-H A.5 to A.2)
Please Clarify</t>
  </si>
  <si>
    <t>These are existing walls to remain. There is the existing Annex foundation wall and then an existing wall to support the concrete lid of the Chiller project completed in 2015. 
No new concrete walls will be poured along Grid AH between A2 - A5</t>
  </si>
  <si>
    <t xml:space="preserve">Sheet S242 </t>
  </si>
  <si>
    <t>New Details for Jacket Walls</t>
  </si>
  <si>
    <t>As per owners request detail 3-S242 needs to change showing us pouring the jacket walls before the Matt Slab.</t>
  </si>
  <si>
    <t>See Attachment |</t>
  </si>
  <si>
    <t>Micropiles Location</t>
  </si>
  <si>
    <t>For the interior micropiles, we should plan for the center of the proposed micropiles being 20 – 22” off of the existing columns or foundation walls.   For the exterior micropiles we will use a bigger drill, which will require approximately 24” off of the face of the adjacent foundation walls.</t>
  </si>
  <si>
    <t>Details will be revised to accommodate the clearance needed.  These modified details will be included in a forthcoming addendum.   | Drawings have been revised in CCD #2.  See attached. |  |  |  |</t>
  </si>
  <si>
    <t>Matt Madsen</t>
  </si>
  <si>
    <t>Malcolm Drilling Co Inc</t>
  </si>
  <si>
    <t>Underpinning Pier Location</t>
  </si>
  <si>
    <t>As per our conversation with the mico pier contractor, the locations will change resulting in longer Needle Beams and Tie Rods, this will also increase the wall thickness and location. Can we get some clarification on this?</t>
  </si>
  <si>
    <t>This RFI is going to be tied with RFI - 011</t>
  </si>
  <si>
    <t>See attached for ARW Response | Drawings have been revised and are issued as CCD #2.  See attached drawings |  |</t>
  </si>
  <si>
    <t xml:space="preserve">Sheet S211 </t>
  </si>
  <si>
    <t>Compressible Sealant</t>
  </si>
  <si>
    <t>On Sheet S211 Detail 13 it calls for a Compressible Sealant. We have looked through the plans and specifications and can’t find what that material consists of. Please advise.</t>
  </si>
  <si>
    <t>See Attachment.  Additional response required by Architect. | Correct me if I am wrong, but isn't this detail specific to the Cogen intake wells. With the removal of the Cogens, this detail is now not used. 
Can you think of any other location where the buried concrete lid does not want to bear on concrete walls below?</t>
  </si>
  <si>
    <t>Interior Signage Plan</t>
  </si>
  <si>
    <t>Upon review of the preliminary signage layout we have highlighted areas in the attached signage layout that may need additional signs. Please advise if the highlighted areas need to have signs placed there. If so please designate the verbiage and layout that will be desired for the location.</t>
  </si>
  <si>
    <t>Westland's markups were sent back to the owner for review/clarification. Crys Briggs has made the appropriate revisions. See updated plans.</t>
  </si>
  <si>
    <t>233113</t>
  </si>
  <si>
    <t>Rectangular Duct Liner</t>
  </si>
  <si>
    <t>Specification Section 230713-Duct Insulation, section 3.13, paragraphs E,F,G,H,I,J,N,O,P,Q and R all call out for exterior wrap insulation on rectangular duct systems. Specification section 233113-Metal Ducts, paragraph K, section 1 thru 6 call for 1" interior liner on rectangular duct systems.  </t>
  </si>
  <si>
    <t>Please indicate which spec section we are to adhere to for construction and insulation of the rectangular duct systems.</t>
  </si>
  <si>
    <t>Duct liner shall be provided for rectangular ductwork as directed in specification 233113, section 3.12.K. Medium-pressure supply ductwork, outside air/combustion air ductwork, and any other types not listed in this section shall have external insulation as directed in specification 230713, section 3.13.  |</t>
  </si>
  <si>
    <t>Justun Bylund</t>
  </si>
  <si>
    <t>US Mechanical LLC</t>
  </si>
  <si>
    <t>Mechanical Engineers</t>
  </si>
  <si>
    <t>Specs 230713 &amp; 233113</t>
  </si>
  <si>
    <t>Temp. Cooling on Roof</t>
  </si>
  <si>
    <t>On sheet MTC 100.5 is calling out that the temporary cooling units for the Temple as being on the ground. Would it be acceptable to install these units on the existing roof of the Temple? 
For reference we have attached the submittal showing the weights of the units we are planning on using.</t>
  </si>
  <si>
    <t>While placing the units on the roof would ultimately accomplish getting the air closer to the building, I worry that there could be irreparable structural and architectural implications. Can the existing structure hold the weight of the temporary units? What would the air path be if the units were placed on the roof? Approval would be needed from ARW and CRSA to implement this. 
Something else to consider is that conditions for the temporary units will fluctuate as construction proceeds. I believe it would be easier to switch out heating &amp; cooling units as needed from the ground rather than bringing in a large crane to lift things up to the roof. | The ability of the structure to support the weight of the temporary units depends on the quantity of units and locations of the units.  Please provide a plan showing where the units are intended to be located. | Please update response  | After reviewing with the Structural and Mechanical engineers, Putting the Units on the roof will be adding a tremendous amount of additional weight to the Historic Building. We also want to stay away from any additional roof penetration and special mounting of the units that may be required to the existing roof. We have concluded that the units on the roof will not be acceptable. Please proceed with the original intent of the drawings showing the units on the ground. |  | ARW please provide a response to the following question posed by the Mechanical Engineer. “Can the existing structure hold the weight of the temporary units?”</t>
  </si>
  <si>
    <t>AE502, C. 13</t>
  </si>
  <si>
    <t>Placement of Filter Fabric</t>
  </si>
  <si>
    <t>On sheet AE502 it shows Filter fabric surrounding the gravel providing the perimeter drain for the building. In contrast on sheet C.13 it is showing it only on the top of the perimeter drain gravel. Please advise.
We have included the effected drawings for your reference. </t>
  </si>
  <si>
    <t>We have consulted with Wayne Rogers with AGEC and he advised that the Filter Fabric at the top of the gravel is sufficient. Please install per AGEC's recommendations.</t>
  </si>
  <si>
    <t>Temporary Conditioning Requirements</t>
  </si>
  <si>
    <t xml:space="preserve"> On the MTC and MTH sheets note 1 calls for the Temp. to be 72 degrees +- 10 with 20% to 50% humidity. We have concerns that because of the Width of the conditioning requirements there will be some expansion and contraction in the building that will affect the millwork. For your reference we have included a copy of the Note in question.  Please advise or confirm these are required.</t>
  </si>
  <si>
    <t>We realize that is a wide margin to work in. Ideally it would be tighter but during construction it needs to be understood that it will be difficult to maintain a tighter window of operation.  |</t>
  </si>
  <si>
    <t>220000</t>
  </si>
  <si>
    <t>P503</t>
  </si>
  <si>
    <t>P503 IS-1 Fixture</t>
  </si>
  <si>
    <t>Drawing P503, detail 1 indicates fixture IS-1, instruction room sink is to be procured through Tiffany Marble as indicated. U.S. Mechanical and our plumbing fixture vendor has reached out to Tiffany Marble and been made aware that this particular business does not appear to be in operation any longer. Please provide an alternate vendor/source to procure the IS-1 instruction room sink fixture.</t>
  </si>
  <si>
    <t>Please provide information for an alternate source to procure the IS-1 fixture.</t>
  </si>
  <si>
    <t>Interior Designer</t>
  </si>
  <si>
    <t>Low</t>
  </si>
  <si>
    <t>Forwarded</t>
  </si>
  <si>
    <t>Equipment on Floors</t>
  </si>
  <si>
    <t>Due to the height of the ceilings on some of the levels the question has arisen regarding using lifts on the respective floors. If this is a possibility, please advise as to the floors lifts can be used on along with the areas capable of sustaining the loads imposed by the lift along with the weight of the material being lifted.</t>
  </si>
  <si>
    <t>No lifts are allowed on the wood floors of the historic temple unless they are very small single man lifts similar to what is currently used in those areas for periodic maintenance.  Lifts are a possibility to be used on the annex floor, but these will also need to be kept to one or two man lifts depending on weight.  Please provide design team with the size, weights and configurations of the lifts that are desired to be used for further review and comment. |  | Please revise the response to the RFI. thanks</t>
  </si>
  <si>
    <t>AD105, AE105</t>
  </si>
  <si>
    <t>Room 515 Raised Floor</t>
  </si>
  <si>
    <t>On Sheet AD105 note 2.31 is calling for the “EXISTING STAIRS/RAMPS, LANDINGS &amp; RAILINGS TO BE DEMOLISHED &amp; REMOVED”, but it doesn’t mention the raised floor in room 515. Please advise if the landing is to include the raised floor in room 515?
For reference we have attached Sheets AD105 and AE105. It appears on Sheet AE105 room 515 does not have a raised floor.</t>
  </si>
  <si>
    <t>Raised Floor is to be demolished with the stairs and landing. Floor in the new Electrical room will be at the same elevation as the rest of Level 5</t>
  </si>
  <si>
    <t>Decorative Counter Brackets</t>
  </si>
  <si>
    <t>Are the decorative counter brackets a cast or regular steel?</t>
  </si>
  <si>
    <t>These brackets will either be painted steel or stainless steel. The intent is for the brackets to match in color to the Stainless Plumbing Fixtures within these restrooms.</t>
  </si>
  <si>
    <t>Camron Walker</t>
  </si>
  <si>
    <t>Precast notches</t>
  </si>
  <si>
    <t>1. In the structural drawings the precast wall between A5.5 and A6.5 along grid AH callout for the top of the precast to be notched for the roof joist to sit in (ref: attached precast elevation H/PC2.01).We suggest making the wall top at the roof joist bearing elevation with a continues embed for welding the joist. The gap between the joists can filled with a 2-1/2” tube steel welded to the embed and deck. This will be a cleaner look. Is this acceptable?</t>
  </si>
  <si>
    <t>Here you go! |</t>
  </si>
  <si>
    <t>AE180B</t>
  </si>
  <si>
    <t>Shelves in Storage Rooms</t>
  </si>
  <si>
    <t>On sheet AE180B there are unmarked rooms adjacent to Rooms 060 and 065 that are empty rooms see attached. Is this room meant to be for storage? If so, should shelves be installed in these rooms.</t>
  </si>
  <si>
    <t>Shelving in these closets will be determined by owner at a later date. | See comments | Shelves are not to be added in this space. | Please provide a resolution to the answer above  | Please provide a resolution.</t>
  </si>
  <si>
    <t>S244</t>
  </si>
  <si>
    <t>Contouring Floor Support</t>
  </si>
  <si>
    <t>On Sheet S244 Detail 13 it shows a new LVL bridging the gap between the high points on a contouring beam this would result in the leveling of the floor. It is out understanding that the floor contouring is one of the items the owner wants to keep. If this is the case, please show the new LVL at the bottom of the contouring beam as indicated in the attachment.</t>
  </si>
  <si>
    <t>Show new LVL level with the top of the contouring beam.</t>
  </si>
  <si>
    <t>Detail 13/S244 is specific to Room 518 as seen in Note on S105 (Center Room of East Tower - Between Grids HA-HB &amp; H2.4-H3.6).  
It is the intent as drawn to level this floor as we are changing the programmatic use from a Locker room to an Instructional Study room and this particular space has too great of sage. The ceiling of Level 4 (assumed to be attached to underside of sagging floor joists) is to remain in place and be preserved and protected, so all of the upgrades are to come from through the floor at Level 5. 
PDF attachment was a blank page so no additional information was added.</t>
  </si>
  <si>
    <t xml:space="preserve">EY101A </t>
  </si>
  <si>
    <t>Fire Alarm System, Door Holder release</t>
  </si>
  <si>
    <t>The gate on level one as indicated by the note on EY101A states a door mag. Do we know if the fire alarm is to control the release of the door mag upon a fire alarm signal?  </t>
  </si>
  <si>
    <t>Yes the magnetic hold open needs to be connected to the fire alarm system. The gate is to keep people from continuing down to the basement and to direct them to the nearest exit egress path.</t>
  </si>
  <si>
    <t>Buck Wilkinson</t>
  </si>
  <si>
    <t>Wilkinson Electric Inc</t>
  </si>
  <si>
    <t>AE164, AE662</t>
  </si>
  <si>
    <t>Assembly Room Floor Finish</t>
  </si>
  <si>
    <t>On Sheets AE164 and AE662 it is calling for the floor finish “TBD Custom Color”.  Please provide a resolution regarding the method of removing the existing lead infused finish and what the material is to be installed in its place. Eagle Environmental currently has 50 people on-site and are trying to schedule sequencing for them. We are looking to install scaffolding to abate the ceiling. We would like to have resolution on this before they reduce their onsite manpower.
Please provide direction regarding floor abatement process and treatment (e.g.; inferred, Chemical or Piranha).</t>
  </si>
  <si>
    <t>Please refer to CCD #3. Please consult with the owner regarding the scaffolding.</t>
  </si>
  <si>
    <t>054000 &amp; 092217</t>
  </si>
  <si>
    <t>Engineered Metal Stud Shop Drawings</t>
  </si>
  <si>
    <t>The following spec sections require engineered shop drawings for metal stud framing as follows:
SECTION 054000 - COLD-FORMED METAL FRAMING
SECTION 092217 – INTERIOR METAL FRAMING
The structural drawings include very comprehensive details for both interior and exterior framing. Do you want us to replicate the design for what was already clearly designed in the contract documents or can the requirement for shop drawings be eliminated?</t>
  </si>
  <si>
    <t>The shop drawings do not need to be prepared and stamped by a professional  engineer.  However, shop drawings are still required for review as noted in the specifications.</t>
  </si>
  <si>
    <t>221316</t>
  </si>
  <si>
    <t>Epoxy Coated Cast Iron Pipe</t>
  </si>
  <si>
    <t>Specification Section 221316, part 2, paragraph 2.2 B indicates cast iron waste and vent piping to be epoxy coated. 2.2 C indicates approved manufacturers as AB&amp;I, Charlotte Pipe and Tyler Pipe. We have inquired of all three piping manufacturers and none of these currently manufacturer epoxy coated cast iron pipe. The only manufacturer that currently offers epoxy coated cast iron pipe in the U.S. market is NewAge. The pipe is manufactured overseas and then distributed domestically thru NewAge. Please confirm that this piping manufacturer is an approved source.</t>
  </si>
  <si>
    <t>Approve NewAge manufacturing as an approved source of epoxy coated cast iron piping.
If not approved, please provide an alternate manufacturer or piping specification for waste and vent piping.</t>
  </si>
  <si>
    <t>Epoxy-coated cast iron pipe is approved for use on the St George Temple Renovation project. | CRSA defers to VBFA for answer.</t>
  </si>
  <si>
    <t>Precast base elevation</t>
  </si>
  <si>
    <t>1. On sheet S101A the clouded section shown the bottom of panels set at 100'-0". On the Architectural precast drawings sheet AP202 panel Q, the bottom of panel is shown at 1'-6" below 100'-0".
Please advice which way to go?</t>
  </si>
  <si>
    <t>Please see ASI #4. Thanks.</t>
  </si>
  <si>
    <t>Westland PE’s</t>
  </si>
  <si>
    <t>Level 0.5 Room to be Demolished</t>
  </si>
  <si>
    <t>Please confirm that per a conversation on site between David Adams and Scott Gilberg that the room shown in yellow in the attachment is to be demolished.</t>
  </si>
  <si>
    <t>Room at Level 0.5 are to be Demolished. Please refer to revised ASI #3.</t>
  </si>
  <si>
    <t>Elevation 100</t>
  </si>
  <si>
    <t>Malcolm drilling would like to verify what civil elevation is equal to ARCH 100.
We assume from cross-referencing the drawings that ARCH 100 = CIVIL 2681.57.
Finish floor on page C.7 varies from 2681.57 to 2681.46.  However, page 7 of the geotechnical report indicates ARCH 82 = Civil 2663.57, which is consistent with ARCH 100 = Civil 2681.57.
Please confirm ARCH 100 = CIVIL 2681.57</t>
  </si>
  <si>
    <t>Per conversation with Paul Mogle from Horrocks Engineering, Civil FF elevation 2681.57 is correct and equal to Arch 100 FF. Please disregard the FF 2681.46.</t>
  </si>
  <si>
    <t>Micropile Layout</t>
  </si>
  <si>
    <t>We recently received CCD #002 which updated the micropile layout.   Some of the micropile installation will still conflict with the existing structure.   Attached is a drawing with proposed modifications for micropile locations.
Please review and comment as necessary.</t>
  </si>
  <si>
    <t>| The proposed modifications are acceptable.  ARW Engineers takes no exception to what is shown. | See response from ARW stating, "No Exceptions to what is shown".</t>
  </si>
  <si>
    <t>Micropile Location</t>
  </si>
  <si>
    <t>We recently received CCD #002 which modified micropile locations.  There are still micropiles that conflict with the existing structure.   Attached is a sketch of proposed modification for micropile locations.
Please review and comment as necessary.</t>
  </si>
  <si>
    <t>| The proposed micropile locations are acceptable. | Please see Response below from Zach Hansen (ARW).</t>
  </si>
  <si>
    <t>MIcropile All-Thread Bar Corrosion Protection</t>
  </si>
  <si>
    <t>Specification 316330 - Drilled Micropiles
Section 2.1
Our micropile designer is recommending Epoxy Coated Grade 75 All Thread Bar in the micropile design.  
Some of the language in section 2.1 of the specification appears to call for additional encapsulation of the all thread bar.
The current design recommendations require epoxy coating of all thread bar and couplers.   No encapsulation is required. 
Please confirm this is acceptable.</t>
  </si>
  <si>
    <t>| Epoxy coated bars and couplers are acceptable.  ARW takes no exception to this design recommendation. | See Response from ARW.</t>
  </si>
  <si>
    <t>Micropile Drill Pad Elevation</t>
  </si>
  <si>
    <t>Following previous coordination on site and our understanding of CCD #002, Malcolm Drilling understands that the micropiles will no longer be drilled following interior/exterior excavation activities.   
It is our understanding, the design team would prefer to have micropiles installed prior to removing soils surrounding the existing stone foundation columns and walls both inside and outside.
Sacrificial casing and bar will be incorporated into CCD #002 pricing to accommodate this.
Drill pad outside the building is assumed to be approximately EL 98 = 2679.57.
Drill pad inside the building is assumed to be approximately EL 93 = 2674.57.
Top of micropile is assumed to be at approximately EL 85 = 2666.57.  
These elevations will need to be confirmed for final micropile design submittal.</t>
  </si>
  <si>
    <t>Please review. Thanks. | Grade elevations for which the drill rig will sit are outside the scope of ARW and will need to be confirmed and coordinated by the General Contractor and the Civil Engineer.  The purpose for installing micropiles prior to excavation is to allow the micro pile to be installed as closely to the foundation wall as possible since the stone foundation walls flare at the base.  The top of micropile elevation appears to be appropriate if the grades noted are correct. |</t>
  </si>
  <si>
    <t>221429</t>
  </si>
  <si>
    <t>P099A, P502</t>
  </si>
  <si>
    <t>Sump Pumps under Historic</t>
  </si>
  <si>
    <t>Plumbing Drawing P099A, plumbing underground at historic, two sumps are shown, one serving the baptismal area drainage and the other located at the east side serving the dewatering system. Drawing P502 details these sumps at both detail 2 and 3 respectively. These details appear to indicate that these sumps are to be pre-manufactured with an epoxy lining. No plumbing specification appears to indicate otherwise. Due to the difficult nature of installing pre-manufactured concrete sumps in the historic basement, please provide alternative methods or manufactured sumps.</t>
  </si>
  <si>
    <t>Please advise if a poly/plastic or fiberglass sump would be approved for installation at these locations.
These sump units are lightweight and durable.</t>
  </si>
  <si>
    <t>While fiberglass or a poly/plastic sumps are lightweight and durable, they bring concern regarding hydrostatic pressures. If these options were to be utilized, engineering information would need to be provided that 1) detail how the sumps would connect to the mat slab and 2) how the sump walls would resist the hydrostatic pressures. The preferred option would be to keep the pre-manufactured sumps with epoxy coatings.
Brian Oswald, VBFA
20-Dec-2019 |</t>
  </si>
  <si>
    <t>Beam Penetrations</t>
  </si>
  <si>
    <t>Assumption is that these pipes extend through the channel.  If so, is there a weld requirement? Also, if extension is required, how far?</t>
  </si>
  <si>
    <t>See response from ARW |  | The pipes do extend through the channel a minimum of 2” and then are to be welded to the channel with a 5/16” fillet weld all around.</t>
  </si>
  <si>
    <t>Brett Glassey</t>
  </si>
  <si>
    <t>Glassey Steel Works</t>
  </si>
  <si>
    <t>Offsite Storm MH 29 (Sheet C.4) Location does not match CCD</t>
  </si>
  <si>
    <t>The location of SDMH #29 on the approved offsite drawings (sheet c.4) does not match the conformed onsite drawings tie in called out on sheet C.8. The approved offsite SDMH #29 is already in process of being made. Will an additional manhole be needed for this tie in shown on C.8? See attached snips.</t>
  </si>
  <si>
    <t>There was a revision to the off-site plans. It was approved by the City. This manhole was added in the revision. See the attachment. |</t>
  </si>
  <si>
    <t>High</t>
  </si>
  <si>
    <t>Clint Foster</t>
  </si>
  <si>
    <t>Sunroc Corporation</t>
  </si>
  <si>
    <t>Civil Engineers</t>
  </si>
  <si>
    <t>221116</t>
  </si>
  <si>
    <t>Domestic Water Piping System - Joining Method</t>
  </si>
  <si>
    <t>Domestic Water Piping, paragraph 2.2, 2.3 and 3.3 indicate the use of solder joint fittings for all domestic water piping systems. This method of joining copper joints will require that hot work be performed throughout the historic structure. Knowing that this building in particular is a fire risk, we propose the following means of joining copper pipe 4" and smaller.</t>
  </si>
  <si>
    <t>Allow use of press joint systems such as Viega ProPress or similar mechanical joint. No additional cost to install.</t>
  </si>
  <si>
    <t>Press joint systems such as Viega ProPress or similar mechanical joints are acceptable for use with the domestic water systems inside the historic temple. |</t>
  </si>
  <si>
    <t>230000</t>
  </si>
  <si>
    <t>M101A</t>
  </si>
  <si>
    <t>Fire Smoke Damper Clarification</t>
  </si>
  <si>
    <t>Drawing M101A, between gridlines HA and HB, north and south sprial staircases, reference duct exiting the center of these staircases. No fire smoke dampers are shown like unto other floors at the staircase locations. Please confirm if FSD's are required at these locations.</t>
  </si>
  <si>
    <t>Confirm whether FSD's are required at the level 1 staircase locations</t>
  </si>
  <si>
    <t>Provide FSD's for these locations.</t>
  </si>
  <si>
    <t>M100</t>
  </si>
  <si>
    <t>EF-0-03 &amp; PVC Duct - Dimensions and Elevations</t>
  </si>
  <si>
    <t>Drawing M100, grid line AH and A7, indicating new exhaust fan EF-0-03 and PVC duct per sheet note 5.
No dimensions are shown for the PVC duct and elevations for the fan and duct located within the sewer ejector room 003.</t>
  </si>
  <si>
    <t>Please provide PVC duct dimensions and exhaust fan and duct elevations within room 003.</t>
  </si>
  <si>
    <t>The PVC duct should be 8"Ø. The bottom of the duct is at 7'-0" above the  basement finished floor. Please see the attached pdf "RFI_43_EF-0-03 &amp; PVC Duct - Dimensions and Elevations_VBFA". |</t>
  </si>
  <si>
    <t>M100A</t>
  </si>
  <si>
    <t>Another Fire Smoke Damper Clarification</t>
  </si>
  <si>
    <t>Drawing M100A, at gridlines HE, HC, H2 and H4 there are approximately 10 riser ducts that do not have fire smoke dampers shown like unto the other shaft riser ducts in close proximity to these locations.</t>
  </si>
  <si>
    <t>Please confirm if the duct risers shown without FSDs are correct or if they are to have FSD's as well.</t>
  </si>
  <si>
    <t>See VBFA's response  | Brian Oswald (VBFA INC CONSULTING ENGINEERS)
FSD's are to be provided for duct risers that serve levels 2 or 3 (Mezzanine). FSD's are not required for duct risers that only serve the baptistry floor. (2) Tags for FSD's were found to be missing and were added to sheet M100A. Refer to RFI 53 for the revised sheet. Brian Oswald, VBFA 31-Dec-2019</t>
  </si>
  <si>
    <t>RM 064 Supply Grilles</t>
  </si>
  <si>
    <t>Drawing M101A, gridline H4 between gridline HA and HB at room 064, two supply grilles are shown. No type/size and CFM requirement are shown. (The RFI is referencing the supply air registers at the ceiling, not the return air grilles at the floor.  Please advise.)</t>
  </si>
  <si>
    <t>Please provide type, size and CFM requirement for these grilles.</t>
  </si>
  <si>
    <t>The supply diffusers for Confirmation 063 and Confirmation 064 are all type CD-3 with 8"Ø connection and balance to 170 CFM. See sheet M100B for reference.
Brian Oswald, VBFA
30-Dec-2019 | Sorry, my mistake I am having a Friday brain today.....
Brian - are the SUPPLY the same as room 063 as well? 8" Diameter CD-3, (2) 170?</t>
  </si>
  <si>
    <t>M106 &amp; M101</t>
  </si>
  <si>
    <t>Intake Hood IH-3 Clarification</t>
  </si>
  <si>
    <t>Drawing M106, gridline AH between gridline A4 and A5 is shown intake hood IH-3. Drawing M101, same gridline location does not indicate any duct or airside equipment to be served by intake hood IH-3.</t>
  </si>
  <si>
    <t>Please provide direction as to what system/equipment intake hood IH-3 is to serve.</t>
  </si>
  <si>
    <t>See attached  | See updated response to Intake Hood IH-3  |  |</t>
  </si>
  <si>
    <t>M603</t>
  </si>
  <si>
    <t>SRW-1 Grille Schedule</t>
  </si>
  <si>
    <t>Drawing M603, diffuser, register and grille schedule reference two separate SWR-1 grilles. The ID, Manufacturer, Max NC, Image and Description all appear to be the same. The quantities are not the same (181 vs 2).  </t>
  </si>
  <si>
    <t>Please Provide additional information on both SWR-1 grille items indicating the differences between the two.</t>
  </si>
  <si>
    <t>See attached</t>
  </si>
  <si>
    <t>237313</t>
  </si>
  <si>
    <t>M Sheets</t>
  </si>
  <si>
    <t>AHU-3 Fan HP Change</t>
  </si>
  <si>
    <t>Per VBFA response to the approved AHU submittals, please verify that the current power selection for the return/relief fans for AHU-3 is acceptable. The fan horsepower selection was changed from 2hp on the original schedule to 2.5hp in order to meet the design demand. See approved submittal pages 54 and 63 for reference.</t>
  </si>
  <si>
    <t>Confirm hp change is noted by electrical engineer.</t>
  </si>
  <si>
    <t>Confirmed that HP change on AHU-3 Return fan going from 2HP to 2.5HP motors does not impact wire or breaker sizes for electrical connection to unit.
Scott Hardy, Envision Engineering |</t>
  </si>
  <si>
    <t>Branch Circuit Conduit Paths</t>
  </si>
  <si>
    <t>Can we route branch circuit conduits in the concrete deck between basement 
and level 1 we would need less space above the ceilings for conduit racks if we could
route encased in concrete deck?</t>
  </si>
  <si>
    <t>Conduit is not allowed to be placed inside the concrete slab on deck.  Please run any conduit racks etc. below the concrete floor deck. | No. See comment from Zach Hansen (ARW ENGINEERS) |</t>
  </si>
  <si>
    <t>Trask Johnson</t>
  </si>
  <si>
    <t>AE383 AE384 GA005</t>
  </si>
  <si>
    <t>Wood Flooring Thickness</t>
  </si>
  <si>
    <t>Stair 3 Floor Finish denotes Hardwood Flooring at Landings and Hardwood Stair Treads (ref: sheets AE383 &amp; AE384). GSW has been unsuccessful in locating anywhere that provides thicknesses to be used for this wood material. Sheet GA005 refers us to finish schedules on AE660, AE661, AE662 - but there is no dimension provided. In the past we have seen this dimension vary from 1.5" to 2.25". Please provide if possible - this affects our ability to detail the stair. This also applies to the other stairs - if possible please provide information for them as well.</t>
  </si>
  <si>
    <t>Westland &amp; sub are currently sourcing the wood flooring from Carlisle, no spec is nailed down yet. See Sheets AE510 - Stair Details, the design intent is for the stained wood treads to be 1-1/4" thick with a 5/8" trim below. Wood treads shall not exceed 1-1/2" thick.</t>
  </si>
  <si>
    <t>AE383 through AE387</t>
  </si>
  <si>
    <t>Stair 3 Elevations</t>
  </si>
  <si>
    <t>Elevations (Top of Floor &amp; Top of mid Landings) Do not match between plan views and elevation views. The differences range from 1/8" to 1/4". Please clarify which dimensions we are to follow.</t>
  </si>
  <si>
    <t>In general the elevations noted on Plan View are accurate. Sheets AE383 - AE387 have been updated and are attached.</t>
  </si>
  <si>
    <t>AE383 Through AE387</t>
  </si>
  <si>
    <t>Stair 3 Level 2 to Mid Landing</t>
  </si>
  <si>
    <t>The Stair run from Level 2 (elevation 111'-6-1/2") to the mid landing at elevation 118'-1-1/2" is called out on the drawings as needing 10 treads. If this amount of treads occur - this will place the riser heights at 7-3/16". Sheet AE511 denotes a maximum riser height of 7". Please clarify.</t>
  </si>
  <si>
    <t>Note of 10 Treads is incorrect, there should be 11 Treads. See Detail A4/AE387 which correctly shows 11 Treads and 12 Risers between Level 02 and Landing 03. We should be closer to 6-1/2" risers across this flight of stairs.</t>
  </si>
  <si>
    <t>RM 043 Supply Air Duct</t>
  </si>
  <si>
    <t>Drawing M100A, mechanical room 043 at gridline HH and H5 are two supply air duct penetrations at the mechanical room 1 hour rated walls. No indication of fire smoke damper is shown on these supply duct penetrations. One is shown on the return duct penetration. See attached snapshot.</t>
  </si>
  <si>
    <t>Please clarify if fire smoke dampers are required on these two supply duct penetrations.</t>
  </si>
  <si>
    <t>See Attached |  |</t>
  </si>
  <si>
    <t>55/GA003</t>
  </si>
  <si>
    <t>Wall Type 55 - WP 1570</t>
  </si>
  <si>
    <t>Plans show 5/8" drywall on both sides of 6" studs. CCD #1 added note for wall to be similar to WP 1570. This GA file shows 3/4" type x drywall on both sides. Please advise if we are to install 5/8" gypsum board or 3/4" gypsum board.</t>
  </si>
  <si>
    <t>5/8" Gyp. Bd. may be used at walls that are not a part of the fire rated assembly areas. NO substitutions are allowed at Fire Rated portions or areas specified on the code review drawings (GI Sheets). Please refer to ASI #05 for further instruction.</t>
  </si>
  <si>
    <t>Aaron Bowers</t>
  </si>
  <si>
    <t>Pete King Commercial</t>
  </si>
  <si>
    <t>GA003-GA004</t>
  </si>
  <si>
    <t>Wall Types - GA file assemblies - Proprietary</t>
  </si>
  <si>
    <t>CCD #1 added notes to various wall types with the wording "SIMILAR TO GA FILE NO….". Many of the assemblies provided are proprietary and require drywall from specific manufacturers. Please advise if it is acceptable to use alternate products equal to those specified in the GA files.</t>
  </si>
  <si>
    <t>Please see ASI #05.</t>
  </si>
  <si>
    <t>321413</t>
  </si>
  <si>
    <t>Spec 321413.2.1 Questions</t>
  </si>
  <si>
    <t>The spec section for unit pavers calls for Belgard concrete pavers. The landscape drawings all refer the paving to be Endicott brick pavers. Please confirm paving material.</t>
  </si>
  <si>
    <t>References to Belgard are incorrect, the plan references to Endicott are correct.</t>
  </si>
  <si>
    <t>Bob Durrant</t>
  </si>
  <si>
    <t>IMS Masonry Inc.</t>
  </si>
  <si>
    <t>Landscape Architects</t>
  </si>
  <si>
    <t>Open Pit 034 Louvers</t>
  </si>
  <si>
    <t>Drawing M100, gridlines AH and A4 at open pit 034, one new louver and two existing louvers are shown installed within a rated wall. No fire smoke dampers are shown. See attached screenshot.</t>
  </si>
  <si>
    <t>Please advise if FSD's are required at these louver locations.</t>
  </si>
  <si>
    <t>See VBFA's response  |  |</t>
  </si>
  <si>
    <t>M100B, M102, M103 &amp; M101A</t>
  </si>
  <si>
    <t>FSDs Locations at Stair Towers</t>
  </si>
  <si>
    <t>Drawings M100B, M101A, M102 and M103 at gridlines HA to HB, fire smoke dampers (FSDs) are indicated to be installed at both the north and south sprial stair towers. The locations shown do not appear to match the rated assemblies shown on the code drawings (GI). Detail 1/M402 does not provide additional FSD location info. See attached snapshot for clarification.</t>
  </si>
  <si>
    <t>Please confirm the locations for this FSD's as shown currently are correct.  </t>
  </si>
  <si>
    <t>See VBFA's response |</t>
  </si>
  <si>
    <t>Circuits on Chandelier Hoists</t>
  </si>
  <si>
    <t>How many circuits (and or wires) are needed for each light fixture having a chandelier hoist?
How heavy is each chandelier?  (will any require a 2000 lb hoist or will a 1250 lb hoist be sufficient for all chandeliers?)</t>
  </si>
  <si>
    <t>These typically do not run any emergency light backup system in these light fixtures. This would cause a larger than normal size cable.</t>
  </si>
  <si>
    <t>Hi Dan,
I'll send over the estimated weights and circuits before the weekend.
-Please provide a schematic of your lift attachment.
-Please confirm which of the following fixtures require a lift that you'll be providing:
-Celestial Room Large Chandelier 84"x150"L   Qty. (1)
-Celestial Room Side Pendants  30"x65"L  Qty. (4)
-Large Sealing Room Chandelier Type 1  72"x132"L  Qty. (1)
-Medium Sealing Room Type 2   Room #148 60"x65"L  Qty. (1)
-Small Sealing Room Type 3  Room #216  48"x82"L Qty. (1)
Are there any others in Family B, C, or D?
Thank you,
Claudia</t>
  </si>
  <si>
    <t>Dan Lopez</t>
  </si>
  <si>
    <t>Drive Motorlifts, L.L.C.</t>
  </si>
  <si>
    <t>Claudia Hawkins</t>
  </si>
  <si>
    <t>Swarovski Lighting Ltd.</t>
  </si>
  <si>
    <t>P201</t>
  </si>
  <si>
    <t>Roof Drains in Spiral Stair Case</t>
  </si>
  <si>
    <t>On sheet P201 it is calling for use to notch the Center of the spiral staircase support walls for a 4” roof drain. Our concern is that wen we start to notch the stone out that the stone may brake lose on the other sided and cause significant aesthetic impacts to the towers?</t>
  </si>
  <si>
    <t>Should a we surface mount the pipe and build a false wall be built to hid it?</t>
  </si>
  <si>
    <t>After reviewing with the structural Engineer and the drawings, the stone in the areas that are being notched is over 3' thick and is not a concern. There is an upcoming
CCD #12 that will give more instruction and to clarify.</t>
  </si>
  <si>
    <t>Return Duct Dimension at Grid HG</t>
  </si>
  <si>
    <t>Drawing M100A, gridline HG and H4, return ductwork branch running south along gridline HG is missing a dimension directly following the FSD and before the transition shown. See attached clouded duct for reference.</t>
  </si>
  <si>
    <t>Please provide dimension of the clouded return ductwork.</t>
  </si>
  <si>
    <t>See attached from VBFA |</t>
  </si>
  <si>
    <t>Deco Lighting Family B Arm Question</t>
  </si>
  <si>
    <t>Please see the attached question about the metal arm on Family B. Do you want Option A or B used on this family?
-Option A the simplified arm as shown in the concept images?
-Option B the more decorative arm with the key, etc.?
Family B:
Proxy Sealing 
3rd Floor SR #318 </t>
  </si>
  <si>
    <t>Elevator Ceilings</t>
  </si>
  <si>
    <t>The bid documents specified the ceilings to be “medium oxidized bronze lacquered to match front wall”. However in the conformance drawings these ceilings are shown to be painted gyp. ceilings. As such, the elevator manufacturer has removed ceilings and lighting from his pricing, and is expecting the drywall sub and millworker to provide the ceilings with the electrician providing the lighting. The lighting, however, is not called out. Please provide information for the lighting in the elevators 2 through 5. 
As a side note, the escape hatch shown in the elevator RCPs will not work. Coordination between the Otis, the electrician, the millworker, and the drywaller will need to be performed to ensure the hatch is accessible.</t>
  </si>
  <si>
    <t>Please provide information for the lighting in the elevators 2 through 5. </t>
  </si>
  <si>
    <t>Hyrum Ence</t>
  </si>
  <si>
    <t>Window Stool Demo</t>
  </si>
  <si>
    <t>Please confirm that per a phone conversation between David Adams and Kyle Welch that the stool and around the perimeter of the window is to be Demoed. This will allow for the Window to be removed when it is time. </t>
  </si>
  <si>
    <t>Wood trim, Tile or portions of plaster splays at interior sills along window frame may be removed for window replacement. Provide reference documentation of existing condition of each window before demo. This will be used during the new construction and rebuilding the new window plaster splays and bevels etc. GC is to set up a meeting with Architect and Demo Contractor to walk through and review methods of removal before window demo starts. See attached photos for reference from earlier window replacement/ study.</t>
  </si>
  <si>
    <t>Travis Keenan</t>
  </si>
  <si>
    <t>TID, Inc.</t>
  </si>
  <si>
    <t>LP101, LP108A &amp; LX101</t>
  </si>
  <si>
    <t>Tree Removal Clarification</t>
  </si>
  <si>
    <t>This tree (see attached) is shown on the tree demo plan, but appears to be still on the planting plan. Is this tree to be removed? Please advise.</t>
  </si>
  <si>
    <t>As noted on redlined RFI 65 Snips.pdf exhibit, do not remove this tree at this time.  There remains discussion between CRSA, the Church Landscape Architect, and Church Project Management on the status of the tree in question.  Further discussion will be required.  Thank you |</t>
  </si>
  <si>
    <t>057000</t>
  </si>
  <si>
    <t>AE525</t>
  </si>
  <si>
    <t>Baptistry Font Attachment to Foundation</t>
  </si>
  <si>
    <t>When removing the historic font, the attachment of the bottom pan to the side walls was discovered. It is evident that historically the font was assembled completely then lowered in place on a bed of mortar, covering the bolted attachment. Since lifting the entire font for re-installation isn't practical with the space and means we have now, it is desirable to create an attachment that leaves the bolted connection exposed. The question is: Can the foundation detail be changed to allow an exposed bolted connection?</t>
  </si>
  <si>
    <t>I have created a sketch of the detail we propose along with the current detail from the architectural sheet AE525. The new detail would require some additional build out to the finished surface. For our part it would be a no cost change.</t>
  </si>
  <si>
    <t>ARW does not have issues with reworking this connection in a manner similar to what is proposed.  We agree that more dimensional information may be needed in order to determine if the proposed connection will work.  A couple of considerations are:  1) Will the connection plate on the exterior of the wall interfere with attachment of the oxen.  2) Are the existing threaded holes in the font in a condition to be reused and is that connection strong enough to secure the font? | No issues have been presented in altering the foundation as proposed. This item is continuing to be developed and coordinated between CRSA, ARW, &amp; HACI |</t>
  </si>
  <si>
    <t>Steve Brown</t>
  </si>
  <si>
    <t>Historical Arts &amp; Casting Inc.</t>
  </si>
  <si>
    <t>057300</t>
  </si>
  <si>
    <t>AE524</t>
  </si>
  <si>
    <t>Reproduction of Historic Elements of the Babtistry Rails</t>
  </si>
  <si>
    <t xml:space="preserve">Given the samples of the historic Parts we have, how much refinement should we do to improve or eliminate the existing flaws? I have attached images with notes of the type of irregularities we are seeing. In the historic rail many of the foundry flaws were covered or minimized with fill and paint. The more pertinent question is with the irregularity of the original tooling. We see variation in the fluting in particular. Also, the clean up of the parting lines. Some of the shapes of the molding profiles are also irregular. </t>
  </si>
  <si>
    <t xml:space="preserve">Many of the flaws come from problems they had in the foundry process, the porosity in particular. Those should be eliminated as the base material of the new rail will be exposed. Regarding the irregularities in the tooling. We feel that the design features should be improved as the flaws will be more noticeable with the refined bronze finish.  </t>
  </si>
  <si>
    <t>During a couple of site visits to Historical Arts &amp; Casting, it has been discussed to fix casting issues seen in the pitting and seams, but to leave the irregularities in flute size to give it a more hand made appearance.</t>
  </si>
  <si>
    <t>Baptistery Oxen Mounting</t>
  </si>
  <si>
    <t xml:space="preserve">This is a multi part question:
Are the oxen to be mounted in a way to plan for embedding their feet in the floor?
Are the oxen to be mounted in a way to plan for their bodies to be embedded in the in wall below the font?
The architectural drawing shows oxen that are 3'-5" tall. The drawing also shows it on top of the tiled surfaces. The oxen are actually 3'-8" tall. In order to allow for the 1 3/4"  reveal above the oxen, an adjustment would need to be made to either their height, their embedment or the elevation of the finish floor beneath them. 
See attached drawing and pictures with my notes regarding these topics.
If an adjustment needs to be made to the elevation of the oxen or finished floor anyway, do you want to consider adding hooves onto their legs while we are at it? </t>
  </si>
  <si>
    <t xml:space="preserve">Regarding the elevation of the oxen, I would add hooves and adjust the elevation of the finished floor of the moat to achieve the desired reveal above the oxen.
Where the oxen meet the wall, I would mount them and then bring the finish tile in around them. </t>
  </si>
  <si>
    <t>During a couple of site visits to Historical Arts &amp; Casting, this item as been discussed at length. The oxen will be mounted to the framed wall (anchored through the foundation). Options are being discussed with HACI on how to finish the joint between the oxen and the vertical surface. There will not be any hooves added to these oxen, however a standoff with trim will be designed to allow the floor tile to be installed cleanly.</t>
  </si>
  <si>
    <t>Tie Rod Cores and Grouting Options</t>
  </si>
  <si>
    <t>1) Details 6/S240, 1,3/S242. We submitted RFI 001 requesting the option to sleeve the tie rods at the existing stone walls, pour the jacket walls in place and then install the rods. In reviewing this we would like to propose pouring the jacket walls first as an option and then having the core drill take place after the jacket wall concrete is placed. This would facilitate the core driller with a flat surface to drill against. Please verify if this is an acceptable approach. 
2) Please provide the anticipated core size diameter that is planned for the 1" tie rods
3) Would it be acceptable to use epoxy grout around the tie rods or do we need to use epoxy?  </t>
  </si>
  <si>
    <t>See ARW's Response |  | See below for response:
1) We take no exception to this proposed method.
2) Please provide a core hole that is 1/4" max oversize.
3) Epoxy grout can be used if the viscosity of the grout is such that it will allow adequate penetration to fill voids between stone and tie rods.</t>
  </si>
  <si>
    <t>Judd Bundy</t>
  </si>
  <si>
    <t>Epoxy specifications/ missing embedment depths</t>
  </si>
  <si>
    <t>(EXTRA COSTS COULD BE INCURRED PER THIS RFI)
Reference structural notes S001 and attached epoxy dowel summary spreadsheet.
1) Approved epoxy types per structural notes on S001 are Hilti-RE 500V3, Hilti HIT-HY 200, Simpson Set-XP or AT-XP and Dewalt Pure 110+ or AC200+. For locations and details not requiring specific epoxy types we would like to propose Hilti HIT-RE 100 and Hilti HIT-HY 100 as an optional epoxy to be used on the project. Please verify if this is acceptable. 
2) Please provide epoxy embedment depth at the following details: 3/S212, 1/S241, Slab embedment details 3/S221 and 13/S220. #3 dowels detail 6/S240, Dowel into stonewall detail 1/S241, 2/S241, Vertical dowel into basalt trench detail 1/S242, 3/S242, Stonewall dowels 1/S243 and basalt trench vertical dowels 1/S243</t>
  </si>
  <si>
    <t>See ARW's response |  | See below for response:
1) Please use the approved epoxy types shown in the structural notes.  These epoxy types were chosen based on previous anchor testing in the existing stone.
2)
3/S212 references 1/S241 which specifies 24" embedment in the notes.
3/S221 Please use 8" embedment for dowel into the existing slab.  This will be clarified on an upcoming ASI.
13/S220 the U-bar note indicates 19" embedment and the slab dowel dimensions are shown in the note.
6/S240 #3 dowel dimensions are shown in the detail.  Embedment depth would be approximately 12".
1/S241 says to use 24" embedment.  2/S241 uses the same embedment depth as 1/S241 but has a typo referencing detail 1/S204 instead of 1/S241.  This clarification will be made in an upcoming ASI.
Vertical dowel embedment is not required.  This clarification will be made in an upcoming ASI.
1/S243 references 1/s242 and 1/S241 which includes a 24" embedment note. Vertical dowel embedment is not required.  This clarification will be made in an upcoming ASI.</t>
  </si>
  <si>
    <t>Annex shear walls, SOG, SOD and structural steel coordinatio</t>
  </si>
  <si>
    <t>(EXTRA COSTS COULD BE INCURRED PER THIS RFI)
Sheet references S100, S101A, detail 8,10/S210, A,B/S301 
1) Reference shear walls at grids AD, AE on sheet S100. Please verify if it would be acceptable option to pour a stem wall for these shear walls in lifts from elevation 85'-0" to 87'-0" to allow the backfill and slab on grade to be poured. Vertical wall rebar would be spliced at elevation 87'-0". Reference screen shot of detail 8/S210 on attached sheet S301. 
2) Reference mark ups on elevation details A,B/S301. Please verify if acceptable to pour walls on grids AD and AE to FF elevation 100' and then have structural steel to be set at level1 and slab on metal deck poured before topping out the remaining wall lift? With the upper roof trusses tying into the perimeter precast walls we assume this would not be an issue with steel plumb up and provide a safer and better work surface for the upper sections of annex work to be completed. Also based on the details of how the CMU dowels tie into the slab on deck on level 1 at the shafts and stair wells this appears to be the intent of the sequence of construction.</t>
  </si>
  <si>
    <t>See ARW's response |  | See below for Response:
1) It will be acceptable to pour the wall to elevation 87'-0".  Vertical rebar shall run continuous through the joint at lengths that provide adequate rebar splice lengths per the rebar lap splice schedule.  The top of the wall at elevation 87'-0" shall be prepared per the structural notes E.8 and E.9.  
2)Construction sequencing is outside the scope of ARW and should be coordinated with the general contractor.  If it is desired to provide a construction joint in the wall at elevation 100'-0" we take no issue with that.  It will be necessary to provide the joint that meets what is described above in our response to item #1.  All detailing of slab to wall and floor beam to wall connections shall remain as shown in the drawings.  | Can you take a look at this Jay for the sequencing portion?</t>
  </si>
  <si>
    <t>Jay Webster</t>
  </si>
  <si>
    <t>Mech Access Doors 3rd &amp; 5th Floors</t>
  </si>
  <si>
    <t>The mechanical access doors on the 3rd and 5th floor have lead paint. The access doors on the 3rd floor are going to be demoed with the wall but we are unsure about the 5th floor.  Are the doors show in the attached photo supposed to be demoed on the 5th floor?</t>
  </si>
  <si>
    <t>No attached photo. 
Yes, all the mechanical access doors on Level 3 &amp; 5 (leading into the ceiling above Level 2 or Attic above Level 4) are to be removed and returned to the Owner. New flush mounted access panels are to be provided.  | Yes, the response is still correct. All attic/mechanical access panels on Level 3 &amp; 5 are to be removed and returned to owner.</t>
  </si>
  <si>
    <t>Creg Norton</t>
  </si>
  <si>
    <t>5th Floor Ceiling Demo</t>
  </si>
  <si>
    <t xml:space="preserve">The ceilings on level five are called out to be gyp board and to be demoed.
They are lath and plaster and not gyp board and would be a additional 13,710 on top of what we had in for the gyp-board ceilings on level five. How do you want us to proceed </t>
  </si>
  <si>
    <t>Please see CCD 11 showing how to proceed.</t>
  </si>
  <si>
    <t>Precast Elevation from Shop Drawings (Type E vs Type F)</t>
  </si>
  <si>
    <t>Annex Bldg – PreCast Shop Drawings (dated 10-7-19) – Sheet PC2.02
(S) Precast Elevation – All (4) of the Full Circle openings across the top are noted to have a R1’-6 3/4” (37.50”) opening which is what the Window Type E is designated to have. However the Architectural Elevation drawings on sheet AE204 technically have the (2) inside full circle openings designated as Type F and not Type E as shown on Precast shop drawings. For what its worth I believe they all should be Type E (for a total of 6 openings) but this needs to get clarified. The Type F openings should only be across both sides of the East and West elevations of the Annex.
Link to Submittal</t>
  </si>
  <si>
    <t>The windows noted as Type F on AE204 are incorrect. All 6 full circle openings on the North Entrance shall be Type E (matching).</t>
  </si>
  <si>
    <t>Todd Maxwell</t>
  </si>
  <si>
    <t>Re-View Windows, Inc.</t>
  </si>
  <si>
    <t>3 Missing Demensions for FSD's on M100A</t>
  </si>
  <si>
    <t>Drawing M100A, appears a total of three (3) fire smoke dampers (FSD) are missing dimensions. See attached for reference.</t>
  </si>
  <si>
    <t>Please provide dimensions for the FSD's indicated on the attached screenshot.</t>
  </si>
  <si>
    <t>FSD's on Mechanical vs EY Drawings</t>
  </si>
  <si>
    <t>The conformed EY drawings appear to have ll fo the fire smoke dampers shown as connected to the fire alarm system panel. Does a FSD matrix exist on the mechanical drawings that matches the EY drawings?</t>
  </si>
  <si>
    <t>Please provide a fire alarm numbered matrix indicating labeling that matches the fire alarm control panel per the EY drawings.</t>
  </si>
  <si>
    <t>AE251, P106</t>
  </si>
  <si>
    <t>Roof Drains at East Tower</t>
  </si>
  <si>
    <t>Drawing AE 251, detail C4, drawing P 106A indicates roof drains at east tower, near gridlines H3/HA.
See attached drawings. Existing roofing material appears to be standing seam fiberglass panels. See attached photos. Note that drawing AE 251 general notes indicate all fiberglass panels to remain.</t>
  </si>
  <si>
    <t>Please confirm if roof drains are to be installed directly on top of fiberglass panels, beneath panels, or if slope/pitch will be provided to better drain this area.</t>
  </si>
  <si>
    <t>AHU-5 Return Duct Elevation Routing at Basement Font Area</t>
  </si>
  <si>
    <t>Drawing M100A, between gridlines HG to HF are two (2) 36x32 and one (1) 66x36 return ducts routing from the basement font room to AHU-5. Drawing S100A indicates that the floor height of this area where duct is shown to be installed is 88'9" FFE. Drawing AE340, detail 1 indicates the FFE level to be 87'. It appears that the ductwork as shown will need to be routed approximately 2' below concrete slab. See attached for clarification.</t>
  </si>
  <si>
    <t>Please confirm if the return ductwork shown is to be installed within the soil/dirt or if there is to be a concrete tunnel/chase for install and routing purposes at these locations in the basement.</t>
  </si>
  <si>
    <t>See CCD 013 that shows the concrete chases.  |  |  |  |</t>
  </si>
  <si>
    <t>Added Keypads at Gate and Security Office</t>
  </si>
  <si>
    <t>Question about Addendum #7 (CRSA Addendum 6). Three keypads were added (two at the gate and one in the security office). What system are we looking to tie these keypads into? Is there an existing access control system or will these be kind of a standalone system that just needs to open the gate and communicate back with the security office?</t>
  </si>
  <si>
    <t>The keypad control system for the west gated entry is intended to be a 'stand-alone' type system for the gate only as there is no other electronic access control system for the temple.  The details of the controls for this system will depend on the specific product information for the gated entry and what control/interface options are available for that specific product. Is the submittal for the gated entry available at this point? It is recommend that the contractor review the product options and propose a control system for review that meets the project requirements. |</t>
  </si>
  <si>
    <t>David Barney</t>
  </si>
  <si>
    <t>Electrical Engineers</t>
  </si>
  <si>
    <t>M100B</t>
  </si>
  <si>
    <t>Cooridor 065 Missing FSD</t>
  </si>
  <si>
    <t xml:space="preserve">Drawing M100B, corridor 065 appears to be missing a FSD at indicated attached location.  </t>
  </si>
  <si>
    <t>Please clarify if an FSD is required at this location.</t>
  </si>
  <si>
    <t>Per VBFA, Yes a FSD is required in this location |  |</t>
  </si>
  <si>
    <t>AD125, M105, MP105</t>
  </si>
  <si>
    <t>Level 5 Ceiling Conflict with New HVAC-PLBG Systems</t>
  </si>
  <si>
    <t>Drawing AD125, key note 2.126 indicates existing ceiling to remain at north and south corridors. Drawing M105 and MP105 indicate new duct, VAV's and mechanical piping to be routed above existing ceilings. Existing ceilings will need to be removed at these locations to allow for installation of mechanical and plumbing systems. See the attached drawings.</t>
  </si>
  <si>
    <t>Please confirm existing ceilings at these locations will be removed to allow for installation of new mechanical and plumbing systems.</t>
  </si>
  <si>
    <t>Existing ceilings in the North and South corridors needs to remain. New mechanical and electrical installation shall be accessed through attic space and through the adjacent rooms where the ceiling is being removed.</t>
  </si>
  <si>
    <t>Finish Schedule Marble Clarifications</t>
  </si>
  <si>
    <t>Two Questions:
The Finish Schedule AE660 calls out BS1 as M240 Thassos White Marble slab from Daltile. However, the closest material I can find on Daltile’s website is M420 Thassos Snow White marble. Is this the correct material?
The Finish Schedule also calls out BT3 as Thassos BQ100P quartz slab from Inside Out Architecturals, but after contacting Inside Out Architecturals for samples, I was told they are not the supplier for this material. Is the BT3 material supposed to be M420 Thassos Snow White marble from Daltile or Thassos BQ100P quartz from Pental Quartz?</t>
  </si>
  <si>
    <t>See GHID response  |  | We would like to press forward with the Thassos marble for both items and remove the quartz completely. Updated finish plans/legend to follow.</t>
  </si>
  <si>
    <t>Nathan Gheen</t>
  </si>
  <si>
    <t>GLOBAL STONE &amp; TILE LLC</t>
  </si>
  <si>
    <t>M602, M701, M710, M711</t>
  </si>
  <si>
    <t>Missing Fan Coils per equipment schedule</t>
  </si>
  <si>
    <t>Drawing M602, fan coil schedule indicates a total of eight (8) fan coils to be installed at stairwells 6 and 7 that cannot be found on the mechanical drawings.  Drawings M701, M710 and M711 indicate airflow and hydronic piping routing to these fan coils.  See attached schedule for clarification.</t>
  </si>
  <si>
    <t>Please advise if these fan coils are to be installed and if so provide drawing indicating locations.</t>
  </si>
  <si>
    <t>See VBFA's response  |  |  |</t>
  </si>
  <si>
    <t>M602, M104, MP104</t>
  </si>
  <si>
    <t>Level 4 missing fan coils</t>
  </si>
  <si>
    <t>Drawing M602, fan coil schedule indicates FC-4-04A, 4-04B, 4-05 and 4-06 to be located in rooms 409, 410, and 411.  These fan coils are not shown on drawings M104 and MP104.  See attached for clarification.</t>
  </si>
  <si>
    <t>Please confirm these fan coils are to be installed per M602 and provide drawing detail.</t>
  </si>
  <si>
    <t>M101</t>
  </si>
  <si>
    <t>Room 112 Missing Return Grille</t>
  </si>
  <si>
    <t>Drawing M101, room 112 is shown a return duct at the south wall with no dimensions given.  Drawing AE108, detail C4, note 23.01 call out for a decorative return grille at this location.  See attached for clarification.</t>
  </si>
  <si>
    <t>Please provide a return grille size for this location.</t>
  </si>
  <si>
    <t>See VBFA's response |  |  |  | This return grille has a 14"x14" duct connection.
Brian Oswald, VBFA
08-Jan-2020</t>
  </si>
  <si>
    <t>CCD#007, M101</t>
  </si>
  <si>
    <t>CCD#007-Room 112</t>
  </si>
  <si>
    <t>CCD#007, drawing M101, Room 112 appears to indicate two sound boots with missing grille call outs/information.  See attached for clarification.</t>
  </si>
  <si>
    <t>Please clarify if sounds boots are needed as there is already a low return in this space.  If so, provide grille size for these sound boots.</t>
  </si>
  <si>
    <t>See VBFA's response |  |  |</t>
  </si>
  <si>
    <t>M100A, AE100B, S222</t>
  </si>
  <si>
    <t>Fire rated assemblies at M100A</t>
  </si>
  <si>
    <t>Drawing M100A, between grid lines HE to HC and H2 to H4, there are shown multiple floor installed fire smoke dampers (FSD).  Drawing S222 indicates a floor opening assembly at these locations.  Detail 9 on this same drawing does not indicate TYPE of rated assembly to be installed.  Drawing AE100B, same locations, does not appear to provide any detail on type of rated assembly to install.  See attached for clarification.</t>
  </si>
  <si>
    <t>Please provide type and detail of rated assembly required at these locations.</t>
  </si>
  <si>
    <t>Level 3 Demo Clarifications</t>
  </si>
  <si>
    <t>We need some clarification on these level 3 demo items: 
Do we remove the plaster above the acoustical tile in the hall and above the ceiling in the bathrooms and above the tile in the foyer to the stair tower.
South hall area arches dashed explain, Arches.
North hall area arches dashed area, Arches. Explain also.
North and south hall post explain.
There is no acoustical in center room of the stair tower.</t>
  </si>
  <si>
    <t>See Comments added.</t>
  </si>
  <si>
    <t>Replace Not Relocate Trees From CCD 6</t>
  </si>
  <si>
    <t>Please verify that the two trees discussed in CCD 6 are now to be removed and destroyed and not relocated.  Please provide species and caliper for the trees to be placed in the locations shown on LX101 per CCD 6.</t>
  </si>
  <si>
    <t>Eric said CRSA recommended:
Species: Ulmus parvifolia ‘True Green’ (True Green Elm)
Size: 6-8” caliper</t>
  </si>
  <si>
    <t>Correct, the two trees identified in CCD 6 are to be removed and replaced with 7" caliper Ulmus parvifolia 'True Green' (True Green Elm) See attached LX101 to see the location for the replacement trees highlighted in red. |</t>
  </si>
  <si>
    <t>Buttress Clarification at Annex</t>
  </si>
  <si>
    <t>Reference sheets AE146 and details 5,6/S211. The 4 column buttresses at grid east of grid AC/between A4 to A7 are dimensioned to be 2'-0" wide by 1'-3"deep on AE146. On sheet S100 the detail reference is 5/S211 and 6/S211 has a dimensions width at 18" and edge of concrete at 9 1/2 from CL column. Please confirm the architectural dimensions are correct? 
Reference the color coated plan S100. The dimensions on AE146 and AE147 are not real clear at all locations. Please verify the concrete dimensions from face of CW4 wall typical (pink 2'-0"x1'-3", north elevation in yellow AE to AF and AC to AD 1'-6"x11", north elevation blue 1'-6" wide x 1'-3" deep grids AE to AD/A10, east elevation "green" 1'-6" wide x 8 1/2" deep grids A1 to A5/ AA to AB). 
Reference the color coated plan S101A. Please verify the following: Grid AH/ A2 to A5 where the existing wall is capped are the buttresses 1'-6" wide by 11" deep from face of wall? What is the elevation of bottom of buttress at this location per 17/S221?  
Please provide elevation to bottom of north annex buttresses per detail 16/17/S22. (Note says below frost depth)
(EXTRA COSTS COULD BE INCURRED PER THIS RFI)</t>
  </si>
  <si>
    <t>Geo Foam Specification</t>
  </si>
  <si>
    <t>See attached technical data sheet for structural GEO Foam. Please provide clarification of the foam density required on the project? Specific locations would pertain to details around the baptistry font (6/S241), below elevator slab (3/243). We assumed EPS12 as the typical use spec.</t>
  </si>
  <si>
    <t>See ARW's response |  |  | EPS12 structural foam is adequate for the locations noted.</t>
  </si>
  <si>
    <t>Tree RFI 1</t>
  </si>
  <si>
    <t>LX101 &amp; C.6</t>
  </si>
  <si>
    <t>Redesign Sidewalk to Preserve Trees</t>
  </si>
  <si>
    <t>(RFIs 1 &amp; 2 for the Tree RFIs Attachment)
Chris requested before we remove these two trees we discuss the possibility of redesigning the sidewalk. Please advise.</t>
  </si>
  <si>
    <t>Either approve their demo or provide redesign.</t>
  </si>
  <si>
    <t>Greg Boudrero</t>
  </si>
  <si>
    <t>MGB+A The Grassli Group</t>
  </si>
  <si>
    <t>Zac Givens</t>
  </si>
  <si>
    <t>Remove Tree Near Construction Traffic &amp; New Sidewalk</t>
  </si>
  <si>
    <t>(Tree RFI 3 from the attachment)
The tree is too close to the new side walk.  Construction access will pass right next to this tree for the duration and we feel the health of the tree will be severely impacted.  
The protection we currently have around the tree will have to be modified to allow access.</t>
  </si>
  <si>
    <t>Add this tree to those approved for demo on LX101.</t>
  </si>
  <si>
    <t>See attached for updated LX101 showing removal of the tree nearest the sidewalk and removal of the tree in the southwest corner near the seating area and an update to the tree protection fence alignment.</t>
  </si>
  <si>
    <t>Duct Fire Wrap</t>
  </si>
  <si>
    <t>Keyed note 5 on M100A issued in CCD 7 calls for “duct between fire smoke damper and entering floor above to be fire wrapped.” However this keyed note is only shown on three different vertical duct runs. Please advise if this keyed note is typical for all similar conditions on this sheet. please see attached</t>
  </si>
  <si>
    <t>CCD#007- MP 100A</t>
  </si>
  <si>
    <t>Font Skid Relocation HX piping</t>
  </si>
  <si>
    <t xml:space="preserve">CCD#007, drawing MP 100A indicates new font equipment to be relocated to crawlspace beneath baptistry.  No revision appears to have been made to the Heat Exchanger HX-1 piping and routing and this new location.  </t>
  </si>
  <si>
    <t>Please provide revised Heat Exchanger piping detail for relocated font equipment</t>
  </si>
  <si>
    <t>See attached revised Plumbing drawings. |  |  |</t>
  </si>
  <si>
    <t>P099A-CCD#007</t>
  </si>
  <si>
    <t>Font Skid Relocation-Drainage Requirement</t>
  </si>
  <si>
    <t>Per CCD#007, drawing P099A, font skid has moved to crawlspace.  No methods appear to be shown to provide system backwash or water spillage in this crawlspace area.</t>
  </si>
  <si>
    <t>Please advise if a floor sink/drain will be required at this crawlspace location.</t>
  </si>
  <si>
    <t>See attached from VBFA for clarification. |  |  |</t>
  </si>
  <si>
    <t>P099A</t>
  </si>
  <si>
    <t>Laundry floor drain</t>
  </si>
  <si>
    <t>Laundry floor drain drop between bottom of floor drain and trap weir of the p-trap exceeds 24".</t>
  </si>
  <si>
    <t>Change the laundry floor drain into an indirect waste, which sleeves through foundation and then ties into a new floor drain in the crawl space.  See attached shop drawing for proposed routing and detail.</t>
  </si>
  <si>
    <t>See VBFA's response  |  |  |  |  |</t>
  </si>
  <si>
    <t>Allowed duct height at crawlspace</t>
  </si>
  <si>
    <t xml:space="preserve">Drawing M100A, is there a minimum clearance height in the crawlspace that needs to be maintained?  Duct as shown within the attached shop drawings is located as low as 49" AFF.  </t>
  </si>
  <si>
    <t>Please confirm if this is acceptable, reference attached clouded area.</t>
  </si>
  <si>
    <t>See VBFA's response  |  | CRSA does not have minimum height requirements in the crawl space. VBFA, do you see any issues?  |</t>
  </si>
  <si>
    <t>Duct floor penetrations at baptismal font area</t>
  </si>
  <si>
    <t>Mechanical Drawings M100A indicates Fire Smoke Dampers as shown per the attached clouded details at crawlspace gridline HF.  However, the structural drawings show bent plate at the slab edge.  This appears to be typical throughout the crawlspace.</t>
  </si>
  <si>
    <t>Please provide additional detail/direction regarding fire rating of this duct at these locations.</t>
  </si>
  <si>
    <t>Sump SP 6A/6B elevation</t>
  </si>
  <si>
    <t>Drawing P099A, sump SP 6A/6B, see attached clouded BIM detail of sump.  Invert of 12" dewatering main that is entering the sump is 10" below the "lowest inlet" elevation when sump is placed on the floor as shown in the latest revit model.</t>
  </si>
  <si>
    <t>Verify elevation of floor as shown in the architectural model.  If correct, it would appeat that the sump would need to deepen by min of 10".  Also, please confirm 12" penetration for dewatering pipe at gridline HB foundation, see attached.</t>
  </si>
  <si>
    <t>MP100, MP100A, M411</t>
  </si>
  <si>
    <t>Hot water heating piping at central plant</t>
  </si>
  <si>
    <t>Hot water heating piping shown at Mech room 036, drawing MP100, MP100A and M411.  Drawings indicate 6" hot water heating piping reducing to 4" after the first lateral TEE serving the south mechanical room 043 and then indicates the pipe increasing back to 6" approximately 10' east of the TEE shown.  See attached for reference.</t>
  </si>
  <si>
    <t xml:space="preserve">It appears the lateral TEE shown should be sized as a 6"x6"x4 instead of the 6"x4"x6" as modeled.  </t>
  </si>
  <si>
    <t>Elevator Door and Frame Metal Finish</t>
  </si>
  <si>
    <t>I would like clarification from the architect on the elevator doors and door frame finishes for each elevator, and for each landing.
I would like similar clarification for the elevator cab interior doors &amp; cab fronts and transoms, for each elevator. I know some of the cab fronts have wood paneling on top of my metal, but I need to know what metal finish to provide.</t>
  </si>
  <si>
    <t>Historic north jacket wall elevation</t>
  </si>
  <si>
    <t>Reference sheet S101A and detail 1/S243. Please confirm that the 4 1/2" SOD south of grid A1 will bear on top of the foundation jacket wall? Please confirm elevation 99'-7 1/2" is the top of concrete elevation for this bearing point?</t>
  </si>
  <si>
    <t>See ARW's response  |  |  | Deck bearing at this area is 6-1/2" below elevation 100'-0".  The slab in this area is recessed 2" to accomodate floor finishes which is why the SOD is 4-1/2" thick here. |  |</t>
  </si>
  <si>
    <t>Storm Drain Installation Conflict</t>
  </si>
  <si>
    <t>We have been notified to impact the Visitor Center as little as possible during early construction as plans may change.  We are requesting permission to demo a section of the visitor center plaza as soon as possible. Please see the attachment for planned demo and advise.</t>
  </si>
  <si>
    <t>Owner has accepted the selective demo as proposed in this RFI to allow for the install of utilities.</t>
  </si>
  <si>
    <t>ADA Benches RM 177 &amp; 168</t>
  </si>
  <si>
    <t>Who is responsible for the ADA benches in the Brides ADA rm 168, D/AE4133 and Youth Bathroom rm 177, B4/A4134. There is not detail of this bench and nor a clarification whether these are millwork items or if they should be  provided by the locker contractor. </t>
  </si>
  <si>
    <t>Paul Burningham</t>
  </si>
  <si>
    <t>Fetzer`s Inc.</t>
  </si>
  <si>
    <t>AE582, AE620</t>
  </si>
  <si>
    <t>Material for Door Jambs &amp; Columns</t>
  </si>
  <si>
    <t>It is Fetzers intent to use poplar in the following areas, crown moldings, main body of the columns, column crown, arch portion of the door jamb casings. Poplar comes in longer lengths, wider widths and is more readily available than maple.
Doors, jambs, base moldings and trims that are low will be maple for durability.
See attached sketches for clarity.
Respond if this is acceptable.</t>
  </si>
  <si>
    <t>AD102</t>
  </si>
  <si>
    <t>Quatrefoil Columns LVL 2</t>
  </si>
  <si>
    <t>Demo drawings AD102 note 2.84 states columns in instruction room B rm. 211, and lobby room 218 columns are to be removed and reused. Drw. A1/AE582 shows these rooms are to receive new columns. Clarify if in rm. 211, 218 full size columns are to be new or reused columns.</t>
  </si>
  <si>
    <t>AD102 note 2.84 Is correct. All existing Quatrefoil columns on Level 2 are to be carefully removed and reused. Only new columns will be provided where originals don't exist.</t>
  </si>
  <si>
    <t>AE570, AE571, AE584, AE620, AE621</t>
  </si>
  <si>
    <t>Wood Moldings</t>
  </si>
  <si>
    <t>Many molding in the architect drawings state to match existing profiles in a particular room. It is Fetzers understanding the molding profiles shown in the architect’s drawings have already been digitally scanned and the profiles shown is what is to be made. Confirm if this is correct and there is no need to digitally scan any existing moldings. We do need the CAD drawings requested by email on 01/13/2020.</t>
  </si>
  <si>
    <t>Architect still requests that these profiles be scanned. What is seen in the model is from a 3D scan of the building that accurately located walls and major elements, but lacks the fine detail that is required for millwork.</t>
  </si>
  <si>
    <t>AE102, AE4207, AE388, AE389</t>
  </si>
  <si>
    <t>Columns Level 2 Vestibule 213, Stairs 5</t>
  </si>
  <si>
    <t>Enlarged floor lans B3/AE4207 show columns in rm 213 but no column capital and no reference to column type.
Enlarged floor plan A1/AE388 showcolumns in stair well 5 level 2 and elevations AE 389 show no elevations of columns in this room or details.
Are there to be columns in this room and if so proved elevations and details?</t>
  </si>
  <si>
    <t>AE600 Door Schedule</t>
  </si>
  <si>
    <t>Door Casing Conflicts</t>
  </si>
  <si>
    <t>RFI 025, 026 states to refer to door schedule for casing types. Door Schedule Door #010A and #010C call for a wood jamb and casing C1 only on exterior side, no casings listed on interior side.
Elevation of room 10, D1/AE4003A, shows casings at these two portals on the interior side which does not match the door schedule. Clarify if casing is required on interior side and casing type.</t>
  </si>
  <si>
    <t>AE600</t>
  </si>
  <si>
    <t>More Door Casing Conflicts</t>
  </si>
  <si>
    <t>Ante Rm 061, Door 061C and 061C call for C4 casing on exterior and C3 casing on the interior. I believe these casing are listed backwards. All casing in rm 061 should be C4, which match the elevations drawings shown in the room. Please clarify.</t>
  </si>
  <si>
    <t>Door Casing Conflicts (Door 068 &amp; 081)</t>
  </si>
  <si>
    <t>Door 068 calls for casing C3 exterior and C4 interior.
Door 081 calls for casing C3 exterior and C4 interior.
Both should be reversed, C4 should be the exterior since the baptistry rm 067 has the C4 casing.
Please clarify</t>
  </si>
  <si>
    <t>Door Schedule Hardware</t>
  </si>
  <si>
    <t>Conforming set of drawings no longer show a column for hardware types on the door schedule. Previous version of drawings did show hardware schedule. Provide a door hardware schedule.</t>
  </si>
  <si>
    <t>Hardware groups were removed from sheets AE600, AE601, AE602 and as noted only appear in Spec Section 087100.01 &amp; 087100.02 Addendum #6.  This was to eliminate duplication of information.</t>
  </si>
  <si>
    <t>Casing Type RM 020A Mechanical</t>
  </si>
  <si>
    <t>Room East Mechanical 020A there is a set of double doors next to door 020A. There is no door number for this door nor does this door show on the schedule. Clarify what door number this is and what type of door and door casing.</t>
  </si>
  <si>
    <t>Casing Door 065A</t>
  </si>
  <si>
    <t>Door 065A to confirmation room 064 calls for type C1 casing of interior side and C1 exterior side which is a square casing and door type 3 which matches the square casing, however from the confirmation side of this door the door is a type 6 and the casing is a type C4. Should door 065A be type 6 with C3 casing interior to match other casings in the room and C4 exterior casing to match elevation A2/AE4025?</t>
  </si>
  <si>
    <t>Casing Door 060A</t>
  </si>
  <si>
    <t>Door 060A schedule calls for C1 casing interior and C4 exterior. Should this be C4 interior same as casing in room 060? See elevation A2/AE4025</t>
  </si>
  <si>
    <t>Casing Door 060</t>
  </si>
  <si>
    <t>Door 060 schedule calls for C4 casing exterior and C3 interior. Should this be reversed, C4 is the casing in room 060. See elevation A5/AE4025</t>
  </si>
  <si>
    <t>Casing Door 082A</t>
  </si>
  <si>
    <t>Door 082A schedule calls for C4 casing exterior and C2 interior. Should this be C3 exterior to match other casings in the hall way is the casing in room 060. See elevation A5/AE4025</t>
  </si>
  <si>
    <t>Casing Door 080</t>
  </si>
  <si>
    <t>Door 080 schedule calls for C1 casing exterior and C3 interior. Should this be C3 exterior and C1 interior? See elevation B3/AE4028</t>
  </si>
  <si>
    <t>Door casing identification for door 080 on the door schedule is incorrect. Please note  change to schedule. Casing C1 to be in room 080 (interior side) and C3 to be in RR Vest. room 079 (exterior side).</t>
  </si>
  <si>
    <t>AE100B</t>
  </si>
  <si>
    <t>Casing Door RM 053 Elevator Lobby</t>
  </si>
  <si>
    <t>Elevator Lobby 053 has 2 doors with the same door number 053C. Clarify which is the correct door for door number 53C and provide door type jamb type and casing type for the other door. </t>
  </si>
  <si>
    <t>AS501 (Addendum 6)</t>
  </si>
  <si>
    <t>Painted Stainless Steel Addendum 6 AS501</t>
  </si>
  <si>
    <t>AS501 Keynote 5.25 "1 1/2" dia. painted stainless steel handrail". Is the railing painted stainless steel? Please verify this is correct.</t>
  </si>
  <si>
    <t>Stainless Steel handrails will not be required to be painted. Keynote 5.25 has been updated. See revised sheet AS501</t>
  </si>
  <si>
    <t>Matt Fackrell</t>
  </si>
  <si>
    <t>Accent Painting and Special Coatings, LLC</t>
  </si>
  <si>
    <t>Stone Finish</t>
  </si>
  <si>
    <t>Stone finishes for the sandstone caps and paving are not called out in the 
landscape drawings or the Spec’s. Please confirm stone finish for site wall caps. fountain caps, and pavers at brides exit.</t>
  </si>
  <si>
    <t>Site wall and fountain caps honed or polished.
Pavers flamed or sandblast.</t>
  </si>
  <si>
    <t>Stone finishes for wall caps to be honed for both site walls and fountain walls.  Stone pavers and stairs  to receive a light windswept (sandblast) finish.  Submit samples for approval. |</t>
  </si>
  <si>
    <t>Volume Damper Clarification</t>
  </si>
  <si>
    <t>Per verbal conversations with design team, it has been indicated that electronic volume dampers serving registers will only be required in non-accessible ceilings at instruction rooms, ordinance rooms and celestial room.  All other accessible ceiling areas/rooms are to be provided with remote cable dampers and position indicators.</t>
  </si>
  <si>
    <t>Please clarify if the electronic volume damper system is only required at registers located within non-accessible areas/rooms such as instruction rooms, ordinance rooms and the celestial room.</t>
  </si>
  <si>
    <t>085200.01</t>
  </si>
  <si>
    <t>Wood Windows</t>
  </si>
  <si>
    <t>Species of Wood for Wood Windows</t>
  </si>
  <si>
    <t>The wood window material specified for the historical wood replicas for the main the temple and annex project is “Accoya®”. The amount of material required for both phases is quite large and needs to be sourced/purchased and shipped to the US. The lead time for this material can be 12 – 14 weeks or longer.  
We currently have “Approved As Noted” submittals for the Window Type “C” mock-up for the Annex building which does included the “Accoya®” wood window material as the specified wood material.  
The intent of this RFI is to CONFIRM the “Accoya®” wood material is / will be same wood material for the historical wood window replicas on the main temple building. This material can be purchased in advance (due to extensive lead time) of the main temple window submittals.  </t>
  </si>
  <si>
    <t>Yes, Historic and Annex wood windows are to be Accoya as specified.</t>
  </si>
  <si>
    <t>Baptistery Ceiling Structural Reinforcing</t>
  </si>
  <si>
    <t>During the demolition process it was discovered that some of the historical beams have had notches cut out of them (See photos below). For locations I have attached the sheet S102 for reference. Please advise as to what needs to be installed in these locations to meet the weight loads imposed on them.</t>
  </si>
  <si>
    <t>See ARW's response |  |  | Reinforcing and framing required for this condition is included in CCD-16 that will be released shortly.</t>
  </si>
  <si>
    <t>P099, P099A</t>
  </si>
  <si>
    <t>DW Lines Under Slab</t>
  </si>
  <si>
    <t>Please advise if the interior DW lines as outlined on Sheets P099 and P099A are required as shown or if it can be reduced or removed. This arose from a conversation between Ryan and Chris. They looked at the system and are curious if the perimeter drain will be able to handle all of the water that could be coming from the DW lines under the slab, or if there is an artesian action that is causing the need for the lines under the slab.</t>
  </si>
  <si>
    <t>See VBFA's response</t>
  </si>
  <si>
    <t>Annex perimeter chamfer profile EL. 100</t>
  </si>
  <si>
    <t xml:space="preserve">Details 12,13,17,18,19,20/S220, 2/S221
Please help locate the chamfer profile size/ dimensions noted on the structural details at the top of the perimeter foundation walls at the annex. Typical note says "see arch. for size and location of reveal".  </t>
  </si>
  <si>
    <t>S220</t>
  </si>
  <si>
    <t>Existing Annex Concrete Wall Clarifications</t>
  </si>
  <si>
    <t>Were requesting 3 dimensions:
On 17/S220 and other annex wall details you show that the existing annex wall will need to be cut down and roughened. How far does it need to be cut down?
On 20/S220 shows a beam pocket with a bearing length of at least 3 1/2". How deep should the pocket be in total? (Verify 4" or 6")
How far down should the beam bear? 
(See the attached)</t>
  </si>
  <si>
    <t>Based on a previous RFI, it was proposed that the wall be cut down 20" which is acceptable with Structural.  Detail 4/SD200 specifies 17" to 18" (to be field verified).  The 17" to 18" was based on information gathered from as-built drawings of the annex.
The depth of the pocket will depend on the cut on the foundation wall, the top of beam elevation (verify with Architect), other information provided in detail 20/S220 (i.e. bearing angle thickness).
See item #2 response. |</t>
  </si>
  <si>
    <t>211000</t>
  </si>
  <si>
    <t>AE661</t>
  </si>
  <si>
    <t>Sprinkler Head Cover Colors</t>
  </si>
  <si>
    <t>In order to blend the sprinkler head covers in to the ceilings. Should we paint the sprinkler head covers the same as the surrounding ceiling colors?</t>
  </si>
  <si>
    <t>The sprinkler covers are only allowed to be painted by the manufacturer per NFPA 13 section 6.2.6.2. Whereas the vast majority of this temple is White, please provide a standard white sample of the product to be used to verify if a custom painted sprinkler will be required from the manufacturer.</t>
  </si>
  <si>
    <t>P 502, P 099</t>
  </si>
  <si>
    <t>SE-1 Sump Dimensions</t>
  </si>
  <si>
    <t>Drawing P 502, detail 1 indicates sump serving SE-1.  This sump is located west of kitchen within annex, drawing P 099.  No width dimensions appear to be provided.</t>
  </si>
  <si>
    <t>Please provide missing dimensions and clarify shape of sump (assume square or rectangular)</t>
  </si>
  <si>
    <t>See revised detail from VBFA. |  |  |</t>
  </si>
  <si>
    <t>AE 501, AE 528, P 601</t>
  </si>
  <si>
    <t>Roof drain body installation methods</t>
  </si>
  <si>
    <t xml:space="preserve">Drawing AE 501, detail E1 and drawing AE 528, detail E4 indicate primary roof drain and overflow roof drain bodies installation at differing heights, primary set lower than overflow.  The details appear to show the same height of drain collars to be installed at top of roof drain body.  This type of installation does not match the 2" high water collar extension indicated on drawing P601 fixture schedule, RDO detail.  Also, it is unclear if sump receivers as indicated within the fixture schedule, RD and RDO are to be used. </t>
  </si>
  <si>
    <t>Please clarify if the architectural drawing details are desired installation method and all primary and overflow roof drains are to be installed at different body heights, and are not to include 2" water dam extension.  Clarify if sump receivers are to be used per roof drain fixture schedule.
We suggest installing roof drain bodies at same heights, installing 2" water dam collar extensions at overflow roof drains and using the sump receivers as indicated on the fixture schedule, P601.</t>
  </si>
  <si>
    <t>A and P sheets</t>
  </si>
  <si>
    <t>Floor drain locations-placements</t>
  </si>
  <si>
    <t>No dimensions or exact locations of floor drains per the architectural drawings appear to be provided.</t>
  </si>
  <si>
    <t>Pleaes provide architectural locations for floor drains, see attached for examples.</t>
  </si>
  <si>
    <t>North stonewall and footing sequencing detail 1/S243</t>
  </si>
  <si>
    <t>Sheet S100A, 1/S242, 1/S243
1) Detail 1/S243 does not show concrete infill as required around needle beam and basalt excavation on north side of grid H5. Please confirm this detail or will concrete need to be filled around excavation as it shows typical at other locations? 
2) 1/S243 it is assumed that the north concrete jacket wall needs to be sequenced first and then the tie rods and needle beams installed prior to load transfer per note shown on detail 1/S242. It appears that detail 1/S243 shows the 24" elevation 90 mat footing pouring against the historic stone wall footings and around the flat jack/ micro piles and the historic stonewall jacket wall placed above. This seems to contradict the direction on the detail note on 1/S242. Please clarify intent? </t>
  </si>
  <si>
    <t>See response from ARW. |  |  | Question 1 Response: The needle beam will be located at the top of mat slab as shown in the detail. Concrete infill around the beam will be as shown in the most current drawing sets.
Question 2 Response: The mat footing can be placed to the side of the jacket wall rather than below the jacket wall. Detail 1/S243 will be revised to indicate this intent. This revision will be included in an upcoming CCD.</t>
  </si>
  <si>
    <t>A and P drawings</t>
  </si>
  <si>
    <t>Roof drain architectural locations</t>
  </si>
  <si>
    <t>No hard architectural dimensions appear to be given for exact locations of roof drains.  A few locations shown conflict with structural members.  See attached for clarification.</t>
  </si>
  <si>
    <t>Please provide architectural locations and dimensions for roof drains, clarify if we can shift roof drains as attached away from the structural members and provide min/max distancing from exterior walls.</t>
  </si>
  <si>
    <t>Nursery</t>
  </si>
  <si>
    <t>Since the plant materials were selected by the Landscape Architect prior to bid time, and since the plans require photos of the plant materials to be submitted prior to digging or shipping, will there be a need for the trees and plants to be reviewed in a local nursery storage area prior to planting? </t>
  </si>
  <si>
    <t>The nursery shall supply photos of the landscape material to the landscape contractor and landscape architect prior to shipment for inspection. Prior to shipment of materials the landscape contractor shall inform the landscape architect of the anticipated delivery date and the landscape architect, if available, will come to the site to inspect nursery stock upon delivery and prior to installation. If unavailable, the landscape contractor shall provide images of the delivered nursery stock for the landscape architect to review. It is the duty of the landscape contractor to properly maintain the plant material if they cannot be installed in a timely manner following delivery. |</t>
  </si>
  <si>
    <t>Tim Maynes</t>
  </si>
  <si>
    <t>Stratton &amp; Bratt Landscaping</t>
  </si>
  <si>
    <t>Existing Grass</t>
  </si>
  <si>
    <t>Regarding the existing sod within the Tree Protection Zones, where the grades remain the same, and in the interest of protecting the fine roots of the trees being protected, we are concerned with two items:   
 Removal of the sod could have a detrimental effect on the fine roots of the trees being protected.     
 Tilling the soil amendments into the top 4” of the topsoil will further damage the fine roots, and will damage the larger tree roots. 
The existing lawn in these areas is beautiful. In the interest of protecting the trees, would it be acceptable to leave the sod undisturbed within the Tree Protection Zones, where the grades remain the same, except where new irrigation or other site work must take place? Those areas will be restored with sod and amended per the specification.</t>
  </si>
  <si>
    <t>S 301</t>
  </si>
  <si>
    <t>Mechanical Opening at S301</t>
  </si>
  <si>
    <t xml:space="preserve">Drawing S 301, detail C, indicates to oversize a mechanical opening to allow access for a man over duct.  No dimension is given. </t>
  </si>
  <si>
    <t>Please provide a recommended maximum opening dimension for the mechanical opening shown.  See attached detail for clarification.</t>
  </si>
  <si>
    <t>M100, M602</t>
  </si>
  <si>
    <t>IL-4 Louver Size</t>
  </si>
  <si>
    <t>Drawing M 100, level 0, louver IL-4 is shown to be 48x36.  See attached.  Drawing M602, mechanical schedule indicates louver to be 36x48.</t>
  </si>
  <si>
    <t>Please clarify size of IL-4 louver</t>
  </si>
  <si>
    <t>See response from VBFA. |  |  |</t>
  </si>
  <si>
    <t>S100A mechanical opening sizes and elevations</t>
  </si>
  <si>
    <t>Sheet S100A
We need the following information to detail rebar and concrete in the historic area:
1) What are the dimensions and elevations of the south area wells along grid H1/ between HD to HF? The size of the duct shown on the mechanical drawings is 20/14 and 18/18 transitioning to 30/18. What are the clear sizes required through the temple stone wall for these duct penetration? At what elevation is the top and bottom of the duct penetrations clear openings?
2) Along grid HF there are two 36/32 ducts running through the stone wall. Provide clear opening and top and bottom elevations for these openings?
3) Along grid H5 north please provide clear opening dimensions for the (2) 44/30 ducts and (3) 46/32 ducts through the stone wall. It is assumed the bottom of these ducts is at elevation 90' to match the mat slab north of this wall</t>
  </si>
  <si>
    <t>M100, M602, AD100, BIM Model</t>
  </si>
  <si>
    <t>Intake Louver IL-4 and associated components-openings</t>
  </si>
  <si>
    <t>Drawing M100 indicates fan filter F-DHC-1 associated with intake louver IL-4 as 60x24 in size per equipment schedule.  See attached.
Drawing M100 also indicates duct coil DHC-1 associated with intake louver IL-4 to be 96x16.5 in size per M602 equipment schedule.  See attached.
Drawing MP100 does not indicate any hydronic piping serving the DHC-1 coil.  See attached.
The current BIM model indicates a 36x36 opening at the current IL-4 opening.  Field verification has confirmed a 36x108 existing opening.  Drawing AD100, keynote 8.07 indicates a new door opening to be coordinated with structural drawings at this louver location. See attached.</t>
  </si>
  <si>
    <t>Soda conduit routing</t>
  </si>
  <si>
    <t>Drawing QF 101 SC indicates a 6" conduit for soda fountain lines routing through slab from kitchen storage 009 diagonal to dining room 012 beverage counter.  See attached screenshots.  The vertical spacing between mat slab and top slab is approximately 20" and is extremely congested due to sanitary waste and de-watering piping located within this spacing.  Specification section 11400, section 3.07 paragraph B-3 states that the general contractor is responsible for wall sleeves for soda lines, etc.</t>
  </si>
  <si>
    <t>Please review and determine if an alternate route is available overhead or otherwise to avoid under-slab conflicts.</t>
  </si>
  <si>
    <t>Wood Base 4 c4/AE570</t>
  </si>
  <si>
    <t>Wood base cannot be brought to a point and stay together. See attachment.  
Suggestion bring inside radius of  wood straight down on to of stone. Top edge of stone may need to be polished</t>
  </si>
  <si>
    <t>Wood Base Type 1 C1/AE570</t>
  </si>
  <si>
    <t>Stone base will not always be consistent in thickness nor will the stone sub be consistent when gluing stone to the wall  in the distance from face of stone to face of plaster or drywall.  Our wood base wood be made consistent with a 1" rabbet. Is it acceptable to make this wood base with out a rabbet. This way the wood base will sit directly on top of the  stone base and if the stone varies in depth from face of stone to face of drywall this will not effect the install of wood base being attached tight to the wall.  This will require the stone base to be cut down in height. See attached sketch</t>
  </si>
  <si>
    <t>Door 052B door type 21</t>
  </si>
  <si>
    <t>Door 052B  type 21 states match profiles of door room 316. Room 316 does not show on demo plans so I cannot tell what door jamb details to match and I cannot tell what the width of stiles and rails are for the door to match from detail E4/AE630. Can you give me the location of the door and jamb we are to match or details of the door jamb and the widths of the stile and rails of the door.</t>
  </si>
  <si>
    <t>EP100A, EP101A, EP103, EL604</t>
  </si>
  <si>
    <t>Lighting Control Panel Schedules</t>
  </si>
  <si>
    <t>There are three lighting control panels (LCP’s) shown on the plans: 
LCP-S1 in Mech. 043 on EP100A 
LCP-T1B in Elect. 183 on EP101A 
LCP-T3B in Elect. 302 on EP103 
None of these were included in the LCP schedules on sheet EL604 so they were not quoted or submitted on. Are these LCP’s needed? </t>
  </si>
  <si>
    <t>EP105 Electrical Rm 515, EL105B Misc. Circuits, One-line EP7</t>
  </si>
  <si>
    <t>Electrical Panel "HE5"</t>
  </si>
  <si>
    <t>The plans show panelboard “HE5” in electrical room 515 on sheet EP105. No panel schedule is provided and it is not on the one-line drawing so it was not submitted on. Does this panel exist? </t>
  </si>
  <si>
    <t>2 lighting circuits shown on EL105B should be moved to H3E3 and panel deleted from project. |</t>
  </si>
  <si>
    <t>P601</t>
  </si>
  <si>
    <t>Sanitary waste p-traps</t>
  </si>
  <si>
    <t>Various requirements appear to be indicated within the construction documents regarding sanitary p-traps, whether they are to be deep seal, have trap primers and/or trap seals (trap guards).  Specification section details are as follows:
Spec section 221319-14, para 2.2A 8&amp;9 specifies floor drains to have deep seal trap with trap primer connections.
Spec section 221319-5, para 2.5B specifies deep seal trap with trap primer connections.
Spec section 221319-7, J&amp;K indicates deep seal p trap with trap primer connections.
Spec section 221119-12, para 2.12A describes trap primers to be serving p trap connections.
Drawing P601 plumbing fixture schedule contains a general note at lower left corner calling for all floor drains and floor sinks to have an elastomeric trap seal (Trap Guard).  
Installation of deep seal p-traps at underground piping system will require cast iron p-trap and transitioning to sch 40 PVC pipe as PVC deep seal traps are not available.  See attached for references.</t>
  </si>
  <si>
    <t>Please clarify if deep seal traps are required at all underground installations.  Clarify if trap primers or trap guards are the desired means of sealing the sanitary p traps.  Also, please clarify if deep seal traps are required at historic building overhead locations as this would cause spatial/clearance issues at various locations.</t>
  </si>
  <si>
    <t>EL 102A Drawing Clarifications</t>
  </si>
  <si>
    <t>Stair #5 all egress and exit lights are shown circuiting thru H3P3-2 which is a normal power panel.
There are 2 lights north side of Rm. 218 (celestial rm) that have no type designation.
Rm. 218 Type TLA lights how are they switched and circuited? Do they continue around the curve above the veil?
Rm.211 Type TLA lights How are they switched?</t>
  </si>
  <si>
    <t>EL 102A Drawing Clairifications</t>
  </si>
  <si>
    <t>Rm. 210 Type TLA lights how are they to be circuited?
All egress and exit lights on this page are circuited thru Panel H3S3 which is a standby emergency panel TYP. they are ran thru a emergency panel such as H3E3.
(General) what is the difference between standby and emergency power? I have noticed Exit and Egress lights circuited to either standby or emergency panels.</t>
  </si>
  <si>
    <t>EL 103A, EL 103B</t>
  </si>
  <si>
    <t>El 103 A&amp;B Drawing Clarifications</t>
  </si>
  <si>
    <t>1.Men Instruction lighting run's through relay LCP-L3-7 Woman's Instruction doe's not go thru relay just circuit L3P3B-31 They both have detail LCD_001 from EL 501. Which one is correct?</t>
  </si>
  <si>
    <t>EL 101D</t>
  </si>
  <si>
    <t>EL 101D Drawing Clarification</t>
  </si>
  <si>
    <t>1.Rm. 110 what circuit and relay ar to be used for Type TLA lights?</t>
  </si>
  <si>
    <t>EL 101C</t>
  </si>
  <si>
    <t>EL 101C Drawing Clarifications</t>
  </si>
  <si>
    <t>Rm. 109 what circuit and relay connect to Type TLA lights?
Rm. 166 what Type of indirect linear light?
Rm.163,165,166,167,170&amp;171 Egress lights have not been assigned a circuit or relay, Please advise.</t>
  </si>
  <si>
    <t>EL 101A</t>
  </si>
  <si>
    <t>El 101A Drawing Clarifications</t>
  </si>
  <si>
    <t>Rm. 119 Type TLA lights conected to what circuit and switch?
Rm.118 Egress lights are circuited to a standby panel, please advise.
Rm. 113 &amp; 114 lights are circuited to a normal power panel, please advise.</t>
  </si>
  <si>
    <t>ES 200</t>
  </si>
  <si>
    <t>ES 200 Drawing Clarifications</t>
  </si>
  <si>
    <t>Are the relays and circuits correct ? relay panel LCP-A2B is located in electrical rm. 2 which is in the Northwest corner of the annex , panel H3L0 which is feeding relays located in LCP-A2B is located in the south mech. rm. which is at the southwest corner of the Annex and the the lights are at the southwest corner of the site. Relay panel S1 is located next to H3L0 which seems like a better place to control these lights.
There is not a separation between LCP-A2B-3 and LCP-S1_8 at the botom left of  ES200 please advise.</t>
  </si>
  <si>
    <t>SD200</t>
  </si>
  <si>
    <t>Foundation wall Cut</t>
  </si>
  <si>
    <t>Yesterday we went around all the remaining Annex walls, we measured several locations along each of the walls. The thickest wall cap edge was 19 inches. Cutting the wall at 20 inches would give a clean uniform edged. The elevation would be 98.4 to top of wall. Please confirm it is acceptable to cut the wall at 20" below the 100 elevation.</t>
  </si>
  <si>
    <t>Structurally it is acceptable to cut the wall as proposed.  |</t>
  </si>
  <si>
    <t>Annex shaft/area well clarification south of men's dressing</t>
  </si>
  <si>
    <t>On sheet AE147 there appears to be two open shafts or area well around grids AG-AH and A1-A2. Will these require walls or footings around them? They do not appear on any structural drawings. If applicable please provide details/ clarification.</t>
  </si>
  <si>
    <t>These are a leftover from the Cogen that was removed from the project. It should be showing as a flat slab with no cutouts in these 2 areas indicated. Architect will update sheet and resubmit.  |</t>
  </si>
  <si>
    <t>MP100, AE100</t>
  </si>
  <si>
    <t>Gridlines at A4 and A5 Annex</t>
  </si>
  <si>
    <t xml:space="preserve">It appears grid lines A4 and A5 do not match locations on various drawings.  See attached screenshot of drawing MP100 and AE100 side by side for comparison.  In reviewing the fire protection drawings it appears the grid lines are similar to mechanical in grid line location.  The electrical drawings appear to have grid line A4 in the same location as the architectural drawings, grid line A5 appears to match the location of the mechanical drawings.  </t>
  </si>
  <si>
    <t>Please review grid line locations for A4 and A5 grid lines within the drawings and advise which is the correct layout.</t>
  </si>
  <si>
    <t>M100, S301</t>
  </si>
  <si>
    <t>Grid Line AE and AD sheer wall mechanical penetrations</t>
  </si>
  <si>
    <t>Drawing M100, grid line AE and AD between A5 and A4 there are four (4) 14x8 return air ducts rising from the basement level to level one(1). These are currently shown installed in shear walls. Drawing S301, details A and B give an elevation cut of these shear walls. Detail A appears to have openings to accommodate these ducts but no call outs state this. Detail B does not show any openings. See attached for detail.</t>
  </si>
  <si>
    <t>Please advise if the openings shown on detail A are meant for these particular return ducts.  Advise if detail B will add these openings for the required return duct.  If not, please provide an alternate method of installation of the return duct.</t>
  </si>
  <si>
    <t>See Comment from ARW. |  |  | The openings shown in A/S301 are intended to be for mechanical ducts.  B/S301 will be revised to show duct penetrations noted.  This clarification will be made in a forthcoming revision.</t>
  </si>
  <si>
    <t>M001</t>
  </si>
  <si>
    <t>VAV inlet connections</t>
  </si>
  <si>
    <t>Drawing M001, mechanical general note 23 states to use hard pipe with a minimum length of two(2) times pipe diameter for all inlets at VAV boxes.  In review of the building model, there are various instances where we cannot achieve the two(2) times pipe diameter distance as noted due to clashes/spacial restraints, but can meet a 1.5 times diameter.  The locations are as follows:
VAV 2-07A, 2-06B, 0-33, 0-34, 2-10A, 2-04A, 3-06, 0-29, 0-30A and 2-07B.</t>
  </si>
  <si>
    <t>Please advise if hard pipe connection lengths of 1.5 times the diameter size are acceptable at these listed VAV's.</t>
  </si>
  <si>
    <t>Decorative HVAC grille attachment method</t>
  </si>
  <si>
    <t>Drawing M603, grille schedule calls for the SWS-1 and SWR-1 grilles to have no screw holes.  No specification section or detail appears to be provided for installation methods.</t>
  </si>
  <si>
    <t>Please review attached KEES decorative grille methods of attachment and advise which type of attachment method is approved for use.</t>
  </si>
  <si>
    <t>|</t>
  </si>
  <si>
    <t>Existing Trench on East Side of Historic</t>
  </si>
  <si>
    <t>How are we going to treat this area of existing trench when we install the new storm drain? (See the attached)</t>
  </si>
  <si>
    <t>We could replace them. We could cap them on either side of the trench with concrete. Please advise.</t>
  </si>
  <si>
    <t>The tunnels collect water from the roof drains and the perforated pipe around the annex basement. These tunnels will not be needed after the renovation when all roof drains and perforated pipes are in place. Until then, the tunnels need to be able to move water through them, in case of a rain storm event and for groundwater.  
For now replace them. They need to function similar to how they do now until everything is in place.  | Paul, can you address this question? | FYI,  This is the response for the existing trench on the East side.</t>
  </si>
  <si>
    <t>Grid HF needle beam elevation</t>
  </si>
  <si>
    <t>See attached snap shot from the BIM model. 
1) The west historic wall needle beams at grid HF are at a different elevation from the north needle beam. Detail 1/S242 it is assumed that the top of needle beam is around elevation 87' based on the model. Will this work with the sloped 24" slab? 
2)We are assuming the north elevation needle beams are at elevation 90' T.O.S. from detail 1/S243 along grid H5. Please confirm</t>
  </si>
  <si>
    <t>See ARW's response  |  |  | 1) The elevation of the top of needle beam being at 87'-0" is correct.  Where the 24" mat slab slopes on the west side of the wall, the needle beam will be embeded directly into that slab rather than below as shown in detail 1/S242.
2) The elevation of 90'-0" is correct for the north wall needle beams.</t>
  </si>
  <si>
    <t>Fountain Tile material</t>
  </si>
  <si>
    <t>Please identify tile material and manufacturer for decorative tile inside the exterior fountains</t>
  </si>
  <si>
    <t>EL 101A, EL 101B</t>
  </si>
  <si>
    <t>Exterior light elevations a dock</t>
  </si>
  <si>
    <t>Drawing EL 101A Exterior lighting type SW7A on west wall at dock, What elevation should thease lights be installed?
Drawing EL 101B Show what look like 2 exterior lights on grid line AH. If so please provide Light type circuit and relay.</t>
  </si>
  <si>
    <t>We would recommend that these lights be installed around 8'-6" Above floor of door opening and dock roll up door opening, however verify exact heights and alignments along wall with architect.
 These two fixtures are type SW7A and will be reconnected to existing circuit and relay of similar lighting, to remain, on exterior wall of cooling tower enclosure, facing annex. |</t>
  </si>
  <si>
    <t>Stone Fabrication</t>
  </si>
  <si>
    <t>Please see attached RFI regarding stone fabrication.</t>
  </si>
  <si>
    <t>We do not have concerns using a different fabricator.  Please provide information showing the capabilities of the proposed fabricator. |  |</t>
  </si>
  <si>
    <t>EP 300</t>
  </si>
  <si>
    <t>Lightning protection down leads routing in historical temple</t>
  </si>
  <si>
    <t>Drawing EP 300 shows 3 Down lead's from air terminals on the roof to ground rods. Can we route the 2 on the east end through the center of the circular stair to the crawl space and drive the ground rod  in the crawlspace with a lead that would penetrate the footing to the exterior and connect to the counterpoise loop around the building? Can we route the one on the south side of the building horizontal on a downward angle thru the historical temple protrude the west existing wall into new stair tower and down to ground rod and counterpoise loop from there? Otherwise i believe we would have to notch plaster and stone on the inside from the roof to the crawlspace to accommodate the down lead conduit.</t>
  </si>
  <si>
    <t>It is difficult to understand the exact routing proposed based on the provided description, however an alternate routing may be considered as long as it is follows requirements in Section 264113 Lightning protection for structures, and complies with UL 96, NFPA 780 and is approved by the LPI Certified master installer/designer for this project. No parts of the system shall be visible by patrons and shall not impact the structure. | See responses below. The center of the spiral stairs it not a recommended route |  | Brian, are we okay routing these in the same chase (center of spiral stairs) with all that you have in there? 
Center walls in spiral stairs do not continue up through Level 5, need to make sure routing is clearly identified |</t>
  </si>
  <si>
    <t>I-Beam Connection</t>
  </si>
  <si>
    <t> Please confirm that the I-beams are going to be attached to the Sandstone as shown in the attached sketch and will be incorporated into an upcoming CCD.</t>
  </si>
  <si>
    <t>See ARW's response |  | This sketch is correct.  This connection will be used at the HSS 16"x4" columns are located and used to support the double wide flange beams.  This detail will be incorporated into a forthcoming CCD.</t>
  </si>
  <si>
    <t>S240</t>
  </si>
  <si>
    <t>Baptistery Exit Doors</t>
  </si>
  <si>
    <t>Please confirm that the baptistery exit doors in room 060 are to be cut out of the existing sandstone wall following the existing window lines. In addition to the above that the stone will be able the withstand the loads imposed on it without the structural upgrades as outlined in note 8 on Sheet S240.</t>
  </si>
  <si>
    <t>See ARW's response  | ARW - Are these existing openings going to need to be structurally upgraded when going from a window to a door?  | This is correct.  The openings needs to follow the existing window pattern.  Detail 8/S240 does not apply to these door openings and will be removed from the drawings at these locations.  We recommend cutting a straight cut down the sides of the opening and then removing the stone so that the existing stone wall conditions can be observed.  Once existing conditions can be observed it can be determined if reinforcing of the opening will be needed.  Please advise ARW once these walls have been removed and exposed.</t>
  </si>
  <si>
    <t>AD123, AE123, AE124</t>
  </si>
  <si>
    <t>Medallion Center in Room 318</t>
  </si>
  <si>
    <t>Please confirm we are not to demo the ceiling of room 318 as shown on the attached drawing from sheet AD123.
Please confirm the Medallion in room 318 (Sheet AE123) is to be moved to the center of the room. If it can’t be preserved that a scan and reproduction of the medallion in room 409 (Sheet AE124) is to be made and installed in the center of room 318. </t>
  </si>
  <si>
    <t>Unknown Footings in Basement</t>
  </si>
  <si>
    <t>Please confirm that the unknown footings found in the historic basement area are to be removed. (see attached photo)</t>
  </si>
  <si>
    <t>See CCD-20 for removal.</t>
  </si>
  <si>
    <t>S243</t>
  </si>
  <si>
    <t>Buttress Anchor Epoxied</t>
  </si>
  <si>
    <t>4/S243- Can the rebar for the buttress pop outs at the west core be drilled and epoxied? If so, what is the embedment requirement?</t>
  </si>
  <si>
    <t>S100A, 4/S243</t>
  </si>
  <si>
    <t>West Tower Buttress Elevation</t>
  </si>
  <si>
    <t>At west tower what is the elevation of the buttress popouts? @ grid H1/HH-HG. Reference S100A, 4/S243. </t>
  </si>
  <si>
    <t xml:space="preserve">S242 </t>
  </si>
  <si>
    <t>Needle Beam Elevation West side</t>
  </si>
  <si>
    <t>West historic needle beams at grid HF. What is the elevation of the top of needle beams? Detail 1/S242 appear to be drawn below the 24” mat slab ramp. How does it transition at the north side where the ramp occurs? BIM model appears to show it at TOS elevation 87’ please confirm. </t>
  </si>
  <si>
    <t>AE146B, AE140B, AE160B, S100A</t>
  </si>
  <si>
    <t>Ramp Slop Going from Historic to Annex</t>
  </si>
  <si>
    <t>West historic ramp- grid HG, HF what are the dimension to the slope locations? Sheet S100A. Detail AE146B, AE140B does not give dimensions. It appears that the slope happens at the door openings on AE160B.  </t>
  </si>
  <si>
    <t xml:space="preserve">S100A </t>
  </si>
  <si>
    <t>Duct Clear Dimensioning</t>
  </si>
  <si>
    <t>Sheet S100A at grid HF. The mechanical duct tunnel that runs through the stone wall. On the interior side does this block out turn vertical into the 12” mat slab? What will the clear dimensions need to be for the duct? </t>
  </si>
  <si>
    <t>S222</t>
  </si>
  <si>
    <t>Suspended Slab Detail West Tower</t>
  </si>
  <si>
    <t>S222- many of the suspended slab details at west tower walls were updated to reflect form savers in CCD 2. In multiple locations where we will be pouring each wall lift to the bottom of suspended slab so the slab dowels can be cast in place. Can we use the original conform set structural details for these situations? </t>
  </si>
  <si>
    <t>S301</t>
  </si>
  <si>
    <t>Top of Wall Elevation Grid AE, AD, A1</t>
  </si>
  <si>
    <t>S301. Please verify top of wall elevations at grid AE, AD and A1 shear walls. This question was in the shop mark up in RFI 071. It was not answered. </t>
  </si>
  <si>
    <t>S212</t>
  </si>
  <si>
    <t>Slab Rebar Cast in or Epoxied</t>
  </si>
  <si>
    <t>Detail 3/S212- this detail appears to have a rebar dowel in the slab that is drilled and epoxied. Please confirm this dowel can be cast in with the wall?</t>
  </si>
  <si>
    <t>S243, S242, S241,  S240, S212, S101B</t>
  </si>
  <si>
    <t>Confirm Micropile Sequencing</t>
  </si>
  <si>
    <t>Micropiles drilled and cased at existing grade elevation (Malcom)
Excavate to top of basalt layer (Sunroc)  
Prep and dowel into existing sandstone/ blackstone walls to top of wall required elevation (interior level 0.5 =T.O.S, exterior north = 99'-5 1/2" detail 1/S243, exterior west=99'-5" details A/S101B, 3/S212) (Innovative) 
Prep all mechanical/ door blockouts with temporary channels/ sleeves that penetrate stone wall (details 7/S240, 8/S240, 9/S240, 9/S241)
Saw cut/ core drill openings as required after temporary support is in place
Install all rebar dowels, mats and beams around openings as required
Form and pour jacket walls to elevation top of existing basalt grade (1/S242, 1/S243) Would we be permitted to pour taller exterior jacket walls in 2 lifts if we need to? 
Core drill tie rod holes (Westland)
Install and grout tie rods. Plates and nuts installed and tightened
Core needle beam locations at stonewall
Install steel pipe sleeves and W12x96 needle beams
Grout needle beams/ steel sleeves
Install flat jacks and begin load transfer jacking after grout has reached strength 
Grout flat jacks
Pour concrete infill around needle beams and around excavation areas as required (1/S242, 1/S243)
Mat footings/ slabs will pour against stone wall jacket walls as shown. </t>
  </si>
  <si>
    <t>What is this? Is this an RFI for CRSA or just sequencing for the GC? | Sequencing for GC per Dave Adams. |  |</t>
  </si>
  <si>
    <t xml:space="preserve">S100B, S101B, S102, S103,  S104, S105, S303, S304, AE345, </t>
  </si>
  <si>
    <t>Slab Elevations Grid lines HH-HG and H5-H1</t>
  </si>
  <si>
    <t>The structural drawings and section cuts do not provide concrete elevations of the suspended slabs in the west tower between grids HH-HG and H5-H1. Reference sheets S100B, S101B, S102, S103, S104, S105. Elevations/sections S303, S304, AE345, AE346. We understand that the slab elevations vary due to floor finishes as shown in the architectural plans. Can we get the top of concrete elevations for all the suspended slabs in the west tower</t>
  </si>
  <si>
    <t>S100A</t>
  </si>
  <si>
    <t>Slop slab Around Basement Perimeter</t>
  </si>
  <si>
    <t>Inside historic the top of 12” sloped slab elevation. We assume is at elevation 91’ and slopes to top of 12” mat slab at elevation 87’. Please confirm? Sheet S100A.</t>
  </si>
  <si>
    <t>Wall Elevation at Grids H1/HD-HF</t>
  </si>
  <si>
    <t>S100A/9/S240/AE342. What is the top of area well elevation and dimensions of CW-2 area well needed at south side of historic temple?  Grid H1/ HD-HF </t>
  </si>
  <si>
    <t>AE140, AE140A, AE140B, AE141, AE141A, AE142, AE143, AE144</t>
  </si>
  <si>
    <t>Door Dimensioning</t>
  </si>
  <si>
    <t>AE140, AE140A, AE140B, AE141, AE141A, AE142, AE143, AE144, multiple door openings do not show dimensions. We would need direction on block out sizes at all door locations? How do we determine if the opening will have a door buck or if we need to oversize to allow the frames to be post installed? This will also apply to the window openings that are applicable at concrete wall locations. (ex. AE651 show waterproofing details, GFRC window surrounds, wood frames etc.) </t>
  </si>
  <si>
    <t>Wall dowel detail 2/S221 at electrical room slab</t>
  </si>
  <si>
    <t>North west electrical room in the annex grids A7/A8 and AH/AF. Reference attached section of sheet S101A and detail 2//S221. Where the 12" and 8" slab dowel out of the CW4 wall and CB7 beam at this location is it acceptable to drill and epoxy the #5 dowels? If so please provide required embedment.  </t>
  </si>
  <si>
    <t>|  | Epoxy dowels are not allowed at this location.  Form saver dowels can be used if desired.  Please advise if form saver dowels will be used.</t>
  </si>
  <si>
    <t>C.8 and LX101</t>
  </si>
  <si>
    <t>Storm Drain Tree Conflict</t>
  </si>
  <si>
    <t>In comparing drawings C.8 and LX101 along with doing the layout, the storm drain line installation and manhole will be interfering with an existing tree. Do we need to reroute the drain line or remove the tree? Please advise.</t>
  </si>
  <si>
    <t>South Storm Drain Tree Conflict</t>
  </si>
  <si>
    <t>Equipment operating swing radius will encroach on the trees shown in the attached drawing. It is our opinion that based on the drain location and the equipment that is needed to install it that the trees should be trimmed in order to minimize impact on the trees. </t>
  </si>
  <si>
    <t>Provide tags on limbs that need to be pruned for field review prior to trimming.  Are there other equipment options that could be used for this area? |</t>
  </si>
  <si>
    <t>Top of Micropile Elevation</t>
  </si>
  <si>
    <t xml:space="preserve">Please provide a schedule with top of micropile elevation for each micropile.  We assume that top of micropile elevation is equal to bottom of flat jack elevation.  Please confirm.   We would like to incorporate these specific elevations into our design submittal with cut-off detail prior to installation.  Please see attached sketch for more information. </t>
  </si>
  <si>
    <t>|  | This needs to be coordinated with general contractor who is in control of flat jack requirements.  This is outside the scope of structural work.</t>
  </si>
  <si>
    <t>B4, D5/AE634</t>
  </si>
  <si>
    <t>Wood flooring thickness D5, B5/AE634 thickness verification</t>
  </si>
  <si>
    <t>Meeting held with CRSA, Westland, Fetzers, 1-22-15,  it was stated the wood floor would be 7/8" off of concrete. Details of thresholds D5, B5/AE634 notes state there is 2 layers of 7/16" underlayment and vapor barrier( none is shown in detail) then 3/4" flooring.
In the meeting it was stated by Westland the flooring from concrete to top of wood floor will be 7/8". Please confirm the thickness of the wood flooring from the concrete to top of wood floor as meeting notes contracted architectural drawings.
This is critical to understand the correct step down of casing and jamb from wood floor to concrete, tile or carpet.</t>
  </si>
  <si>
    <t>Level 5 Ceiling Demo.</t>
  </si>
  <si>
    <t>Per the phone conversation between David Adams and Kyle Welch please confirm that we are to:
1.      Remove the Batt insulation above the ceilings that are being demolished on the 5th.
2.      That the ceilings between Gridlines HC and HB along grid line H5 on level 5 are to be demolished.
3.      The ceilings above the stair towers can have a wedge shape cut into them to allow the installation of the roof drains, fire sprinkler, lighting protection, etc.
I have attached a drawing depicting the locations of the above questions.</t>
  </si>
  <si>
    <t>Manhole on Intersection of 500 S &amp; 300 E</t>
  </si>
  <si>
    <t xml:space="preserve">We would like to install a sleeve from the manhole on the intersection of 500 S and 300 E to extend out of the intersection onto 300 E. This is so we do not need to cut and patch the new asphalt when it is replaced. </t>
  </si>
  <si>
    <t>Provide elevations and information to extend the pipe from the intersection onto 300 E.</t>
  </si>
  <si>
    <t>Contractor Office Equipment</t>
  </si>
  <si>
    <t>It has come to the contractor's attention that there are no 7-Eleven stores within St. George.  According to Google Maps the nearest 7-Eleven is 35 miles round trip. Contractor proposes a Slurpee machine to be installed in the Contractor's office to mitigate downtime in prosecution of the work. Note this is a cost bearing RFI. Please advise.</t>
  </si>
  <si>
    <t>Issue the requisite change documentation.</t>
  </si>
  <si>
    <t>Existing Annex Out of Square</t>
  </si>
  <si>
    <t>Attached is Glassey's survey. Not a huge out of square condition inside the Annex – just a few dims that need to be addressed. Looks like the out of square between Historic and Annex is about .5 degrees – resulting in about 12” from East to West on the Historic Temple itself. Let me know your thoughts.
We believe it would be better to build the Annex as square as possible with the existing condition and try to make up the out of square with the Historic Temple as they join.
We request input from CRSA and ARW on how to proceed.</t>
  </si>
  <si>
    <t>AE610, AE630</t>
  </si>
  <si>
    <t>Door types and Door details AE630</t>
  </si>
  <si>
    <t>Door schedule AE600, AE601 calls door types 1, 4, 6, 9, 13, 15, 16, 17, 18 to be 1-3/4" thick doors. These door types on drw. AE610 refer to  enlarged section of doors, B3, B4, B5, A5/AE630 to be 2-1/4" thick doors. Door jamb details for these doors D1, D3, D5, B3,A1/AE632 refer to thickness of doors to be 1-3/4". Clarify if enlarged details of doors on  AE630 is correct and if doors are to be 2-1/4" thick or if doors are to be 1-3/4" as called out in the schedule. If doors are to be 2-1/4" thick door schedule and door jamb details are incorrect. If door schedule is correct then doors are to be 1-3/4" thick. This will make all the inner door panels only 1/4" thick which I think is to thin of  a panel to attach moldings to and to thin for sound purposes.  Clarify door thickness and inner panel thickness.</t>
  </si>
  <si>
    <t>see attached sketch of enlarged door detail.</t>
  </si>
  <si>
    <t>Baptistery Unforeseen</t>
  </si>
  <si>
    <t>During the demolition process of the Baptistry area we have found the things shown on the attached photos. For clarity I have highlighted the items in Green. Please confirm they are to be removed.</t>
  </si>
  <si>
    <t>Crown Moldings Contradiction in details  AE570 verse AE584</t>
  </si>
  <si>
    <t>Finish schedule refer to crown moldings show in plaster on drw. AE570. Notes regarding crown molding on AE584 state some of these crown molding are to be wood.
It is Fetzers understanding that all crown moldings in this project are either GFRG or plaster based on details in drw.  AE6570-AE571 and not wood. Architect was to follow up on this item after millwork meeting 1/22/20 and clarify.
The following would be the exception
1.      Font 067, Existing beams are to have new wood sides added to the beam. Crown molding A3/AE583 would be wood since top half of crown is suspended in the air and needs to support a light fixture at font ceiling. Detail E3/AE570 says crown is plaster. Which is correct?  Trim at the bottom side of the beam A3/AE583 is plaster.
2.      Anti Rm. 061, Existing beams are to cover with wood on sides of beam only A1/AE583. Crown molding is plaster.
3.      Crown at casework E6/AE570 is wood
4.      Instruction Rm 136, 162 Annex, crown molding in room is wood. Crown with slot in crown for air diffuser E3/AE584
5.      Instruction Rm 309-314, 322-327 Historical, Box beam is made of wood on top of column. Crown molding E4/AE570 around beam and wall is plaster.</t>
  </si>
  <si>
    <t>Annex shop CW2 wall dimensions</t>
  </si>
  <si>
    <t>Sheets S100, AE146 
Please verify the location of the CW2 walls at grids A4-A2 and AF-AG in the shop area. When scaling the structural drawings for the locations of the wall/step they do not match the dimensions on sheet AE146. Please review attached markup plan and sheet AE146 and verify the dimensions in this area. It is assumed the dimension to face of wall/step would follow AE146. </t>
  </si>
  <si>
    <t>Needle Beam Dimensions</t>
  </si>
  <si>
    <t>As we are preparing to fabricate beams and rods for the footings in the Historic Temple Footings it is noted that the lengths will be determined by new concrete interfacing with existing columns that appear to "grow" below finish floor elevations.  Please provide overall finish concrete dimensions to allow for accurate beam lengths as well as pipe and rod lengths.</t>
  </si>
  <si>
    <t xml:space="preserve">These lengths will be discovered upon the excavation of the existing footings. It has been discovered Via minor excavation (2’) that the Columns appear to be flaring out as they go down. With this in mind they may need to be fabricated long and cut on site to fit the footing when the final width is discovered. </t>
  </si>
  <si>
    <t>Finish Concrete Slab Elevations vs Final Finish Elevations</t>
  </si>
  <si>
    <t>Please provide information regarding final elevations (ie: tile, wood, etc) in reference to slab elevations.  Currently the drawings reference finish floors different from the slabs, but slabs do not have assigned elevations.</t>
  </si>
  <si>
    <t>Slab on Deck Elevation is Found on sheet AE146B 95'-1"
FFE found on Sheet AE340 95'-3"</t>
  </si>
  <si>
    <t>M104</t>
  </si>
  <si>
    <t>Assembly Room 408-Grilles at floor/bench</t>
  </si>
  <si>
    <t>Drawing M104, at grid line HF is shown six(6) 50" x 14" FR-1 grilles.  Currently this size of grille does not appear to fit under the existing benches where shown to be installed.  See attached photos of current dimensions that indicate a clear space of approximately 35 1/2" x 14" under the benches.  Please advise.</t>
  </si>
  <si>
    <t>Recommend installing three(3) 16" x 32" at each location in lieu of 2-54" x 14".</t>
  </si>
  <si>
    <t>M105</t>
  </si>
  <si>
    <t>CD-4, RG-4 grilles conflict with trusses</t>
  </si>
  <si>
    <t>Drawing M105, instruction rooms indicate CD-4 and RG-4 grilles to be installed.  The minimum ceiling opening requirement for installation of these grilles is 11"x11".  The existing trusses only allow for a 10" wide grille.  Please advise.</t>
  </si>
  <si>
    <t>Select a different size grille</t>
  </si>
  <si>
    <t>MPD 104, PD 104, AD 104</t>
  </si>
  <si>
    <t>Level 4 Mech/Plumb demo</t>
  </si>
  <si>
    <t>Drawing MPD 104 and PD 104, existing piping systems are called out to be removed.  They are located behind existing furred walls.  Drawing AD 104 does not appear to indicate any demo of these furred walls.  Please advise.</t>
  </si>
  <si>
    <t>Please advise if the existing piping systems located behind the furred walls is to be abandoned in place or if the furred walls are to be removed allowing the piping to be demoed.</t>
  </si>
  <si>
    <t>HSS Column Connection Conflicts with Plate Column Connection</t>
  </si>
  <si>
    <t>RFI 168 provided a connection from new HSS columns to Steel Floor Support Beams.  CCD 016 provides a new "Plate Collar" at the top of Stone Columns that appears to interfere with the HSS connection.  Please provide direction for this conflict.</t>
  </si>
  <si>
    <t>Please confirm there is a ½” gap between the vertical HSS and the Sand Stone Column.</t>
  </si>
  <si>
    <t>M110A, AD100B, SD100B</t>
  </si>
  <si>
    <t>Stairwell floor penetration conflict</t>
  </si>
  <si>
    <t>Drawing M110A, stairwell 7 and 8 indicates two(2) 20" ducts entering the spiral staircase columns and rising up to above floors.  Drawing AD100B and SD100B do not show any demo or modifications to the structure to allow for this ductwork at these locations.  Following an investigation of the proposed duct path it was discovered that existing basalt footings and beam supports that conflict with the shown path of the duct work.  See attached photos and shop drawing that depict the path restrictions.  Note the photos were taken of the west side of footings looking east.</t>
  </si>
  <si>
    <t xml:space="preserve">Please advise as to how the structure is to be modified to allow installation of the ducts.  </t>
  </si>
  <si>
    <t>M100B, S100B</t>
  </si>
  <si>
    <t>Level 0.5 structural to mechanical opening conflict</t>
  </si>
  <si>
    <t>Drawing M100B, along grid line HF, shown two(2) 60" x 24" ducts rising up through floor.  Drawing S100B at these same locations indicates a 20" opening for mechanical.  The 20" structural opening will not accommodate the 24" duct.  See attached for clarifications.</t>
  </si>
  <si>
    <t xml:space="preserve">Please advise if it is acceptable to reduce the duct size to 60" x 18" at this floor penetration/opening location and then transition back to 60" x 24" in order to fit through the provided structural opening.  </t>
  </si>
  <si>
    <t xml:space="preserve">M100B, AE100B, S10B, </t>
  </si>
  <si>
    <t>FSD Actuator locations</t>
  </si>
  <si>
    <t xml:space="preserve">Drawing M100B, grid line HF indicates installation of 60" x 24" ducts that have fire smoke dampers shown at the floor level.  Drawing AE100B at the same location indicates shower rooms.  Drawing S10B shows W10 beams, walls and adjacent mechanical shafts.  Due to the constraints of the structural steel, walls and shafts at this location, spacial constraints will not allow installation of the actuators that serve the fire smoke dampers.  See attached drawings for clarification.  </t>
  </si>
  <si>
    <t>Please advise if acceptable to locate the fire smoke damper actuators and test switches at level 0.5 and add rated access doors in these walls for service and inspection. See redline drawings AE100B for clarification. due to the proximity to the shower please provide Specs for the access panel.</t>
  </si>
  <si>
    <t>Drain Line VS Gloria</t>
  </si>
  <si>
    <t>Please provide an alternate route for the drain line that is running directly under Gloria. 
We have attached a drawing for reference.</t>
  </si>
  <si>
    <t>Mechanical Louver Schedule</t>
  </si>
  <si>
    <t>Per conversation with VBFA/Brian Oswald on approximately 1-16-20, it was stated that a revised mechanical louver schedule was to be released.  In order to complete the BIM design at the annex basement we are in need of this information.</t>
  </si>
  <si>
    <t>Please advise if the mechanical louver schedule is to be revised and if so provide detail.  Note that this is a high priority RFI.</t>
  </si>
  <si>
    <t>Micropile All Thread Bar</t>
  </si>
  <si>
    <t>This is a confirming RFI for the all-thread bar required for the micropile installation.
Our approved micropile design submittal specifies the use of GR 75 #14 and #18 all-thread bar.   A reference to GR 150 steel is made in section 2.2.A of the micropile specification.   It appears that the language here, "Where called for on the drawings" is only relevant "IF" GR 150 is required. 
Please confirm that GR 75, as outlined in the previously submitted micropile design is acceptable</t>
  </si>
  <si>
    <t>Epoxy installer certification</t>
  </si>
  <si>
    <t>Reference structural notes S001 note G-5 and attached information. 
Per onsite discussion please verify that the installer certification class offered through Hilti will work for the overhead and horizontal epoxy applications on the project. We intend to use Hilti products on the project. Also attached is the information on the class.</t>
  </si>
  <si>
    <t>please confirm</t>
  </si>
  <si>
    <t>Hilti epoxy options into concrete</t>
  </si>
  <si>
    <t>Reference structural notes S001 
In consulting with Hilti Engineers they have a couple epoxy options Hilti HY 100 and Hilti RE 100 with a basis of design comparable to Simpson Set XP. Please review links to attached ESR's and product comparisons. Let us know if they two epoxies will work at concrete applications. We intend to use the specified products at the stone locations. If a phone call is needed with the EOR and Hilti engineer we can arrange. 
https://www.hilti.com/c/CLS_FASTENER_7135/CLS_INJECTABLE_ADHESIVE_ANCHORS_7135</t>
  </si>
  <si>
    <t>Doorbell Chime System</t>
  </si>
  <si>
    <t>See attached master equipment and fixture list from addendum #7. The doorbell chime system is in our electrical specifications, section 262773, but according to the master equipment list the owner provides and installs. Please clarify.</t>
  </si>
  <si>
    <t>With this new information, the Owner's Interior Design Team and Gloria Hayley Interiors is going to take a second look and re-design these sinks. New drawings will be developed and released at a future date.</t>
  </si>
  <si>
    <t>this RFI is not needed any more.</t>
  </si>
  <si>
    <t>See VBFA's response  | This information will be included in CCD38 to be released shortly. |  |  |  | VBFA, The fan coils are missing on the CCD per my Prior response. Please revise and coordinate with CRSA on a new CCD number.
Thanks.</t>
  </si>
  <si>
    <t>See VBFA's response  | This information will be included in CCD38 to be released shortly. |  |  |  |</t>
  </si>
  <si>
    <t>The floor assembly is Type F1 (Sheet GA005) and has a 1-hour fire rating. Rated floor penetrations must comply with the 1-hour rating seen on Sheet GA006. |</t>
  </si>
  <si>
    <t>Revised Sheets to reflect width of plinth around annex buttress will be part of a upcoming CCD-34.</t>
  </si>
  <si>
    <t>See attached for updated LX101 showing removal of the tree nearest the sidewalk and removal of the tree in the southwest corner near the seating area and an update to the tree protection fence alignment.  
Also included is a quick study showing the new route of the sidewalk (see the blue option), a PR will be issued with updated plans for pricing and implementation. | We are working on finalizing the updated plan set for the 400 South improvements and will include the updated plans for the sidewalk modification with that set.  Included will be a modified layout plan, grading plan, planting plan and irrigation plan. |  | Please provide Dimensions and Radiuses needed for final layout.</t>
  </si>
  <si>
    <t>See GHID response  | Is GHID planning on providing an ADA compliant bench in their furniture package, or shall we select an off the shelf product?  | We would like to see potential options from the locker contractor before making a final decision.</t>
  </si>
  <si>
    <t>See upcoming CCD-19. | Poplar wood is acceptable. All Crown Molding in the historic building will be plaster. All Crown molding in the Annex building will be GFRG. There will be no wood crown molding. Columns, Arched portals and door jamb casings can be Poplar wood. Maple is acceptable for the Doors, jambs, Base moldings and trims for durability.</t>
  </si>
  <si>
    <t>Please see upcoming CCD-042 for revised columns.</t>
  </si>
  <si>
    <t>See future CCD-19.</t>
  </si>
  <si>
    <t>Refer to the upcoming CCD-19.</t>
  </si>
  <si>
    <t>Refer the upcoming CCD-19.</t>
  </si>
  <si>
    <t>Refer to upcoming CCD-19.</t>
  </si>
  <si>
    <t>See attached detail showing added chamfer dimensions. |</t>
  </si>
  <si>
    <t>Please see the attached revised roof drain details. Sump schedule on P601 is correct. |</t>
  </si>
  <si>
    <t>See attached CRSA response. |  | Brain, can you verify if the shifting and spacing will still work with your design.  |</t>
  </si>
  <si>
    <t>See VBFA &amp; ARW's response  | ARW, can you take a look at Louver 1L-4. It is a 36"x48" Louver going in a 36"x 108" opening and Westland is looking at what needs to be done structurally to infill the remaining hole.  | See attached detail 5/S222 for typical concrete infills in existing concrete walls.  This detail can be used to reduce the size of the existing opening to what is required for the new louver.  This revised detail will be issued in the forthcoming CCD#18</t>
  </si>
  <si>
    <t>Per CCD 017 - Dewatering Modifications, the dewatering lines have been eliminated from the Annex. It is still VBFA's preference to run the Soda lines below slab. Please review CCD 017 and advise if this is now possible.  |</t>
  </si>
  <si>
    <t>Refer to upcoming CCD-19. |</t>
  </si>
  <si>
    <t>Please refer to upcoming CCD-19. |</t>
  </si>
  <si>
    <t>Refer to the upcoming CCD-19. |</t>
  </si>
  <si>
    <t>The three lighting control panels mentioned in the RFI are shown on the floor plans and have relays called out and circuited to them, as shown on the lighting circuiting plans. They should all be quoted and included in the project as indicated.  Relay panels LCP-T1B and LCP-T3B are also shown on the lighting riser diagram, detail 2, sheet EL502.  No bidding questions were received regarding these panels.  An updated drawing will be provided to indicate the relay schedules for these panels. | See response in the comments from Scott Hardy from Envision. |  |</t>
  </si>
  <si>
    <t>Drawing revision will be issued to clarify move from normal power to emergency power circuit and relay.
 The two lights in question are DR6M same as adjacent downlights.
 It is assumed the room in question here is instruction room B (211) as (218) was not able to be located and the question asks about the veil area.  The TLA linear LED fixture is to be continuous through out the entire cove (as shown in the drawings) this includes where it wraps around over the veil area. See arch'l detail that is reference on sheets. 
 TLA fixtures will need to be controlled with dimming control system shown on EL501 and EL503 as separate dimmable/control zone.  Drawing revision will be issued for clarification. | Refer to upcoming CCD-21 for Clarification. |  |  |</t>
  </si>
  <si>
    <t>Will be circuited to spare breaker in panel L3S1. Controlled as separate dimmable zone.  Drawing update will be provided clarify exact circuit number.
All exit signage and code required egress lighting to be on emergency panels. Some spaces have owner requirement for all on during and outage and those non-emergency lights are to be on stand-by only.  Drawing revision will be sent to clarify which lights will be on emergency and which will be on stand-by. 
See response to item 3 above. | Changes will be included in CCD#21 |  |  |  | Scott, Can you provide the revised drawings per your response?</t>
  </si>
  <si>
    <t>Relay will be needed on Women’s side similar to men’s. Control detail is still accurate to show manual control as well. Drawing revision will be sent for clarification. | Refer to upcoming CCD-21 for clarification.  |  |  |</t>
  </si>
  <si>
    <t>A separate circuit from panel L2P1B and relay panel LCP-A1 will be indicated in an upcoming drawing revision to clarify power and control. | Refer to upcoming CCD-21 for Clarification. |  |  |</t>
  </si>
  <si>
    <t>A separate circuit from panel L2P1B and relay panel LCP-A1 will be indicated in an upcoming drawing revision to clarify power and control.
 Type TLA, same as other similar locker areas adjacent.
 They have been circuited and have relay in the plans H1E0-19, and relay panel LCP-A1. Drawing update will be sent to clarify. | Refer to upcoming CCD-21 for clarification.  |  |  |</t>
  </si>
  <si>
    <t>Upcoming drawing revision will be issued to clarify circuits and relays in question. | Refer to the upcoming CCD-21 for Clarification.  |  |  |</t>
  </si>
  <si>
    <t>Drawing revision will be sent to adjust circuit and relays to be fed from closer panels as recommended.
 Drawing revision will be sent to clarify circuiting connections in this area. | Refer to upcoming CCD-21.</t>
  </si>
  <si>
    <t>Please disregard the gridline locations on the Mechanical drawings. Gridlines on Architectural and Structural drawings are showing the correct locations.</t>
  </si>
  <si>
    <t>Please see Response from Ben Davis - VBFA. |</t>
  </si>
  <si>
    <t>Not sure why this is replying back to Innovative Concrete?
Please see CCD-11.R.2 showing the ceiling to be removed in room 318. If the medallion cannot be saved and relocated in room 318 a scan needs to be done so it can be replicated.</t>
  </si>
  <si>
    <t>Clinton Phillips</t>
  </si>
  <si>
    <t>R. Phillips Plastering LLC</t>
  </si>
  <si>
    <t>See ARW's response  |  | Drilling and epoxy is not adequate for these locations.  If desired, form saver dowels can be used.  Please advise if form saver will be used.</t>
  </si>
  <si>
    <t>CRSA Concurs With Zach Hansen/ ARW.</t>
  </si>
  <si>
    <t>See RFI #168b for response. | See comments, this is answered in a previous RFI |  | See Response to RFI 168 for this answer. | I see this answer in RFI 163.</t>
  </si>
  <si>
    <t>See attached drawing. The ramp extends from opening to opening. See revised T.O.C. elevation and added dimension referencing the length of the ramp.</t>
  </si>
  <si>
    <t>See ARW's response  | see attached  |  | Those details have been superseded, ARW will provide new revised details in a forthcoming ASI that will show requirements of this new condition. | Please provide the ASI # associated with this response.  | Please see attached sheet S222 for revised details.  These changes will be issued with CCD#18.</t>
  </si>
  <si>
    <t>Please refer to detail C1/AE503 for AD and AE wall heights. Refer to A4/AE362 for A1 wall height.</t>
  </si>
  <si>
    <t>See ARW's Response. |  | This dowel can be cast-in-place with the wall.</t>
  </si>
  <si>
    <t>The wood floor thickness is 3/4" thick. Please refer to Section sheets AE345 and AE346 showing the elevation heights. The elevation heights provided are to the top of the finished wood floor of the Historic building. Top of the suspended concrete floor height will be 3/4" less than the elevations shown on the drawings. Even though these elevations are provided to the best of our knowledge, Contractor to field verify with the Historic Building. The intent is to have an even transition wood floor from the new west tower to the Historic Building.</t>
  </si>
  <si>
    <t>See responses below. | Architecturally we are showing the slope with 91'-0" &amp; 87'-0" as stated in the RFI. See attached image.
ARW, does this match your drawings?  | CRSA - Yes this matches our drawings except for the west wall at Grid HF.  At this wall, we were not planning for the diagonal sloped floor slab, we were intending for the floor slab at 87' to continue over to the wall.  See our detail 1/S242 for this.  This was the main reason for the micropiles being installed along this wall line.</t>
  </si>
  <si>
    <t>Please see attached drawings. T.O.C. wall elevations are to be 98'-8". 
See also the attached floor plan showing the size of the wells.</t>
  </si>
  <si>
    <t>See CRSA's response.</t>
  </si>
  <si>
    <t>We could move the storm drain line to the north ~15’. We would need to put in a manhole to connect the bend in the pipe. I haven’t looked at the sloped and elevations yet. But we would need to look at those to verify that it will work. By moving this we add 15’ to the pipe. I need to make sure that 15’ isn’t going to mess with the other elevations. There are a lot of moving parts and let me verify this will work. | Tree will be preserved, see update from Civil. | See Horrock's response</t>
  </si>
  <si>
    <t>The wood flooring has been confirmed to be 3/4". Please coordinate casing, jamb, etc. from wood floor to concrete, tile or carpet accordingly. |</t>
  </si>
  <si>
    <t>See CCD - 11.</t>
  </si>
  <si>
    <t>See the attached pdf (2020 01-31 STORM DRAIN &amp; GROUND WATERPLAN - ONSITE) for information on the pipe. The invert elevation of that pipe will be 2661.26.
Sheet C.8 will provide the plan view information.
Sheet C.8.1 will provide the profile view information. | See Response.</t>
  </si>
  <si>
    <t>Approved only if the machine has more than just 3 flavors. Suggestions would be to include Mountain dew, Dr. Pepper and Coke zero.</t>
  </si>
  <si>
    <t>This will be addressed in an upcoming CCD #23 on how to proceed.</t>
  </si>
  <si>
    <t>Please refer to the upcoming CCD #24.</t>
  </si>
  <si>
    <t>This will be part of an up coming CCD-19 regarding revisions to doors, trim and misc. wood work.</t>
  </si>
  <si>
    <t>Please disregard structural drawing S100 placement of walls and step. The Architectural dimensions on sheet AE146 are correct. |</t>
  </si>
  <si>
    <t>See ARW's response  |  | Contractor will need to provide dimensions for this.</t>
  </si>
  <si>
    <t>Accepted. |  |</t>
  </si>
  <si>
    <t>It appears that in the celling M105 the CD-4 &amp; RG-4 have enough room to be installed. See the below image. Please clarify question. |  |</t>
  </si>
  <si>
    <t>The historic walls are to remain in place therefore the pipes should remain abandoned in place as well. Cap visible ends as possible. |  |</t>
  </si>
  <si>
    <t>See ARW's response  |  | A 1/2" gap between HSS and stone column is acceptable to allow for clearance of the steel plate collar.</t>
  </si>
  <si>
    <t>Jason Fullmer</t>
  </si>
  <si>
    <t>See responses below. |  | Brian, can you take a look at the duct size? We can also forward to Zach for him to chime in.  |  | The size of the penetration can be increased to 24" if needed.  Will that still fit in the wall if it is that size?  Please verify and advise.</t>
  </si>
  <si>
    <t>There is a CCD that should be coming out today that has the updated storm drain line. This line with be routed to the north to avoid "Gloria's" canopy and protect her the best we can.
Look for CCD-06.R2.</t>
  </si>
  <si>
    <t>Refer to upcoming CCD-26 for updated Louver Schedule. |  |  |</t>
  </si>
  <si>
    <t>See ARW's response  |  |  | Grade 75 is acceptable</t>
  </si>
  <si>
    <t>See ARW's response  |  | This certification is accetpable.</t>
  </si>
  <si>
    <t>See ARW's response  |  | It is acceptable to use HY100 to replace Simpson Set-XP in concrete applications.  Stone anchors to be Hilti RE500V3 as noted.</t>
  </si>
  <si>
    <t>M201</t>
  </si>
  <si>
    <t>North Stair Tower Return Duct</t>
  </si>
  <si>
    <t>Previous BIM coordination meeting dated 1-28-20, all parties discussed that the return duct located in the historic north stair tower shaft was to be resized from 36"x80" to 36"x62" from basement to level 3.</t>
  </si>
  <si>
    <t>Please confirm that return duct located at north stair tower is to be resized to 36"x62" from basement level to level 3.</t>
  </si>
  <si>
    <t>See response from VBFA. |  |</t>
  </si>
  <si>
    <t>Annex level 1 recessed slab missing dimensions</t>
  </si>
  <si>
    <t>Reference sheet S101A from CCD 16 and AE147.
Please provide missing dimensions for slab recesses marked in green on attached sheet AE147. </t>
  </si>
  <si>
    <t>See upcoming CCD #41 showing recess slab locations and clarifications.</t>
  </si>
  <si>
    <t>Dimensions for recessed cans and floor boxes</t>
  </si>
  <si>
    <t>Can we please get dimension Drawings for recessed can lights, smoke detectors, speakers, cameras, occupancy sensors, etc. on the ceilings stating at the 5th level moving down and the basement in the annex moving up. Also dimension Drawings for floor Boxes in these locations.</t>
  </si>
  <si>
    <t>Concrete Vault Sump Pits</t>
  </si>
  <si>
    <t>US Mechanical is proposing to use the sump pit vaults as per submittal 221323.01 in lieu of the man hole type vaults shown in detail 2/P502. The submitted vaults are detailed at 4” down from top of concrete slab. Also, the lids submitted for these vaults in 221429.06, product 8815, show the discharge lines feeding out through the lid and not through the wall of the vault as shown on 2/P502. Please advise if these vaults are acceptable as submitted and if so, please provide a detail showing how the vaults are to tie into the concrete slab. Also, please advise if it is acceptable to surface mount the lids. See attached sketch and cut sheets for reference.</t>
  </si>
  <si>
    <t>283111</t>
  </si>
  <si>
    <t>EY100, EY101, FA-2, FA-6</t>
  </si>
  <si>
    <t>Fire Alarm Remote Annunciator</t>
  </si>
  <si>
    <t>In the submittal review comments regarding the remote annunciation (LOC2) in the main entry we are to resubmit on a smaller, recessed version.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
There are two annunciators: one in the main entry and one in TFM office 045. The smaller version we will resubmit does not have the emergency voice system for live communications but a large one (LOC1) with this capability is located in the TFM office 045. Are we to just replace the large one in the main entry with the smaller version? Or do we need to relocate the larger one and provide a new, smaller, third one in the main entry? The AHJ will need to weigh in on this.</t>
  </si>
  <si>
    <t>We would recommend that the TFM office remote annunciator remain as is.  Our preference is for the smaller recessed remote annunciator (preferable in white if available) to be located in the vestibule (contractor to verify available wall space and exact location as approved by architect).  In conversations with AAA fire they will be contacting the AHJ to confirm this is an acceptable solution. |  |</t>
  </si>
  <si>
    <t>EC104</t>
  </si>
  <si>
    <t>Relocate Data Rack TR4 from RM 402 to RM 515</t>
  </si>
  <si>
    <t xml:space="preserve">After our BIM meeting on 01/28 I would like to propose that we relocate TR4 and any power requirements associated from room 402 to room 515 on the 5th floor. As indicated on Drawing EC104 we have included in our Bid 2-2” conduits from TR1 to each of the individual IDF’s . After investigating and talking with Matt Heaton we believe there is no benefit to locating it on the 4th floor because the 4th floor is at the same level as the 5th floor ceilings. The only downside to this would be the 4th floor data ports at the rostrums on both ends of the Priesthood Room and the Floor boxes (9 locations), which we would suggest to feed from TR3 on the 2nd floor room 202. This would significantly decrease the conduits between the 4th and 5th floors, facilitate adding future locations on both the 4th and 5th floors, and free up a room on the 4th floor for another purpose. Please advise if acceptable and provide any requirements for the modification.		</t>
  </si>
  <si>
    <t xml:space="preserve">	</t>
  </si>
  <si>
    <t>It is acceptable to change TR4 from level 4 to Level 5 as described, however the (2) 2" conduits may need to be increased and provided with inner duct.  Clarification will be submitted in the upcoming CCD#21. |  |</t>
  </si>
  <si>
    <t>064023</t>
  </si>
  <si>
    <t>Wood base hallways instruction rooms on level 3 and 5</t>
  </si>
  <si>
    <t>Existing wood base was removed in these areas at demo time. Is Fetzers to reinstall existing base in these hallways and instruction rooms or are we to make and install new base?</t>
  </si>
  <si>
    <t>This RFI will be clearified in the upcoming CCD-019.</t>
  </si>
  <si>
    <t>273216</t>
  </si>
  <si>
    <t>Zetron Radio System Input Points</t>
  </si>
  <si>
    <t>We are working on the schedule of input points for the Zetron Radio System and need the Temple Engineer's input. These are the points we have:
64 Points  Fire Alarm System
24 Points  Security System
2 Points    Generator Backup System
6 Points    AV System
24 Points  BAS System
4 Points    Combo Telephone/Door Bell
24 Points  Future
Consult Temple Engineer for his review of these points so we can finalize schedule of inputs.</t>
  </si>
  <si>
    <t>Brian Chandler</t>
  </si>
  <si>
    <t>CORPORATION OF THE PRESIDING BISHOP OF THE CHURCH OF JESUS C</t>
  </si>
  <si>
    <t>M505</t>
  </si>
  <si>
    <t>CD-9 Plenum connections</t>
  </si>
  <si>
    <t>Drawing M505, detail 13 indicates linear slot grille CD-9 plenums to have end connections.  The approved Titus linear slot grille does not have an end connection option available.  See attached for clarification.</t>
  </si>
  <si>
    <t xml:space="preserve">Please confirm if it is acceptable to provide the Titus linear slot diffuser CD-9 with side inlet connections.  </t>
  </si>
  <si>
    <t>See detail 13/M505.  |  |</t>
  </si>
  <si>
    <t>Room 409,410, 411 ventilation</t>
  </si>
  <si>
    <t>Drawing M104, vestibule 409, 411 and Study 410 appear to have no ventilation shown.  Please advise.</t>
  </si>
  <si>
    <t>Clarify whether or not these rooms are to receive some form of HVAC/Ventilation.</t>
  </si>
  <si>
    <t>See the forthcoming CCD 38 for more clarification. |  |</t>
  </si>
  <si>
    <t>Existing 8 inch Metal Pipe at Spiral Stair Cases</t>
  </si>
  <si>
    <t>Referenced attached sheet PD102. There is an existing 8 inch diameter metal (tin) pipe inside the center chase of both the northeast and southeast historic spiral stair cases that is not shown on the drawings. The pipe was removed from the chases at levels 4 and 5 prior to this project but the remaining levels remain. RR has confirmed the paint coating is lead. Please advise if the remaining sections of pipe from level 3 down should be demoed.</t>
  </si>
  <si>
    <t xml:space="preserve">Remove the existing pipe to free up space for the new duct and piping. </t>
  </si>
  <si>
    <t>Pending architectural permission, the 8" lead pipe should be removed. |  |  |  |</t>
  </si>
  <si>
    <t>Aquatherm Piping</t>
  </si>
  <si>
    <t xml:space="preserve">Kory with the TFM group is requesting aquatherm piping in lieu of specified epoxy coated cast iron. Please advise if we are to change to aquatherm piping and at what locations it is to be installed. </t>
  </si>
  <si>
    <t>Please provide pricing to change to NUPI Niron gray electrofusion piping for:
 All condenser water piping.
All domestic hot, cold and recirculation piping with the exception of hot water piping within 50 feet of the water heater which shall remain in copper. | Pricing will  be provided for the central plant piping as requested.</t>
  </si>
  <si>
    <t>Dewatering Detail at Historic Building</t>
  </si>
  <si>
    <t>Detail 4/P503 shows the dewatering piping in a 20" gravel bed between a rat slab and mat slab.  This detail appears to apply to the Annex dewatering that has been eliminated from the scope. However, this detail is also referenced in note 13 on sheet P099A for the Historic building. Please provide a detail for the Historic building detwatering system shown on P099A.</t>
  </si>
  <si>
    <t>Please see the attachment from VBFA.</t>
  </si>
  <si>
    <t>QF101, QF101SCH, P100, EP201</t>
  </si>
  <si>
    <t>Kitchen Equip Coordination</t>
  </si>
  <si>
    <t>The kitchen equipment item numbers on the food service drawings do not coincide with the call outs on the mechanical and electrical drawings. See for example QF101 and QF101SCH versus P100 and EP201. Could we get a coordinated schedule or updated drawings?</t>
  </si>
  <si>
    <t>Yes, These do not coincide because they are from two different consultants with two different formats. This was not intended to have the same schedules. At first glance the information in both schedules seem to be correct. Contractor to coordinate as needed.</t>
  </si>
  <si>
    <t>Structural Platform at Each Air Terminal Unit</t>
  </si>
  <si>
    <t>Please advise if some sort of structural platform is required to be installed at each Air Terminal Unit above level 4 barrel ceiling. See sheet M105. If required, please provide details.</t>
  </si>
  <si>
    <t>A platform would be nice for access but is not required at this time. This response is contingent upon what the owner does with the ceiling. | See CCD-45 per ARWs response. | Please advise as to what the Owner is going to want to do. |  | We have been directed to provide catwalks in the attic space.  These catwalks will be included in the forthcoming CCD045.</t>
  </si>
  <si>
    <t>AE125 per CCD11R</t>
  </si>
  <si>
    <t>Ceiling Elevations for Level 5 East Rooms</t>
  </si>
  <si>
    <t>Please clarify if the ceiling elevations called out on sheet AE125 for rooms 517, 518, 519, and both spiral stair cases are correct. It appears the elevations called out would put the new finished ceiling above the existing ceiling joists. Please advise.</t>
  </si>
  <si>
    <t>The ceilings in these areas are not intended to raise above the existing structure. Please see the attached RCP reflecting the revised ceiling hgts.</t>
  </si>
  <si>
    <t>North Annex Storm Drain</t>
  </si>
  <si>
    <t>Storm drain on the North end of the annex is shown going under the entryway. It is my understanding that this is to move North a few feet to stay out from under the slab. Please verify.</t>
  </si>
  <si>
    <t>There is a CCD that should be coming out today that has the updated storm drain line. Your understanding is correct. We will route this to the north to avoid the foundation and will also route it to avoid the tree in the NW corner.
Look for CCD-06.R2.</t>
  </si>
  <si>
    <t>Level 2 Support Beams Elevation Discrepancy</t>
  </si>
  <si>
    <t>The support beams (W14x68) at level 2 along grids HC &amp; HE are supported by new columns (HSS 14x6x3/8).  The beams are meant to bear on the top of the column, but the existing wood beam is lower than the bottom of the new steel beams.  This elevation difference does not allow the top of the column to extend to the bottom of the steel beams.  Please see attached screenshots and advise.</t>
  </si>
  <si>
    <t>it is acceptable to notch the bottom of the Existing wood beam enough to revive the incoming metal support. (per conversation with Matt McBride on site 02-06-2020)</t>
  </si>
  <si>
    <t>AE123, AD123, M103</t>
  </si>
  <si>
    <t>Duct vs. Lath and Plaster at Level 3 ceiling</t>
  </si>
  <si>
    <t>Drawing AE123, hallway 316 indicates ceiling height at 9' 2 1/2". Drawing AD123, note 2.106 indicates existing drop ceiling to be removed. This drawing and detail does not address the existing lath and plaster that is located above the existing drop ceiling. Due to existing overhead floor joist height at level 4, new construction to include 3 5/8" metal stud with 5/8 drywall the remaining ceiling spacial opening is 7" 5/8" in height. The existing lath and plaster is +/- 1 1/2" in depth. This leaves a final ceiling spacial opening of 6 1/8". This amount of height will not allow the designed HVAC duct work to be installed in this space. Drawing M103, Duct is shown to be 10x8 (lined), smallest duct can be reduced to is 6" in height due to HTO duct fitting height requirements. This issue is also applicable at rooms 321, 322 and 323. Please advise.</t>
  </si>
  <si>
    <t>The lath and plaster will need to be removed to allow for the designed system to be installed.</t>
  </si>
  <si>
    <t>Refer to CCD-11-R.3 instructing to remove the plaster ceiling.  |</t>
  </si>
  <si>
    <t>CCD-010 EP701 One-Line</t>
  </si>
  <si>
    <t>CCD-010 One-Line EP701 Clarification</t>
  </si>
  <si>
    <t>On CCD-10 one-line drawing EP701, there are (19) new 3-pole 20A breakers shown in distribution panel “LDBS”. However, most of these loads look like they should be 120V with 1-pole breakers. Please confirm phase for each new load.</t>
  </si>
  <si>
    <t>Clarifications will be issued in CCD#21. |  |</t>
  </si>
  <si>
    <t>S245, S221, and S102</t>
  </si>
  <si>
    <t>Level 2 I-Beam Spacing</t>
  </si>
  <si>
    <t>In the floor assembly between the Baptistry and Level 2 it is calling for 2 W14X68, but it does not give the dimension needed between the I-beams. Detail 14 on Sheet S245 shows it being close to the existing 12X24 wood beam, in the BIM it is showing 17 ½” and the complete wall assembly is 18 ½”. For detail and fabrication purposes please advise what the separation between the I beams are?</t>
  </si>
  <si>
    <t>See ARW's response  |  | The clear distance required between beam flanges is 16" in order for duct work to pass through those beams and into the stud spaces above.</t>
  </si>
  <si>
    <t>Oversize Holes - Stone Column Wraps</t>
  </si>
  <si>
    <t>Is it possible to oversize the holes in the 1/2" Plate at the column wraps found on detail 14/S245?  We are concerned that these holes will not be able to be drilled in perfect alignment in order to install the through bolts.  If oversize holes are not allowed in the plates - is it possible to oversize the core holes?  If either option is possible - please provide parameters of acceptable hole sizing.  Thank you.</t>
  </si>
  <si>
    <t>See ARW's response  |  |  | Oversized holes are acceptable, however, plate washers will be required in accordance with Structural Note I.6.</t>
  </si>
  <si>
    <t>EP601, CCD-010</t>
  </si>
  <si>
    <t>Water Fluid Filter Pump P-SS1 Location</t>
  </si>
  <si>
    <t>Water fluid filter pump P-SS1 was added to the equipment schedule EP601 on CCD-010. Where is this located? What electrical panel and circuit number feeds this?</t>
  </si>
  <si>
    <t>P-SS-1 is located in the existing mechanical 036.  It was added as part of Addendum #2 and renamed and HP updated in CCD#10 to match mechanical plans. | See response from Envision and VBFA. |  |  |</t>
  </si>
  <si>
    <t>Annex north shaft wall grid AC and A8</t>
  </si>
  <si>
    <t>Reference sheets S100 and S101A, M100.
Around grid AC and A8 there is a CW4 wall next to the IL1 louver opening. Sheet S100 is showing this area well wall running west and connecting to the CW4 wall along grid AC. We cannot find a reason for this wall section west of the area well. It is assumed that the way it is shown on S101A is correct. Please clarify.</t>
  </si>
  <si>
    <t>See ARW's response  | Correct.  This wall is no longer needed and will be removed in a subsequent Addendum to the drawings.</t>
  </si>
  <si>
    <t>S301 annex shear wall elevations</t>
  </si>
  <si>
    <t>We cannot locate elevations to the top of concrete walls on sheet S301. Grid AE, AD and A1. Please clarify.</t>
  </si>
  <si>
    <t>Please refer to the architectural drawings for the required heights of the shear walls.  They are shown in the wall section details. | Please refer to Architectural sections A1/AE314 and A1/AE366 showing wall elevation heights. | all needed top of wall heights for shear walls are clearly defined in the architectural wall sections.  Please refer to building and wall section sheets.</t>
  </si>
  <si>
    <t>CW4 wall reinforcing at annex</t>
  </si>
  <si>
    <t>S101A and S004
Grid AA and A7 on sheet S101A. What side is the inside face and which the outside face for the vertical dowels at this location? We assume both sides are backfilled.</t>
  </si>
  <si>
    <t>|  | Inside face of wall is inside of building face.</t>
  </si>
  <si>
    <t>260532</t>
  </si>
  <si>
    <t>Feeder/Branch Circuit MC Cabling</t>
  </si>
  <si>
    <t>As per spec section 260532-2 sub. sec. 2.1 F (MC/MCAP Cable) And 260532-3 sub. sec. A (Feeders Under 600 Volts)  Has the Bid-Alternate for MC VS EMT been approved yet? It has  been suggested in BIM Coordination That MC Feeders Be considered Because of Unforeseen Building constraints. Please Advise.</t>
  </si>
  <si>
    <t>Per Owner/Architect MC Cabling is not approved. |  |</t>
  </si>
  <si>
    <t>Existing Domestic Water at Central Plant-Electrolysis</t>
  </si>
  <si>
    <t xml:space="preserve">During the course of decommissioning plumbing systems at the central plant, advanced corrosion has been observed in the domestic water system piping and components.  It appears upon further investigation that this corrosion has been caused by electrolysis.  Of note, visual inspection of components recently installed as of 2013 still containing small amounts of lead per manufacturing practices seem to have deteriorated in an accelerated manner.  See attached photo of existing thermowell where well is damaged and copper is depositing into this device.  Preliminary investigation has been ongoing with the help of the owner.  Dissimilar metal metal contact was discovered and tested with a galvanometer.  </t>
  </si>
  <si>
    <t>Suggest owner/design review on-site with U.S. Mechanical to determine possible steps to eliminate the potential electrolysis and existing corrosion moving forward.</t>
  </si>
  <si>
    <t>Please see the pending CCD29 which calls for the replacement of the water heater, softener, PRV, domestic circulation pump, piping and associated systems. |  |</t>
  </si>
  <si>
    <t>P502</t>
  </si>
  <si>
    <t>Sump Vaults-Waterproofing</t>
  </si>
  <si>
    <t>Drawing P502, details 1, 2 and 3 indicate epoxy coated walls in interior of vaults. Due to natural hydraulic pressures from the exterior of vault, it is possible that the interior epoxy coating could "detach" from the interior vault wall and compromise the vaults waterproofing abilities. Please advise if epoxy coating should be installed on the outside of the vault wall.</t>
  </si>
  <si>
    <t>Please confirm if EXTERIOR epoxy coating of vault walls is desired.</t>
  </si>
  <si>
    <t>See VBFA's response | Brian, Can you please look at this and get with CRSA to discuss if we need to do additional waterproofing. |</t>
  </si>
  <si>
    <t>Door Type 4 Door Schedule</t>
  </si>
  <si>
    <t>Door schedule calls for door type 4 to be 36" wide AE601. Elevation of door types AE610 call for door type 4 to be 40" wide. Which is correct?
Stile width of door type 4 AE610 calls for stile to be 4 1/4" wide. Type 1, 2, 6, 9 calls for style to be 4 1/2" wide. Is 4 1/4" correct or should door type 4 be 4 1/2"?</t>
  </si>
  <si>
    <t>CCD 017 Clarification</t>
  </si>
  <si>
    <t>Reference CCD 017 please clarify the following:
1) What seal coat is specified? Attached is the product data for Spec Chem cure and Seal 25 UV. Is this product acceptable? We assume a 2 coat application
2) Is the specified seal coat for all mat footing applications including the existing mat footing in annex?  
3) We submitted 15 Mil Stego vapor barrier and it was approved for the Annex. Confirm this is the acceptable product at both annex and historic.</t>
  </si>
  <si>
    <t>The Seal Coat and vapor barrier proposed by Innovative Concrete is acceptable for use.  The seal coat for the tops of all new and existing mat footings.  The vapor barrier to be installed at the under side of all 4" rat slabs located above mat footings.  
Per CCD 017 R.1 - the grooves in the existing mat footing are to be omitted as the slab has a very rough and non-flat surface.  The grooves have been deemed useless.  Grooves still to be provided in new mat footing.</t>
  </si>
  <si>
    <t>AE141A  AE632</t>
  </si>
  <si>
    <t>Layout of door openings verses call out door schedule</t>
  </si>
  <si>
    <t>I noticed some rough opening dimensions listed on the level 1 dimension plan historic and would like to review. See AE141A
Door 183 is 3’-0” door type 4 jamb type D5/AE632 Rough opening is 9” greater than the door size making R.O. 3’-9”. Drawing AE141A calls for rough opening layout 3’-4” please advise.
Door 184B is 3’-0” door type 4 jamb type D5/AE632 Rough opening is 9” greater than the door size making R.O. 3’-9”. Drawing AE141A calls for rough opening layout 3’-4” please advise.
Door 185 is 3’-0” door type 8 jamb type B5/AE632 Rough opening is 9” greater than the door size making R.O. 3’-9”. Drawing AE141A calls for rough opening layout 3’-4” please advise.
Door 188 is 3’-0” door type 11 jamb type A6/AE632 Rough opening is 5” greater than the door size making R.O. 3’-5”. Drawing AE141A calls for rough opening layout 3’-1 ½” please advise.</t>
  </si>
  <si>
    <t>EY502 Riser Detail #1.</t>
  </si>
  <si>
    <t>Antenna Location for Wireless Radio System</t>
  </si>
  <si>
    <t>Provide location of wireless radio antenna. See note #6, riser detail #1, sheet EY502,</t>
  </si>
  <si>
    <t>Kory Talbot, Temple Facilities Manager, says it works best on the annex. They relocated the old one from the historic building to the annex to get better reception.</t>
  </si>
  <si>
    <t>Antenna quantity and exact locations will need to be determined by the radio system integrator (factory representative) based on signal strength and analysis of the building construction such that complete coverage throughout all parts of the building and temple block is provided.  Most likely multiple antennas will be required at different locations.  See additional requirements in specification section 273216.</t>
  </si>
  <si>
    <t>Celestial elevator 5 pit elevation</t>
  </si>
  <si>
    <t xml:space="preserve">Reference AE337, 8/S241. Is the elevator pit slab at elevation 91? Does it match the top elevation of the slope slab at the east side of historic? If not please provide elevation and dimensions and size of the sump. </t>
  </si>
  <si>
    <t>The floor of the Elevator pit is the top of the Mechanical slab at 87'-0". |</t>
  </si>
  <si>
    <t>AE340, AE 341, AE342, S203, S241, S100B</t>
  </si>
  <si>
    <t>De-Watering Historical Base</t>
  </si>
  <si>
    <t>Please see the attached Drawings ( AE340, AE 341, AE342, S203, S241, S100B) I have taken my best guess as to what they mean but am unable to find information on the Drainage Gravel or any filter fabric under the slab. It may be that the Structural Fill will provide the Drainage needed but it seems like we would still want some fabric filtering out the soil partials, so they don’t go down the dewatering system. Please advise</t>
  </si>
  <si>
    <t>See CCD-17.R.1 - Altering the De-watering system and showing the added under slab vapor barrier for this area.</t>
  </si>
  <si>
    <t>AE141, D5/AE632</t>
  </si>
  <si>
    <t>Door 155 jamb type D5/AE632</t>
  </si>
  <si>
    <t>Door 155 calls for jamb type D5/AE632 which is a paneled door jamb. The wall type that this jamb goes into is type 32 is only 7 1/4" thick  AE141, and is not wide enough for a paneled door jamb. This wall type needs to be wider to allow for a paneled jamb. I believe this should be wall type  37. Please confirm the correct wall thickness, wall type at door 155.
Similar problem at door 156. Dimensional drawing AE141 show a double wall but does not call out wall type at this location.</t>
  </si>
  <si>
    <t>MP101</t>
  </si>
  <si>
    <t>Lobby 131 Hydronic Piping</t>
  </si>
  <si>
    <t xml:space="preserve">Drawing MP101, elevator lobby fan coil FC-EV-2 does not appear to indicate any hydronic piping serving this equipment.  </t>
  </si>
  <si>
    <t>Please advise on piping routing and size.  See attached drawing for clarification.</t>
  </si>
  <si>
    <t>Pipe size for fan coils FC-EV-1 &amp; FC-EV-2 is ¾”, See CCD 38. |  |</t>
  </si>
  <si>
    <t>MP103</t>
  </si>
  <si>
    <t>Electrical Room 315 hydronic piping</t>
  </si>
  <si>
    <t>Drawing MP103, electrical room 315 indicates new equipment FC-EV-5.  No hydronic piping appears to be shown serving this equipment.</t>
  </si>
  <si>
    <t>Please provide pipe routing and pipe size for this location.</t>
  </si>
  <si>
    <t>Pipe size to Fan coils FC-EV-5 and FC-3-10 are 1”, see CCD 38.  |  |</t>
  </si>
  <si>
    <t>Basement Ledge Wall Removal</t>
  </si>
  <si>
    <t>Please confirm that per a conversation on site between David Adams and Zack Hansen on 02-13-2020 that we are to remove the ledge wall as shown on the attached drawings.</t>
  </si>
  <si>
    <t>The assumption is also our belief. Please verify that the rock is not intergral with foundation wall and can be removed without damaging historic foundation wall.</t>
  </si>
  <si>
    <t>Stain Grade Casework Door Profile</t>
  </si>
  <si>
    <t>Current casework door profile B2, C2,/AE583 shows the profile of the rail of a door coming to a point. I cannot make a rail portion of a door come to a point or mitered edge. The wood will break off at the beveled edge of the rail. I need to have a step in the profile. See attached sketch. Is it okay to modify the profile of the casework doors to have a 1/8" step.
Provide finish samples for the stain grade casework for this project.
Please specify the p-lam color to be used in the laundry room 028, shop 042, custodial supply 007, and anywhere else p-lam may be required</t>
  </si>
  <si>
    <t>Annex dowel detail 3/S221</t>
  </si>
  <si>
    <t>Reference sheet S101A at grid AH/A6 detail 3/S221. CCD 13 provided the embedment depth for the dowel into the existing floor but it does not provide a bar size and spacing. Please clarify</t>
  </si>
  <si>
    <t>Dowel to be a #4 @18" o.c. - see detail13/S220 for sim condition.</t>
  </si>
  <si>
    <t>Micropile Testing</t>
  </si>
  <si>
    <t>Malcolm Drilling will be installing the two sacrificial micropile test piles this week.  
Once the micropiles have been installed, cured and tested, the results are typically communicated by us directly to our designer for approval.  Logs from the field are sent directly to the designer, who reviews the information right away.    Upon this review, if the results are acceptable, we are released into production.
Other than written approval from the micropile designer, will the design team require anything else prior to Malcolm moving into micropile production work?</t>
  </si>
  <si>
    <t>P_lam Casework</t>
  </si>
  <si>
    <t>Please specify the p-lam color to be used in the laundry room 028, shop 042, custodial supply 007, and anywhere else p-lam may be required</t>
  </si>
  <si>
    <t>Finish Sample Stain Grade Casework</t>
  </si>
  <si>
    <t>Provide finish samples for the stain grade casework for this project</t>
  </si>
  <si>
    <t>SD102</t>
  </si>
  <si>
    <t>Stair 2 Demolition</t>
  </si>
  <si>
    <t>Due to the way the floor was assembled (Photo Above) should we plan on removing all of the flooring and floor joists in the clouded area. Its not possible to maintain the flooring due to the manner of construction of the existing stair. Please confirm.</t>
  </si>
  <si>
    <t>The existing framing can be removed and new framing will be specified to replace it.  This new framing will be shown in the forthcoming CCD23.</t>
  </si>
  <si>
    <t>SD105</t>
  </si>
  <si>
    <t>North and South Stair Roof Drains and Lighting Protection</t>
  </si>
  <si>
    <t>In order to run the Roof Drains and the Lighting Protection please advise if we can remove the bump down shown above then rebuild it a larger size. The existing Bump Down was used for plumbing in the past but it doesn't look like it will be big enough for the Drain and Electrical lines we need to run through it.</t>
  </si>
  <si>
    <t>Fur down the whole landing 4" to accommodate space for the drain and lightning protection. Provide an even ceiling transition at under-side of the landing.</t>
  </si>
  <si>
    <t>Plaster Medallions</t>
  </si>
  <si>
    <t xml:space="preserve">Throughout the annex and the historic building we are going to install plaster medallions of various sizes. Going through the drawing there are multiple areas where one room scales to 20" and the adjacent room scales to 18" or 22".
Scaling off the drawings there are 11 different sizes and three different styles. 
Can we talk with the designers and standardize the sizes to a small, medium, and large?
I would propose the following:
Small-20"
Medium-38"
Large-72"
This change would help us have a clear definite dimension to start prefabbing Medallions and keep things organized to streamline the installation process.
 </t>
  </si>
  <si>
    <t>Responded</t>
  </si>
  <si>
    <t>Exhaust duct FSD at level 0, grid HH and H2</t>
  </si>
  <si>
    <t>Drawing M100A, gridline HH between gridlines H2 and H3, indicates a 20" x 16" exhaust duct that does not appear to indicate an installed fire smoke damper (FSD).  The supply air duct adjacent to this exhaust duct does indicate a FSD to be installed.</t>
  </si>
  <si>
    <t>Please advise if the exhaust duct shown is to have a fire smoke damper.  See attached drawing for clarification.</t>
  </si>
  <si>
    <t>See CCD 38, for fire smoke damper location. |  |</t>
  </si>
  <si>
    <t>S100</t>
  </si>
  <si>
    <t>Mat Slab Infill</t>
  </si>
  <si>
    <t>On grid A4/AF there was an old elevator pit.  There is no provision in the drawings for how we should infill.  Please advise.</t>
  </si>
  <si>
    <t>Fill it with concrete similar to the mat slab. Provide required rebar details.</t>
  </si>
  <si>
    <t>See ARW's response  | please see response and detail from ARW | There are two options:
1)  Fill the old pit with structural fill similar to the fill that will be used on top of the mat slab.  No concrete is necessary.
2)  If water proofing is a concern. Infill the elevator pit with concrete per the attached detail.</t>
  </si>
  <si>
    <t>Elevator Pit Clarifications (sump, elevation &amp; embedment)</t>
  </si>
  <si>
    <t xml:space="preserve">Please see the attached pdf for clarification, but we have three questions:
S100 shows a sump in the elevator but it isn't shown anywhere else
S100 and AE146 show different elevations for the top of slab
On 7/S211 we need to know the dowel size, spacing &amp; embendment </t>
  </si>
  <si>
    <t>Sump size at 18”X18”X18” minimum is needed for temporary sump pump placement. In the event of water collection in the elevator pit a temporary sump pump and hose system install in the sump. | ARW, Can you address #3, then forward to VBFA to comment on #1?
- VBFA
- 85'-0" is mislabeled as it is tagging the top of the Mat Slab. Top of Pit slab is the existing elevator pit @ 83'-6" as seen on Structural Drawings
- ARW | Response to #3 -  Use #3 dowels at 12"o.c. w/ 6"min. embed.  The dowels need to be long enough to lap over the slab reinforcing the length specified in the rebar lap splice schedule. |</t>
  </si>
  <si>
    <t>Mainline Pipe</t>
  </si>
  <si>
    <t>Sheet LI100 and LI101, in the Irrigation Schedule, indicates that the 4” Irrigation Mainline is to be PVC Class 200 SDR 21, but details 9/LI501, 10/LI502, and 1/LI503 indicate the Irrigation Mainline is to be SCH 40 PVC. The specifications in section 32 84 00, 2.2, C. Pipe, Pipe Fittings, And Connections: indicates that Pressure Lines shall be SCH 40 PVC for pipe less than 3” diameter, but do not specify for above 3” diameter. Additionally, the irrigation as-built drawings for the Temple indicate that the existing Irrigation Mainline which is to remain around the Visitor Center, and to which we are to connect, is SCH 40 PVC. Russ with Sunroc confirmed that when they crossed the existing Irrigation Mainline, it was SCH 40 PVC.
PVC Class 200 SDR 21 has a pressure rating of 200 PSI, and SCH 40 PVC has a pressure rating of 220 PSI. Our preference would be to use SCH 40 PVC for the 4” Mainline pipe to maintain uniformity around the project, and for ease of maintenance in the future.
In the 4” size, these two pipe classes are essentially the same price. So, this would be a no cost clarification.
I discussed this with Brandon Ruiz with MGB+A prior to submitting this RFI, and he indicated that SCH 40 PVC would be acceptable in his opinion for the 4” Irrigation Mainline for this project.
Is SCH 40 PVC acceptable for the Mainline Pipe on this project?</t>
  </si>
  <si>
    <t>RFI Response: Per our phone discussion we would be agreeable to 4” mainline switching to PVC SCH 40. Please make the change for all mainline on the project to be PVC SCH 40. Brandon Ruiz, MGB+A  |  |</t>
  </si>
  <si>
    <t>ES101</t>
  </si>
  <si>
    <t>Site Electrical receptacle mounting Detail</t>
  </si>
  <si>
    <t>Drawing ES101 has a detail 2 for wall mounted receptacles  there is not a detail for receptacles in planters</t>
  </si>
  <si>
    <t>See attached revised sheet ES503 with added Waterproof in-use duplex receptacle mounting detail to be used in all locations where site outlets are located in planters. |</t>
  </si>
  <si>
    <t>CCD 18 East Rooms Questions</t>
  </si>
  <si>
    <t>1.   In the rooms to the east of the Baptistery it has been discovered there are ledges similar to the ones in RFI - 252 Basement Ledge wall Removal. Please advise if these are to be removed as well.
2.   Please advise if the door used in for floor 1.5 is to be in-filled with concrete as Shown on Sheet S240 detail 10.
3.   if these rooms are to be constructed similarly to the basement under the Baptistery. Will they need to access the area to the east of the baptistery different then what is shown in the photos? if so please advise as to the locations and sizes.
4.   S100A shows the Slab in the baptistery basement as being 12" thick with #5 at 6" O.C. Please advise if the basements on the east side Added in CCD18 are to be constructed similarly. If there is a change, please provide.
5.   The Basement under the Baptistery floor is called out to be 87'-0" on sheet AE146A. Please confirm these east basements are at the same level. If not, please advise.</t>
  </si>
  <si>
    <t>The following are ARW's response to this RFI.  Westland-Please do not proceed with any of this work until it has been reviewed and verified by the Architect.
 The unattached ledges should be removed as with other locations so the concrete jacket can be placed.  In the east tower areas, the depth of the excavation does not need to increase beyond what is there unless needed for mechanical purposes.
Cut the sides of the opening from the bottom of the existing opening all the way to the footing.  The spaced above the new door will be infilled with concrete per detail 17/S245.  Provide a 12" deep of reinforced concrete beam directly above the opening per 17/S245.   The new opening will be approximately 4'-10" in width in order to provide approximately 8" of new reinforced concrete jamb on each side of the opening.  A horizontal cut at the top of the new opening will be required on each side in order to make the new opening wide enough.  Provide a 12" deep reinforced concrete beam directly across the new opening per 17/S245.  The remaining height of existing opening above the concrete beam can be infilled per the typical detail 10/S240.
These rooms in the east tower area are not required to be excavated  to the level of the basement under the baptistry.  Access to the areas under the east tower can be achieved by removing the walls below the existing door ways in these rooms.  Removal of these walls should allow access to these areas.  
There is no slab required in the basements of the east tower rooms.  If a dust/mud slab is desired by owner, then a 3"-4" unreinforced slab on grade is adequate.  A thicker mat slab is not required in this area.
The east basements do not need to be excavated down beyond what is existing unless needed for mechanical purposes. | Please refer to comments/ response from ARW. We do not want to make the openings much wider that what is shown on the attached images. | Please see attachments from ARW and CRSA. Existing cuts made at the opening to the stone wall has been reviewed and confirmed to be carefully removed down to the top of the concrete footing (see attached sketch). Concrete jacket walls are to be carefully removed back to the stone wall down to the top of the concrete footing ledge. Please see the previous responses to the additional items in this RFI.  |  |  | See comments from Zach |  | See attached revised east wall opening detail. | Please up date your response.</t>
  </si>
  <si>
    <t>Elimination of Grooves in Existing Mat Slab</t>
  </si>
  <si>
    <t>Please confirm the conversation on-site yesterday 02/20/2020 that removed the grooves in the mat slab.  The direction is to pressure wash and seal the slab.</t>
  </si>
  <si>
    <t>Yes, This is correct for the Existing Mat Slab.</t>
  </si>
  <si>
    <t>Information on Filling Holes in Stone Walls</t>
  </si>
  <si>
    <t>Please advise as to how smaller holes in the stone walls are to be filled. For reference I have included a drawing and some CAD elevations.</t>
  </si>
  <si>
    <t>All existing holes in stone walls are to be grouted solid with either concrete or a solid non-shrink grout.  Please reference Footing and Foundation Note #3 on Sheet S100A |  |</t>
  </si>
  <si>
    <t>Scaffold for Center of 4th Floor</t>
  </si>
  <si>
    <t>There are, in total, (4) outer legs and (6) inner legs contacting the ground on this project. 
The for the 20 ft. system shown in the drawings, the max anticipated loads to the legs are 1,500 lbs. to each outer leg and 2,000 lbs. to each outer leg.
This results in 18,000 lbs. of load for the 20 ft. x 32 ft. Traversing HAKI Dancefloor system, with the 10 psf. Live Load uniformly distributed across the entire platform deck (approx. 8,000 lbs. of Live Load from loading the deck). 
The weight of only the Dead Load of the RevB system, then the load is approx. 10,000 lbs. for the system. 
Please note that these load numbers have been rounded up. 
We have reached out to the Scaffold manufacturer asking if their system can have bearing points at 15 feet for their Triangular Rail. This would place the Bearing points over the Floor Trusses</t>
  </si>
  <si>
    <t>See Response from ARW | We cannot provide a complete response to this until we know if the manufacturers rail can span from floor truss to floor truss.  If the rail cannot span from floor truss to floor truss then the scaffold will overload the existing floor joist.  The floor joist are not adequate for this load.  Please advise.</t>
  </si>
  <si>
    <t>Sidewalk Clarifications</t>
  </si>
  <si>
    <t>See the attachment for further clarification on these four questions:
We are concerned with cutting concrete joints on a radius. 
Verify concrete finish
Dimensions for the sawcut layout
Verify light lines mean sawcut and dark line means control joint</t>
  </si>
  <si>
    <t>Proceed with 1/4" tooled joints for control joints and banding (only along the curvilinear walkways, see sketch) outside edge and at expansion joints to be 1/2" tooled joint.  All straight walks, plaza areas, and those with paver bands will remain as specified with beveled sawcut joints.
Concrete finish is to be medium sandblast across surface of walkways.  See details 1 and 3, sheet LL501.
See CCD6.R2 for dimensions of control joints and banding.
This is correct, the dark line is the expansion joint and the light line the control joint.</t>
  </si>
  <si>
    <t>LCP-A1B Added in CCD-021</t>
  </si>
  <si>
    <t>Relay panel LCP-A1B was added in CCD-021 but the schedule is missing on sheet EL604. Sheet EL502 (LCP revised diagram) is also missing. Please provide sheet EL502 and relay panel schedule for new LCP-A1B.</t>
  </si>
  <si>
    <t>See attached revised sheets with schedule included and revised riser. | Reviewed and noted. Thanks.</t>
  </si>
  <si>
    <t>221319</t>
  </si>
  <si>
    <t>P099</t>
  </si>
  <si>
    <t>Backwater valve locations</t>
  </si>
  <si>
    <t>Review drawing P099 markup for three (3) locations at Annex of proposed backwater valves to be installed at sanitary sewer system.  Specification section 221319-7-C requires floor clean out tops/deck plates to be installed in floors above backwater valves of interior installation.  Backwater valves are shown to be installed at electrical room 002, chemical room 029 and Presidents dining room 014.  At room 014, please clarify if a floor cleanout top/deck plate is allowed or if a wall access panel in a plumbing chase or corner of room of sufficient size would be acceptable.</t>
  </si>
  <si>
    <t>Please clairfy acceptable means of cleanout access for the backwater valve at room 014.</t>
  </si>
  <si>
    <t>No wall or floor clean out access will be acceptable in President's Dinning 014. All attempts are to be made for access within Restroom 016.</t>
  </si>
  <si>
    <t>M110</t>
  </si>
  <si>
    <t>Laundry Dryer Vent Requirement</t>
  </si>
  <si>
    <t>Drawing M110, Laundry room at grid line AG and A5 is shown a dryer with no means of venting.  Is a vent required for this dryer?  See attached for clarification.</t>
  </si>
  <si>
    <t>Please confirm whether venting for this dryer is needed and provide detail if so.</t>
  </si>
  <si>
    <t>Size of dryer vent is 4”, See CCD28R1. |  |</t>
  </si>
  <si>
    <t>CB-7 at 8" walls at doors AB and AC/ A7 to A8 Annex</t>
  </si>
  <si>
    <t>Reference sheet S100 and S101A.
There are two door openings north of grid A7 around grids AB and AC. The dimension is shown as 8" walls on S100 but on S101A the CB-7 beam headers are 12" wide. It also appears the precast at grid AB should have a 12" wall to set on. Please review and let us know if these should be 12" wide walls/ jambs. </t>
  </si>
  <si>
    <t>The wall just east of Grid AC is an 8" wall.  The concrete beam schedule will be updated with an 8" header callout.  The wall on Grid AB should be 12" and will be changed to reflect that.  These changes will be included in CCD034.  | See ARW's response</t>
  </si>
  <si>
    <t>Floor penetrations for BIM coordination</t>
  </si>
  <si>
    <t>Attached are the locations of several 3 and 4 inch holes we need to put in the pan deck floors in the west tower for electrical conduits. We will be sleeving them before concert is placed so no rebar will be cut, we will also tie an additional bar in the slab around the holes.</t>
  </si>
  <si>
    <t>See comments below |  | One point of clarification, the floors are 7" suspended concrete slab floors with rebar 8" o.c. each direction (typical at all levels), no metal deck. 
With that, Zach will these size and locations still work?  | The spacing of the holes is fine provided additional slab reinforcing is provided per detail 11/S201.  The holes will likely need to be further from the wall than 3".  There are multiple additional slab bars in the slab at the edge.  The holes cannot interfere with these bars.  See detail 7/S222 for a detail of those additional slab bars.</t>
  </si>
  <si>
    <t>Buttress detail 9/S212</t>
  </si>
  <si>
    <t>Reference 9/S212
In our meeting with Scott Gillberg on 2/20/20 we discussed RFI 90 and the option to extend the buttress to the footing as referenced on 9/S212. Buttress plinths extended to the footing is also how it is shown on the BIM model. We were asked to put together a rebar shop drawing of how this detail would work. Included on the shop drawing is 3 conditions: suspended slab, east and west continuous footing and full height. 
Please review attached details and let us know if they will work. With the Westland team it was also determined that by extending the buttress plinth to the footing it would give a better water proofing detail. Also note that we anticipate the new dimension of the buttress as being 24" wide instead of 18" wide.</t>
  </si>
  <si>
    <t>ARW can you confirm the rebar details? 
It is approved to widen the Buttress Plinth/Footing to 24", this will allow for the 3" chamfer detail to be on all 3 sides of the buttress.  | We take no exceptions to what is shown and requested.</t>
  </si>
  <si>
    <t>Mat Footing Bearing Capacity</t>
  </si>
  <si>
    <t>Attached is the information for the 110 ton crane. The actual load chart for the crane that will be used is in route from Texas. In speaking with Ross the crane weight in configuration will be around 140,000# + load. We will need to know if this will work setting up on the mat footing for some of our form picks at the annex shear walls. The actual outrigger load will be calculated when the machine arrives with its chart.
How many pounds per square foot can safely be placed on the existing "Annex" basement mat slab?</t>
  </si>
  <si>
    <t>See ARW's response  | The amount of load that the basement mat slab can support is very dependent on the outrigger layout, loads to each outrigger and where it is located on the mat slab.  The contractor will need to provide this information before it can be determined if the slab can support the proposed loads.</t>
  </si>
  <si>
    <t>Level 2 Joist Bearing</t>
  </si>
  <si>
    <t>Please confirm that in order to ensure the existing wood joists that do not bear directly on the new I-beams they will need shims installed under them to insure they bear uniformly.</t>
  </si>
  <si>
    <t>See ARW's response  | Yes.  Please provide shims as required and refer to detail 7/S221 for general conditions at these beam locations.</t>
  </si>
  <si>
    <t>Micropile Questions</t>
  </si>
  <si>
    <t>There is a note in the structural plans that indicates the permanent casing on the micropiles must go 5' into bedrock. The micropile submittal requires a minimum of 4' into bedrock. Is 4' minimum embedment acceptable. Current micropiles are being installed with 5' of embedment until this question is answered.
A reference in the specification section 316330 sub section 3.3.D.5 is made to a proof testing frequency of 25% unless otherwise defined. The micropile designer (Gordon Geotechnical) has required 5% in his design. Production testing of 5% is industry standard and is what has been required in the approved micropile submittal. Please confirm 5% is acceptable.</t>
  </si>
  <si>
    <t>| Please continue to use the 5' minimum permanent casing embedment.
5% proof testing is acceptable.  The 25% requirement in the spec section was a typo and will be revised.</t>
  </si>
  <si>
    <t>AD 102</t>
  </si>
  <si>
    <t>Level 2 Sub-floor</t>
  </si>
  <si>
    <t>On Sheet AD 102 the flooring being demoed calls out note 2.87, see note below. In addition to the Carpet there is some 1\4” MDF that has been installed, see photo attached. Please advise if this needs to be removed.</t>
  </si>
  <si>
    <t>Please see upcoming CCD-11-R.5 for the sub-floor removal.</t>
  </si>
  <si>
    <t>Quatrefoil Columns Level 2 Historical</t>
  </si>
  <si>
    <t>There is not enough room to reuse existing quatrefoil columns at Lobby rm 218 once existing structure columns are wrapped with metal and carbon fiber wrap. See attached photo looking down at existing structure column and quatrefoil columns. I believe this will be the same condition at all columns. Demo drawings say to reuse these columns. I believe course of action is to make new columns larger in diameter. Please specify course of action for these quatrefoil columns.
Quatrefoil capitals to be made to match existing will all be different shape in diameter to due existing quatrefoil  columns not be the same size in diameter. This will be near impossible to due to irregularity in size.</t>
  </si>
  <si>
    <t>Suggestion is to make all new quatrefoil columns and capitals. Size of columns will very at Lobby rm 218 and may very at instruction rooms. Columns front of instruction room to remain size as shown</t>
  </si>
  <si>
    <t>This has been discussed with the client and the resolution is still to be determined. This will be part of an upcoming CCD-19. |</t>
  </si>
  <si>
    <t>Cross tie size confirmation detail 10/S240</t>
  </si>
  <si>
    <t xml:space="preserve">Reference cross tie detail 10/S240
Per discussion between Zach Hansen ARW and Judd Bundy Innovative concrete on 2/27/20. Please confirm that the cross tie for the concrete infill's referenced on detail 10/S240 is #4 bar. We used #6 at some locations not knowing the size we assume this is ok. </t>
  </si>
  <si>
    <t>This is acceptable.  A #4 tie is adequate for this and has been clarified in forthcoming CCD 034</t>
  </si>
  <si>
    <t>Single Tree Removal on East side</t>
  </si>
  <si>
    <t>This is an RFI to confirm that the tree called out on the attachment can now be removed per owner direction.</t>
  </si>
  <si>
    <t>There is concern about general heath and safety issues this tree poses as it continues to grow at an angle and lean to the east and over the adjacent sidewalk. Due to these safety concerns the owner has requested that the tree called out in the attachment is removed.</t>
  </si>
  <si>
    <t>Interior Pile off Set from Stone Column</t>
  </si>
  <si>
    <t>Will you please confirm that per a phone conversation between David Adams, Carter Cluff, Dion Graybill, and Zack Hansen on Friday 2-28 that the Center lines for the Piles on the interior footings are to be 1 ½” off the Face of the Stone Column as shown below.
This will allow for the C- channel that has a 3” top and bottom leg to be centered on the pile instead of being 1 ½” off center as shown below.</t>
  </si>
  <si>
    <t>Please see Zach Hansen's Confirmation. |  | This is correct.  We take no exception to the dimensions outlined.</t>
  </si>
  <si>
    <t>Carbon Fiber Stone Column Wrap</t>
  </si>
  <si>
    <t>Per a conversation had on 3-2-20 between David Adams, Dion Graybill and Zack Hansen Please confirm that this vertical section of the historic wood truss can be removed, have the fiber reinforcing installed, then the wood block is to be reinstalled. this will allow for the Carbon Fiber to be installed directly to the Stone column, and would allow for the Steel support to be installed as well.</t>
  </si>
  <si>
    <t>See Response from Zach Hansen - ARW.  |  | We concur and take no issue with what is described.</t>
  </si>
  <si>
    <t>Tower fire alarm</t>
  </si>
  <si>
    <t>This question arose when reviewing the existing condition of the tower having 4 sensors one on each level. The drawings (both Envisions and our FA sub. AAA) show 1 heat detector on the ceiling of the large room at the bottom of the tower. Is this going to be adequate coverage please advise.</t>
  </si>
  <si>
    <t>Please provide 4 heat detectors in tower, one per level similar to existing conditions. | See response from Jessica with Envision. Provide Heat Detectors at each level.</t>
  </si>
  <si>
    <t>Soda Line Pull Box</t>
  </si>
  <si>
    <t xml:space="preserve">On Sheet QF301 under Electrical Notes #10 it calls for a pull box every 50’. Even with a straight line it will would be 66’. </t>
  </si>
  <si>
    <t>If it's necessary please provide a location.</t>
  </si>
  <si>
    <t>See PKC's response. Pull box location has been indicated.</t>
  </si>
  <si>
    <t>Schonbek: Family B - Cast Arm Design</t>
  </si>
  <si>
    <t>At the meeting on Feb. 19th Gloria and Josh showed a "sawtooth" pattern for the Family B cast metal arm. Attached there's an image of a stepped "sawtooth" and a "triangle" pattern. Are either of these desirable? If not, please send a drawing of the pattern you'd like and also where it should be located on the arm. Thank you! (attachments)</t>
  </si>
  <si>
    <t>Flooring Details</t>
  </si>
  <si>
    <t>We are ordering the electrical floor boxes and need flooring details and the architect to select the colors for the covers. We need details for the following floor types. FS1, FS2,FC6,FC7,FW1 and FW2</t>
  </si>
  <si>
    <t>Paving Submittal Return</t>
  </si>
  <si>
    <t>Bob I attached this RFI to the paver submittal and sent it in again for a new review. We'll track it there.</t>
  </si>
  <si>
    <t>Annex grid AH wall cap dowels embedment</t>
  </si>
  <si>
    <t>Please confirm that along grid AH at annex we have two locations above door headers where we cannot drill 19" for embedment. The holes we have drilled reached 15" before hitting something solid. Please verify if these are acceptable at 15" or provide options. This was reviewed onsite with ARW on 2/28</t>
  </si>
  <si>
    <t>See response from ARW. |  |  | Each U-bar that is drilled with 15" embedment will need to have an additional u-bar installed in the wall within 6" of the adjacent ubar.  It is acceptable for this additional u-bar to have 15" embedment.</t>
  </si>
  <si>
    <t>Annex mat footing bulkhead</t>
  </si>
  <si>
    <t>At grid A10 midpoint between AD and AE would it be acceptable to put a bulkhead in the mat footing at the location marked on the attached plan. With current phase of construction there is a ramp that will be needed for equipment access. We would add waterstop top and bottom (similar to 13/S210) and have rebar dowel out per lap splice requirement. This is a means and methods but want to make sure it will not be an issue with structural. </t>
  </si>
  <si>
    <t>We take no issue with this method.  Please connect the separate pours with rebar lap splices as noted in the drawings.</t>
  </si>
  <si>
    <t>Level 5 Duct Penetrations</t>
  </si>
  <si>
    <t>Please confirm that per a conversation between David Adams, Jason Fullmer, and Zach Hanson on 3-06-2020. That it is acceptable to use Detail 8/S240 on the Duct penetrations going through the stone wall separating the historical building and the new stair tower on level 5. The structural fix for these penetrations is that we will install shoring under the roof purlins so they can be cut at the stone wall. Then cut the opening in accordance with Detail 8 on sheet S240 with a 1’ cut on the top of the opening extending into the stone to hold a 1/2” plate used to support the opening until it can be filled in with the concrete. Once it has been infilled, we will install a Simpson HGUM saddle to carry the roof purlin. 
On all of the circular opening we will follow Detail 7 on Sheet S240.</t>
  </si>
  <si>
    <t>Confirmed</t>
  </si>
  <si>
    <t>Epoxy coating requirements at vaults</t>
  </si>
  <si>
    <t xml:space="preserve">Per an on-site conversation with VBFA on 3-5-20, epoxy coating requirements for all below grade vaults was discussed.  No specification or detail is currently provided indicating these epoxy requirements.  </t>
  </si>
  <si>
    <t>Please provide specification of epoxy coating to be applied at below grade vaults as found on drawing P502 attached.</t>
  </si>
  <si>
    <t>Joint filler material</t>
  </si>
  <si>
    <t>Please confirm joint filler material for fountain coping, seat wall caps and planter caps. Detail 6/LL508 shows a mortar joint under the cap but there is no reference to the stone to stone joints.</t>
  </si>
  <si>
    <t>With the use of darker stone and the wide thermal swings for the area a mortar joint will undoubtably crack. We would suggest that a silicone sealant be used for all stone joints to allow for expansion and contraction.</t>
  </si>
  <si>
    <t>A silicon sealtant is acceptable for all stone joints.  Provide product data and color samples for review. |  |</t>
  </si>
  <si>
    <t>220529,230529</t>
  </si>
  <si>
    <t>M504</t>
  </si>
  <si>
    <t>Historic wood joist angle support attachment</t>
  </si>
  <si>
    <t>Following an on-site discussion with VBFA regarding supports at Historic wood joists. Specification section 230529-9 K building attachments #13 and specification section 220529-9 I building attachments #13 both indicate to install MSS type 34 "Angle Clips" to be used to hang/support hydronic and plumbing piping from wood joists. This appears to be the only attachment method approved for hanger systems at wood joists located within the historic structure. Drawing M504, detail 6 appears to show the only acceptable method of fastening angle clips with a thru bolt drilled through the wood joist. See attached photo of level 5 wood beams that are 6" wide and thru bolted per the detail with angle clip attached. Although this type of support and installation will be superior for heavy loads of pipe (Possibly 3" and larger), it might be somewhat excessive for small diameter pipe and lighter loads. Please see attached cut sheets for the "Sammy" side and bottom attachments for reference to support options for these lighter loads.
Please advise if the attached "Sammy" support material, grabber screw or other alternative means of support using the angle clips is an approved method.</t>
  </si>
  <si>
    <t>DEWALT® Hangermate Anchors,"Sammy", is an approved method to use. | Structurally, the Sammy connection is okay to be installed in the wood joist provided that a hole is predrilled into the wood joist to prevent the joist from splitting when the Sammy hanger is installed.  Loads suspended from the Sammy hanger may not exceed 75lbs and each floor joist is allowed to only have one hanger installed.  If conditions require a different condition, then please notify the architect and engineer so a solution can be determined.</t>
  </si>
  <si>
    <t>AE4508, EL105B</t>
  </si>
  <si>
    <t>Lighting 5th floor North and South stair towers</t>
  </si>
  <si>
    <t>There are no lights shown on drawings  at 5th floor North and South stair towers (see attached drawings) please advise.</t>
  </si>
  <si>
    <t>Steel Continuation at Columns - Level 3</t>
  </si>
  <si>
    <t>Please provide further information regarding the column to column connection (ref 8/S244). Currently this connection does not appear to take into account the wood beam at level 3, or the lattice truce that extends behind this connection.</t>
  </si>
  <si>
    <t>The new steel columns are to be installed to the bottom side of the floor beams.  This is the same as we discussed during our meeting between Glassy, ARW and Westland last week.  We will add clarification to details 8/S244 and 2/S246 to show the columns extending to the underside of the floor framing.  This clarification will be added to CCD037-R.1 |  |</t>
  </si>
  <si>
    <t>CCD 006r2 Pavers</t>
  </si>
  <si>
    <t>Sheet C.6, Key note #24 calls for a vehicular paver at the crossing of 400 South and also at the crossing at 300 East. The drawing is unclear of the extent of pavers and what color. The Key note references Sheet LL501 which references the plans. Please clarify this information for pricing.</t>
  </si>
  <si>
    <t>The finish of these two pedestrian crossings is to be scored concrete.  See sheets LL101 and LL106 for score joint layout.</t>
  </si>
  <si>
    <t>Radius Ceiling Information - Instruction Room below Level 4</t>
  </si>
  <si>
    <t>Please provide specific information regarding radius, elevation, etc in reference to the ceiling.  GSW is modeling the support steel for this ceiling and we are unable to determine control, etc.</t>
  </si>
  <si>
    <t>It is crucial that this ceiling be field verified. The rolled HSS tube is to match the curvature of the bottom chord of the wooden truss. The overall shape is to be 1/2 of an ellipse where width apex occurs where the truss meets the wall and height apex is bottom of wooden truss at its center point.  I have provided a few dimensions for reference, but these really do need to be field verified.   |</t>
  </si>
  <si>
    <t>CCD#028 M100, M106</t>
  </si>
  <si>
    <t>CCD#028-Dryer Duct</t>
  </si>
  <si>
    <t>CCD#028, drawing M100, paragraph 3 and M106 paragraph 1 reads to provide new dryer exhaust ducting. No size appears to be indicated for this ducting. The duct system also appears to exceed 35' in length which is the maximum length allowed without the use of a booster fan and lint trap per typical code requirements.
Please provide dryer vent duct sizing and advise if a booster fan and lint trap are to be installed/required. If so, provide booster fan and lint trap schedule/info/spec.</t>
  </si>
  <si>
    <t>The dryer duct size should be 4" A Fantech booster fan will be added with a lint trap via CCD28 revision.</t>
  </si>
  <si>
    <t>M100A, M100B</t>
  </si>
  <si>
    <t>M100A, M100B Missing Duct and Grill sizes</t>
  </si>
  <si>
    <t xml:space="preserve">Drawing M100A, gridline H2 and H1 and HC to HB are two (2) ducts rising to the floor of level 1 with no sizes shown.  Drawing M100B at same location there are two (2) floor registers with no sizes shown.  </t>
  </si>
  <si>
    <t>Please advise as to what the duct and register sizes are to be...see attached drawing snapshots for clarification.</t>
  </si>
  <si>
    <t>Grilles and ducts are 32/6. |  |</t>
  </si>
  <si>
    <t>Sump Vault Switch Conformation</t>
  </si>
  <si>
    <t>Please confirm that the sump vaults in the Mat Slab of the North Addition (SP 5A, 5B &amp; SP 2A, 2B) are to switch from precast to cast-in-place concrete.  I attached an email from ARW where we were given the reinforcement for the concrete.</t>
  </si>
  <si>
    <t>This is correct, Precast vault has changed to cast-in-place concrete per ARW's markup.</t>
  </si>
  <si>
    <t>P-099, P-110</t>
  </si>
  <si>
    <t>FS-1, FD-2 at Annex Mechanical Room</t>
  </si>
  <si>
    <t xml:space="preserve">Drawing P-099, North Mechanical Room 001, keynote 5 indicates a floor drain FD-2 to be installed at north wall, see marked up drawing attached.  Drawing P-110 indicates a floor sink FS-1 at this same location.  Based upon sewer inverts given for gravity sewer leaving the building, BIM coordination has determined the floor sink needed to accept backwash from the fountain equipment would need to be installed 5 3/4" above FFE at this location indicated.  An emergency eyewash is also shown in this area and would appear to be drained by the shown FD-2.  It appears that both the FS-1 and FD-2 fixtures are needed in this mechanical room.  </t>
  </si>
  <si>
    <t>Please confirm both drainage fixtures FS-1 and FD-2 are desired to be located in mechanical room 001.  If so, confirm installing FS-1 floor sink at an elevation with concrete curb is acceptable similar to detail 1, WF-400 attached.</t>
  </si>
  <si>
    <t>Please see CCD-29 per VBFA's comment. |  |  |</t>
  </si>
  <si>
    <t>AE4007, AE577</t>
  </si>
  <si>
    <t>Laundry Room 028 Casework AE4007</t>
  </si>
  <si>
    <t>Cross Section C4/AE577 calls for uppers and lowers in the Laundry Room to be p-lam casework. Cross Sections C1, C2, C3, /AE577 calls for full height casework in the Laundry Room  to be stained grade veneer. Which is correct p-lam or stained grade casework? I have never seen stained grade in a laundry room temple before and would assume that this casework is to be p-lam.</t>
  </si>
  <si>
    <t>P-lam only in the Laundry Room. Note has been updated.  |</t>
  </si>
  <si>
    <t>CCD 041 sheet AE146 clarification</t>
  </si>
  <si>
    <t>Reference attached mark ups on sheet AE146 Please clarify the following:
1) Where the shop ramp is at grid AH/ A4-A3 will the stem walls for the slab step be CW-2 type walls or CW-1? Structural sheet not provided reflecting this. Arch shows 6"
2) At grid AH between A2 to A5.3 the wall that is capped is shown as face of wall 10 3/4" from grid AH. This does not appear correct when referencing the AP101 drawing and AE147 drawing. Our understanding is the outside face of concrete should have a 3" chamfer dimensioned from the face of precast. We assume AP101 is the correct precast dimension and we should add 3" to this for wall concrete. The haunch/ buttress dimensions are different. 
3) Dimensions to TD1 trench see S100 and M100
4) Clarify elevator pit elevation. Reference RFI 263
5) Verify if all slab on grade recesses not shown on structural to be detailed per 4/S203
6) Clarify freezer pad elevation and structural detail 3/S210
7) Provide missing buttress dimensions marked on plan
8) Are the area well drains at elevation 87'-0"? See markup</t>
  </si>
  <si>
    <t>1)     We anticipated that the ramp would be poured as a solid ramp since it is only 2feet tall. If it is desired to use fill and stem walls, then a 6” concrete wall (CW-1) can be used.
2)     Not answered by ARW
3)     Not answered by ARW
4)     According to as-built drawings, this is an existing elevator pit that is recessed into the existing mat slab 1’-6” which would put the elevation of the pit at 83’-6”. Field verify the actual condition.
5)     Yes, all slab on grade recesses to be per 4/S203 unless noted otherwise.
6)     The 86’-2” is the elevation of the top of the recessed slab. There will then be insulation and a topping slab placed on top of that (see 3/S210)  to bring the floor slab up to elevation 87’-0”.  
7)     Not answered by ARW | please see answers provided by crsa and arw.  also reference ASI #13 |</t>
  </si>
  <si>
    <t>East Fountain Geometry</t>
  </si>
  <si>
    <t>The east fountain geometry is not working with the details on Sheet LL506 &amp;
LL508. See attached sheets.
Sheet LL506 Please verify the dimension from inside corner at radius to outside face of precast. The 5’ 10 dimension does not match with the 7’ 0 radius
Sheet LL508 Detail 9 is referred to for both decorative corner cap and typical cap. Both have different profiles but only one is dimensioned and provided on 9/LL508. It does not match the decorative cap and is too thick to match the typical stone cap at 3”. Please clarify
Decorative corner cap is dimensioned at 2’ 2 detail 10, but dimensioned at 2’4 on detail 2. Please clarify</t>
  </si>
  <si>
    <t>See attached for updated sheets LL506 and LL508.  
LL506 - Proceed with holding to the 7'-0" radius dimension.
LL508 - The corner cap is 2'-4" square, see updated sheet.  The corner caps are intended to be 6" thick, with the bottom 3" matching the profile of the 3" thick cap on the rest of the fountain walls. |  |</t>
  </si>
  <si>
    <t>EP105</t>
  </si>
  <si>
    <t>5th floor outlets</t>
  </si>
  <si>
    <t>can we relocate outlets in hallway 516 to match outlets in hallway 520? With this change we would not need to remove as much historical plaster.</t>
  </si>
  <si>
    <t>We have no issue with relocating outlets to make installation easier.  Contractor to confirm the items below and coordinate exact locations with the architect/interior designer for exact placement. 
Outlets locations typically should avoid being back to back to prevent sound transfer and also if walls are fire rated, to maintain integrity of the fire rating of the wall. I don’t think any of those walls are fire rated though.
Outlets should be located per arch’l elevations to align with lamps, furniture, wall finishes, etc. 
CRSA should double check these prior to final direction to contractor. The back to back outlets on the one side, may need to shifted slightly to avoid boxes being directly behind one another. | CRSA concurs  with response from ELec engineer.  THe lights indicated in the pdf from elec sub my be relocated as suggested.  any elec outlets on walls where furniture is present need to be located as shown in enlarged elevations. | Please provide layout associated with the placement of the electrical outlets. |  |</t>
  </si>
  <si>
    <t>Room layout Consistency</t>
  </si>
  <si>
    <t>Instruction room outlets switches and t-stats are not shown consistently on details. Should we follow details or install consistently? please advise</t>
  </si>
  <si>
    <t>Install consistently. 
Outlet, switches, t-stats (any device stacked vertically) should all align where possible.</t>
  </si>
  <si>
    <t>P-009, AE 140</t>
  </si>
  <si>
    <t>In wall cleanouts at annex kitchen</t>
  </si>
  <si>
    <t>Drawing P-009 indicates 3(Three) 4" in-wall cleanouts rising out of slab adjacent to concrete bearing wall at north side of annex basement kitchen.  See attached red-lined drawing P-009 for reference.  Drawing AE 140 indicates the wall type at this location to be type 13, 3 5/8 steel stud wall furred at concrete wall.  See attached AE 140 drawing for reference.  We have attached a BIM model screen shot for reference and reveiw.  As currently designed and drawn, the 3 5/8" steel stud wall will not have enough spacing to allow for the install of the 4" round vents at this location.</t>
  </si>
  <si>
    <t>Please provide a revision to wall type or routing of vents to new location so as to allow the vents enough spacing to be installed within wall.</t>
  </si>
  <si>
    <t>See VBFA's response  |</t>
  </si>
  <si>
    <t>Annex level 1 missing duct and register sizes</t>
  </si>
  <si>
    <t>Drawing M101, annex level 1 upon review it appears there are various ducts and registers missing sizes.  They are as follows:
Between gridlines HD to AB and below A5 there are two (2) missing register and duct size callouts.  
Between gridlines AC to HD above A4 there is a missing duct and register size callout.
Along gridline AF and above A4 there are two (2) missing register callouts.
Along gridline AC and below A3 there are four (4) missing register callouts.</t>
  </si>
  <si>
    <t>Please provide the missing dimensions for both duct and registers as indicated.</t>
  </si>
  <si>
    <t>All various ducts and registers that had missing sizes have been corrected, see forthcoming CCD. | Please provide the CCD #. |  |  | Please provide the CCD #</t>
  </si>
  <si>
    <t>Light fixtures at medallions</t>
  </si>
  <si>
    <t>Is there a detail that shows how the structure, ceiling system, medallion and light fixtures work together</t>
  </si>
  <si>
    <t>M103, AE123</t>
  </si>
  <si>
    <t>Electrical Room 315 duct</t>
  </si>
  <si>
    <t>Drawing M103, electrical room 315, indicates a lined return duct at 32" x 14".  Ceiling space from floor joists of level 4 to to finish ceiling of level 3 is only 12".  The duct installed will end up 2" below ceiling per reflected ceiling plan on drawing AE123.  See attached clouded drawings for reference.</t>
  </si>
  <si>
    <t>Suggest re-sizing of duct or lowering of ceiling at this location.</t>
  </si>
  <si>
    <t>321313</t>
  </si>
  <si>
    <t>Landscape Concrete Conformation</t>
  </si>
  <si>
    <t>Per the mock up review with Chris Robbins onsite last week.  Please confirm that the landscape concrete will be a medium broom finish with the original approved mix design submitted in January (321313.01).  Note: this original submittal did not include any of the tan aggregates or pea gravel.</t>
  </si>
  <si>
    <t>medium broom finish was agreed to be design team and ownership.  tan aggregate not needed as aggregate will not be visible.  submittal has previously been reviewed and approved.  please proceed.</t>
  </si>
  <si>
    <t>Soda Line Pull Box Type</t>
  </si>
  <si>
    <t>What pull box is wanted for the soda lines referenced in note 10 of Electrical Notes on sheet QF301?</t>
  </si>
  <si>
    <t>See attached response from PKC</t>
  </si>
  <si>
    <t>Level 5 Ducting Penetrations</t>
  </si>
  <si>
    <t>Please confirm that the section highlighted in yellow in the attached document can be cut out and the remaining section not filled by ducting can be poured back in with concrete. 
The framing members effected will be shored up while the ducting is placed and the concrete is formed and poured.
Please provide the detail we discussed showing the reinforcement and spacing along with the hangers needed.</t>
  </si>
  <si>
    <t>Fireproofing of Steel in Annex</t>
  </si>
  <si>
    <t>As far as we can tell all steel in the Annex will be fireproofed.  We intend to leave our steel uncoated in order to receive fireproofing product.  Currently the joists are coated with primer paint (dip coat), but steel columns, beams, angles &amp; channels are figured as "no paint".  Please confirm all steel (floor &amp; roof) will be fireproofed.</t>
  </si>
  <si>
    <t>Galvanized Font Level Steel</t>
  </si>
  <si>
    <t>Details 1 &amp; 2 on sheet S241 include a "sloping" portion of the stone columns / walls which are to be wrapped in concrete.  At what point will these slopes be able to be determined?  GSW intends to get the steel into fabrication for this area asap and will need this information in order to achieve accurate dimensions for our steel prior to galvanizing.</t>
  </si>
  <si>
    <t>Arborist's Recomendation for Pre-existing tree conditions</t>
  </si>
  <si>
    <t>The Arborist’s Initial Tree Report provided the following recommendations for the trees on the projects, having to do with the pre-existing conditions of the trees. This report was previously forwarded to Westland, and we continue to await instructions. The recommendations are as follows:
1.      The ash trees along 400 South are recommended for removal for the following reasons:
   a.      They are root bound and have girdling roots
   b.      The feeder roots are rotting
   c.      All the trees show signs of termites (causing the trees to become hazardous)
   d.      They have been over pruned for years weakening the branches
   e.      Large branches are dying, bark sloughing off and cracking (hazardous)
   f.       Borer damage
   g.      Not enough soil space for the roots
The Arborist has indicated “that these trees must be removed and cannot be saved” because the “damage is too severe”.
2.      The Deador Cedar tree in the northwest corner of the property required treatment with a fungicide and pesticide, along with a deep root feeding of micronutrients and iron. We directed him to perform this treatment, as it was sensitive to the seasonal temperatures and growing season, but had minimal cost.
3.      The Mulberry tree that has been cabled, needs to be cabled and braced before leaves come on, to ANSI standards by a certified arborist.
Each of these three recommendations require direction from the owner to complete since they were not included in the contract scope, and thus there is additional cost associated with this work. Please advise how we are to proceed.</t>
  </si>
  <si>
    <t>Missing Sheet AE608</t>
  </si>
  <si>
    <t>On sheet AE632 detail D3 it references detail C1 on sheet AE608. We can’t find sheet AE608, is this a sheet we need to see or does this note need to be changed? Please advise.
I have attached the note from sheet AE632 for reference. </t>
  </si>
  <si>
    <t>Detail reference should refer to A1/AE633.</t>
  </si>
  <si>
    <t>CCD 41r1 Slab elevations</t>
  </si>
  <si>
    <t>Sheet A147 denotes slab elevation changes North of grid A7.  This change appears to be accomplished by lowering the top of steel elevation to 99'-3-1/2".  South of the wall, however, there is a depressed slab elevation between AE &amp; AF that is also called out as  99'-8".  In this specific area - the top of steel is at 99'-5-1/2".  This would only provide 2.5" of concrete - deck included.  Is this the correct elevation for this slab depression?  If so - please provide direction as to top of steel in this area.  Also - in the area requiring 8.5" of concrete - is the deck gauge affected?</t>
  </si>
  <si>
    <t>The recessed slab elevations will be addressed by the architect.  
The 8.5" slab deck is required to be shored per note 16 on sheet S101A.  If the contractor desires to provide a heavier gauge deck that won't require shoring please submit this for review and approval.   | Recessed Slab North of A8 (Entry) is to be at 99'-8"
Recessed Slabs South of A8 (Tiled areas) are to be at 99'-10"
A revised AE147 is attached and will be sent to the Contractor as part of CCD-041.R3 |</t>
  </si>
  <si>
    <t>085200</t>
  </si>
  <si>
    <t>AE645</t>
  </si>
  <si>
    <t>Glazing Clarifications</t>
  </si>
  <si>
    <t>Item #1: On Sheet AE645 in the upper right-hand corner Glazing Note D is described as TEMPERED ART GLASS – ¾” TRIPLE PANE IGU “WHITE OVPAL SWIRLED, SEE APPROVED SAMPLE.  
This glass is scheduled for Window Type H12 – Qty: 5 Openings 116 – 120 on the 0.5 Floor Plan Level – North Elevation.  
Please provide information on manufacturer of glass or where a glass sample can be obtained.  </t>
  </si>
  <si>
    <t>Demo. Plaster for Electrical Rough</t>
  </si>
  <si>
    <t>Please confirm that it is acceptable to remove the wall plaster at the interior side of the sealing/instruction rooms from the door frame to the east perpendicular wall. This is to provide access for electrical roughin. Typical for sealing and instruction rooms on level 5 and 3.</t>
  </si>
  <si>
    <t>This is part of CCD-11-R.2 | Correction. Refer to CCD-11-R.8. |</t>
  </si>
  <si>
    <t>Annex round high windows</t>
  </si>
  <si>
    <t>Please clarify the following:
1) What elevation are the round windows in the waiting room 109 shown on sheets AE4105, S301 (details A,B,C)? The building sections on AE310 appear that they center @ elevation 120'-6" 
2) What is the concrete rough opening dimension and radius for these round windows? I am unsure which details apply to these windows on sheet AE640. The window details reference precast or framed.  
3) On AE4105 and AE141 we assume the round window centers above the door in the waiting room and equally spaced as shown between the pillars. This is around 9'-3" spacing. Please confirm this is the correct layout assumption? </t>
  </si>
  <si>
    <t>North Stone Column Infills</t>
  </si>
  <si>
    <t>We had some questions come up on the north columns. There are some areas that need some infilling done and we want to make sure we are doing it in a way that you would like. There are also some places that the wood beams have been cut flush with the side of the column and we want to know if infilling will be needed in these locations.
For reference I have attached a PDF version of some photos I took on site.</t>
  </si>
  <si>
    <t>Please confirm - The column will need to be built back out with grout to the shape of the original column. No reinforcing will be required in the grout since the frp and steel column will be confining the grout at this location.
The existing wood will need to be removed from the column and then grouted solid.  </t>
  </si>
  <si>
    <t>This is correct. |  |  |</t>
  </si>
  <si>
    <t>Dave Andreas</t>
  </si>
  <si>
    <t>CDC Restoration &amp; Construction</t>
  </si>
  <si>
    <t>M103, AE 123, AE662, AE570</t>
  </si>
  <si>
    <t>Room 317, 319 SWS Grille installation</t>
  </si>
  <si>
    <t>Drawing M103, room 317 and 319 indicate a SWS-1 grille, size 18"x 8" to be installed at wall near ceiling.  Drawing AE123 indicates a 9' 2 1/2" ceiling height.  Top of existing door molding is 8' 4 1/2".  Drawing AE662, finish schedule indicates a crown molding to be installed per detail E4/AE570.  Per this detail the crown molding is to be 5 1/8" in height.  This would appear to only leave a remaining vertical space between top of door frame molding to base of crown molding of 4 7/8".  The SWS-1 grille is 8" in height.  See attached drawings for reference.  Please advise.</t>
  </si>
  <si>
    <t>Recommend change of grille to a ceiling mount CD as there appears to be enough existing space to allow for install of needed duct and grille.</t>
  </si>
  <si>
    <t>M102, GI202</t>
  </si>
  <si>
    <t>Elevator 5 shaft fire damper requirements</t>
  </si>
  <si>
    <t>Drawing M102, elevator 5 at vestibule 223 is shown 12"x6" duct for both supply and return at the top of the shaft.  Drawing GI202 indicates the shaft assembly to be 1 hour rated.  Do the supply and return ducts need to include fire smoke dampers?</t>
  </si>
  <si>
    <t>Please confirm if the supply and return ducts should include FSD's at the top of elevator shaft 5.</t>
  </si>
  <si>
    <t>Fire smoke dampers are not needed.
Install fire dampers at the penetrations into the elevator shaft. |  |</t>
  </si>
  <si>
    <t>M103, S103</t>
  </si>
  <si>
    <t>Electrical Room 315 Return Duct opening</t>
  </si>
  <si>
    <t>Drawing M103, electrical room 315 is shown return duct 28"x12" (30"x14" insulated) rising up through floor of room.  Structural Drawing S103 at this same location does not appear to indicate any penetration for the duct work.  See attached drawings for reference.</t>
  </si>
  <si>
    <t>Please provide framing detail for penetration serving this duct work as shown.</t>
  </si>
  <si>
    <t>Please provide framing for this penetration that is similar to the framing for the penetration on Level 2 directly below this area.  We will revise the drawings to show this requirement and issue in a forthcoming CCD 045. |</t>
  </si>
  <si>
    <t>Curb Wall by Ramp in North Addition</t>
  </si>
  <si>
    <t xml:space="preserve">See the attached sketch of a clarification detail for the curb wall by the ramp in the north addition.  This was discussed in a meeting between Innovative and Scott. </t>
  </si>
  <si>
    <t>262726</t>
  </si>
  <si>
    <t>Color Selection of wiring devices and wall sensors</t>
  </si>
  <si>
    <t>See attached occupancy sensor submittal and select color for wall controllers. This color selection also applies to all wiring devices, switches, receptacles, etc.</t>
  </si>
  <si>
    <t>This has already been answered. color shall be matte white finish with a screw-less face plate. |</t>
  </si>
  <si>
    <t>Rough Openings Doors West End Historical</t>
  </si>
  <si>
    <t>Rough openings is from face of LVL to face of LVL for width and from finish floor to LVL for height. LVL needs to go the full width of the wall and not between wood trim as shown on architectural details. See attached sketches. The LVL does not need to be 1- 3/4” thick for doors with paneled jambs. This could be some cost savings. Does the rough buck need to be fire rated as this wood is capture behind drywall?</t>
  </si>
  <si>
    <t>CCD 006r3</t>
  </si>
  <si>
    <t>Please follow the most current CCD.</t>
  </si>
  <si>
    <t>Soda line conduit</t>
  </si>
  <si>
    <t xml:space="preserve">What size conduit is required for the soda lines there are 2 different sizes on the drawings? If they are 6" because of the 24" distance between the mat slab and the rat slab the curved portion of a 90* bend will be above grade. (we can cut this down it will make the conduit end oval shaped and bushings would not be able to be installed) </t>
  </si>
  <si>
    <t>East Rooms Excavations</t>
  </si>
  <si>
    <t>We have 3' 5" we need 5' from top of slab to top of finished floor this is needed to add the duct work in this area. If this area is to have concrete, we will need the depth of the concrete (4”) and any sub-base depths (6”) Please advise 
For reference I have attached some information showing what is needed and what we have.
Stone at doorways will need to be cut down 5' to allow for ducting as shown on drawings. Please advise</t>
  </si>
  <si>
    <t>No new basement floor slab is required in these east room areas. The soil can be excavated as required for the duct to be installed.   | There are no floor slabs to be added in these areas. Excavate soil to accommodate new ductwork. see Response from ARW.</t>
  </si>
  <si>
    <t>Annex stair 2 shaft dimension clarification</t>
  </si>
  <si>
    <t>Please clarify the dimension to the CMU stair 2 walls at the annex basement:
1) AE147 between grids A5 to A6 the stair 2 shaft shows a dimension of 9'-3" which appears to be the west face of CMU to the east face of existing wall along grid AH. When we use the east dimension of 14'-8 1/2" and 5'-6 1/2" from grid AG this only leaves around 9' +- 1" between inside face of CMU and existing concrete. Will this work for the clear opening? The step in the existing wall shown on detail C1/AE382 does not exist. The clear dimensions on C1/AE382 add up to 8'-10 1/4" but that also includes the fur out. 
2) AE146 calls out a dimension of 9'-10" from existing wall but it also shows a step in the wall but this does not exist as mentioned in question #1. The east/ west dimension of 19'-7" from grid AG to east face of CMU would be the dimension we use if this gives the correct clear dimension inside. </t>
  </si>
  <si>
    <t>CMU Wall that runs N/S should have East Face 19'-7" from Grid AG
CMU Wall that runs E/W should have South Face 22'-9" from Grid A6
Slab opening will run from West face of N/S CMU Wall to Existing Foundation Wall
Clear opening will run from North face of E/W 12'-8" to the North. 
Top of foundation/slab elevation still needs to be 100'-0" to receive Precast Panels.  |</t>
  </si>
  <si>
    <t>Sealer Gasket @ Acoustically Insulated Walls</t>
  </si>
  <si>
    <t>Note 12 in spec section 092217-7 calls for the install of "sealer gasket at the underside of wall bottom track at acoustically insulated walls." Our interpretation of "acoustically insulated walls" refers to STC rated walls only. Please advise if acoustically instulated walls only refers to STC rated walls as referenced on the Wall Types sheets in GA drawings (GA002-GA004).</t>
  </si>
  <si>
    <t>CONCRETE PAVING</t>
  </si>
  <si>
    <t>Hand tooling and saw cutting the radius curves in the sidewalks isn't working. Per a conversation with Chris Robbins we are proposing the attached method.  Please advise if this is acceptable.</t>
  </si>
  <si>
    <t>See the attached suggestion.</t>
  </si>
  <si>
    <t>The proposed method of pouring the bands first and the center second is acceptable, please proceed. |</t>
  </si>
  <si>
    <t>Corridor Columns on 3rd and 5th Floor</t>
  </si>
  <si>
    <t>Plans show columns at 3rd and 5th floor corridors, but these columns have been demolished. Floor plans show columns to be existing. Please advise if the corridors on the 3rd and 5th floor will be receiving new columns. 
If so, please provide the design of the new columns; wood/metal stud framed?</t>
  </si>
  <si>
    <t>Partial/Full Height Walls</t>
  </si>
  <si>
    <t>There is no schedule providing a break down of which walls are partial height and which are full height. When viewing the building sections, it is unclear whether some walls are partial/full-height. 
Please advise if the highlighted walls are partial height walls.</t>
  </si>
  <si>
    <t>Waiting 109 &amp; Chapel 110 column dimension conflict</t>
  </si>
  <si>
    <t>There are conflicting dimensions in the Waiting #109 and Chapel #110. 
Please advise which dimensions we are to construct with.</t>
  </si>
  <si>
    <t>Cove Detail Material Not Specified</t>
  </si>
  <si>
    <t>Sheets AE4105-4107 show a material to be installed in multiple rooms at ceiling corners. D5/AE570 does not specify the type of material. 
Please advise what material is to be installed at the corner in the Cove Detail D5/AE570.</t>
  </si>
  <si>
    <t>Wall Type and Fire Code Discrepancy</t>
  </si>
  <si>
    <t>Wall type #76 calls for a 2-hr rated wall. One GA201A, #76 wall types are being called out as 1hr rated walls. 
Please advise if the Fire Code plan supercedes the Wall Type sheet.</t>
  </si>
  <si>
    <t>Room #510 ceiling height</t>
  </si>
  <si>
    <t>On sheet AE125, most rooms show a ceiling height of 9'-3", but room #510 shows a ceiling height of 9'-4". 
Please advise if this room's ceiling height is to match with adjacent rooms.</t>
  </si>
  <si>
    <t>Yes, Rm 510 should match the adjacent room ceiling heights at 9'-3". |</t>
  </si>
  <si>
    <t>Door Openings East of Baptistery</t>
  </si>
  <si>
    <t>It appears that the doors indicated in yellow on the attached (82” above finished floor) in the north rooms on the Baptistery level will need to have the headers cut out to allow for the new doors. The new doors are going to need to be cut in allowing for 88” above finished floor for R.O. plus 10” for the lintel. The width will also be impacted because we have a 36” door with 8” on each side for the concrete then 4”to allow for the door frame and shimming this is equal to 62” overall. Please advise.</t>
  </si>
  <si>
    <t>Rough Opening for Wood Shimmed Door Jambs</t>
  </si>
  <si>
    <t>What is our rough opening of metal framing, from metal to metal, for wood jambs/doors when wood shimming Jamb details on AE602-603.</t>
  </si>
  <si>
    <t>Steel Beam Spacing - ANNEX</t>
  </si>
  <si>
    <t>Reviewed drawings came back with numerous spacing issues.  GSW requests a phone review at Engineer's convenience to discuss.</t>
  </si>
  <si>
    <t>Baptistery Cove Lighting</t>
  </si>
  <si>
    <t>The cove lights in the baptistery are called out as type TLC This is a 4100k wet location tape light that is described as being for the monument sign , the recessed cans in the same location are type DR6M which are 2700k. Fixture type TLB is a 3000k indoor tape light that described as being ceiling cove mounted it has the same lumin output as the TLC and is much closer to the color temp of the DR6M cans . we would suggest changing these tape lights to the type TLB. Please Advise.</t>
  </si>
  <si>
    <t>Mulberry Tree 57 Cabled and Braced</t>
  </si>
  <si>
    <t>Per the march arborist report mulberry tree #57 Needs to be cabled and braced before the leaves come on. Please advise.</t>
  </si>
  <si>
    <t>Please see attached response.  |</t>
  </si>
  <si>
    <t>AE640 &amp; AE652</t>
  </si>
  <si>
    <t>Window Type Clarifications in the Annex</t>
  </si>
  <si>
    <t>Re-View RFI 3
Item #1: Window Type B as shown on sheet AE640 has been deleted and replaced with 
typical Window Type C per our conversations with Scott Gilberg on 03/09/2020. These 
changes will be reflected in our Annex shop drawing submittals this week.  
Item #2: The architectural precast rough openings (width only) for Window Types A &amp; D
Tri-arch openings have changed. See attached pdf elevation drawing from Scott Gilberg. These changes will be reflected in our Annex shop drawing submittals this week.  
Item #3: The GFRC brickmold trim as shown on AE652, Window Types A &amp; D Tri-arch has been deleted and replaced with wood brickmold trim. See attached pdf email from Scott Gilberg. These changes will be reflected in our Annex shop drawing submittals this week.  </t>
  </si>
  <si>
    <t>Historic Windows Type H5, H4 &amp; K Clarifications</t>
  </si>
  <si>
    <t>Re-View RFI 5
Item #1: Please confirm Window Type H5 (Full Circle Units – Qty: 18 – on the 5th floor) as shown on floor plan sheet AE105 are to be operable, pivot style sashes.
Item #2: Please confirm Window Type H4 (Full Circle Units – Qty: 4 – on the 5th floor) as shown on floor plan sheet AE105 are to be fixed, non-operable sashes.
Item #3: Please confirm Window Type K (Full Circle Units – Qty: 6 – on the 5th floor) as shown on floor plan sheet AE105 are to be fixed, non-operable sashes.
Item #4: Please confirm Window Type H5 &amp; K (Full Circle Units – Qty: 24 – on the 3rd floor) as shown on floor plan sheet AE103 are to be fixed, non-operable sashes.
This RFI is driven from conversations between multiple individuals within the design team and facilities department over the last several months.  </t>
  </si>
  <si>
    <t>None of the windows will be operable. Therefore the Windows do need to have the same appearance of an operable window such as double hung etc.</t>
  </si>
  <si>
    <t>Historic Windows Type H2 - 4th Floor</t>
  </si>
  <si>
    <t>Re-View RFI 6
Item #1: Previously, on September 23rd, 2019 pricing was submitted to change the lower window sash from “Fixed” to operable on Qty: (16) Type H2 window openings on the 4th floor. This would apply to the window openings in the Assembly Room only.
See attached  </t>
  </si>
  <si>
    <t>235216</t>
  </si>
  <si>
    <t>Boiler voltage</t>
  </si>
  <si>
    <t>Reference attached page from boiler (B1, B2, B3) submittals. This lists both 208V and 480V electrical requirement. The electrical plans call for (1) 480V 3Ø circuit to these boilers. 
What is the voltage?
Is a starter required? typically boilers do not need starters.</t>
  </si>
  <si>
    <t>Keep 480V as designed, unless manufacturer recommends otherwise, then notify engineer in writing for design change. If manufacturer does not require starter, then only provide disconnect as required by NEC. RFI to be reviewed and responded to by VBFA as well. |  |</t>
  </si>
  <si>
    <t>Level 4 duct penetration at floor</t>
  </si>
  <si>
    <t xml:space="preserve">Drawing M103, gridline HF is shown two 60"x24" ducts that rise up to level 4.  Drawing S103 at this same location is showing new ceiling joists with no openings for the ducts.  See attached clouded drawings for clarification.  </t>
  </si>
  <si>
    <t>Please provide structural openings of to allow for two 62"x26" lined ducts at level 4.</t>
  </si>
  <si>
    <t>P099, CCD#035, 035r1</t>
  </si>
  <si>
    <t>CCD#035 r1 floor drains</t>
  </si>
  <si>
    <t>Drawing P099, CCD# 035 r1 does not appear to indicate any size for the underground sewer waste serving the new floor drains at shop area 041.  Also, floor drain sizing as shown in CCD#035 was discussed with VBFA/Westland to be changed in r1 documents to include six 2" FD's and one 4" .  This change does not appear to have been made.  See attached for clarifications.</t>
  </si>
  <si>
    <t>Please provide underground waste piping size and confirm if floor drain sizing is to be changed per previous VBFA/Westland conference call.</t>
  </si>
  <si>
    <t>233423</t>
  </si>
  <si>
    <t>EP601 and 233423 Submittals</t>
  </si>
  <si>
    <t>Exhaust Fan Voltage Discrepancies</t>
  </si>
  <si>
    <t xml:space="preserve">Reference attached list of exhaust fan voltage discrepancies and advise. (EF-0.01, EF-1.04, EF-1.05, EF-1.06, &amp; EF-1.07) </t>
  </si>
  <si>
    <t>Envision was not provided Exhaust fan submittals for review or notified of design change of voltages previously. Provide fans with electrical specifications as designed. If it is not possible for the fans to be supplied with voltages, phase as designed; the complete updated data for each fan including, voltage, phase and HP or amps will need to be provided to Envision engineering, so that design revisions can be prepared to update conduit, wire, breaker sizes and disconnects/starters as necessary. CCD# will need to be provided to Envision for tracking of changes. RFI to be reviewed and responded to by VBFA as well. |  |  |</t>
  </si>
  <si>
    <t>114000</t>
  </si>
  <si>
    <t>EP601 Kitchen Eq. Schedule</t>
  </si>
  <si>
    <t>Kitchen Equipment Voltage</t>
  </si>
  <si>
    <t>Reference attached submittal for kitchen item #1.075 dishwasher, 208V 3-phase. It is 480V on the electrical plans. Please advise. Also, confirm this is a two-point connection with separate booster heat circuit per electrical plans.
Confirm voltage of items #1.65 &amp; #1.77 disposals. They are 480V on the electrical plans.</t>
  </si>
  <si>
    <t>M103, AE123, AE183</t>
  </si>
  <si>
    <t>Initiatory Sink Rough In</t>
  </si>
  <si>
    <t>Due to the coordination needed to be done between the HVAC and the Plumbing. Please provide the location and rough in requirements for the initiatory sinks on level 3.</t>
  </si>
  <si>
    <t>The locations and types of fixtures for the initiatory fixtures is under review with project ownership.
however a 'bootlegged' version of the fixture and its location has been provided to the contractor. |</t>
  </si>
  <si>
    <t>Historical Roof Demo</t>
  </si>
  <si>
    <t>Please confirm the roofing is to be demoed by the roofing contractor and not by the abatement contractor. Costs will be associated with this change. </t>
  </si>
  <si>
    <t>328400</t>
  </si>
  <si>
    <t>Detial 1/LI503, Irrigation Schedule LI100</t>
  </si>
  <si>
    <t>Irrigation Backflow Preventer</t>
  </si>
  <si>
    <t>The specified reduced pressure backflow preventer for this project is a 2" Zurn Wilkins 375XL. We have been informed that the Temple recently purchased a 3" Zurn Wilkins 375AST reduced pressure backflow preventer which is new and still in the crate (see attached photo). We have ordered the 2" 375XL specified, but it has not been delivered, and I have placed a hold on it pending a response to this RFI. Instead of furnishing and installing the 2" 375XL, would you like us to use the 3" 375AST that the owner already has?
The following is information for your comparison:
2" 375XL has an optimal flow rate of ~170 GPM with 13 psi pressure loss (see attached data sheet), and it has an overall length of 24" when installed.
3" 375AST has an optimal flow rate of 500 GPM with 11 psi pressure loss (see attached data sheet), and it has an overall length of 57" when installed.
The mainline on this project is a 4" complete loop, and there are 86 irrigation zones flowing through this point of connection.
If we use the 3" 375AST, the backflow enclosure size would have to be changed to accommodate the larger backflow which would be an additional cost that would exceed the credit we could provide by not furnishing the 2" 375XL.
It is my feeling that the irrigation designer has provided you with the best cost/value design using the 2" 375XL for this system. Changing to the 3" 375AST would increase the capacity of the point of connection substantially and allow for a shorter watering window, but would come at an additional cost for the larger enclosure and piping. Please advise.</t>
  </si>
  <si>
    <t>Stair 3 CB5 beam at 12" suspended slab</t>
  </si>
  <si>
    <t>Reference S100B, AE386
There is a CB5 beam shown north of grid H3 between HH and HG at the 12" suspended slab at level 0.5. This beam does not show up in the BIM model and is not shown on architectural sheets on AE386. This beam is typical at the upper floors for the stair stringers connect per details 4,12/S212. Please verify if this beam is needed below the level 0.5 suspended slab.
*After reviewing with mechanical subcontractor it conflicts with mechanical duct that runs below it.</t>
  </si>
  <si>
    <t>Floor Box Locations</t>
  </si>
  <si>
    <t>Please provide dimensioned layout for all electrical floor boxes. </t>
  </si>
  <si>
    <t>CCD#029 P-100</t>
  </si>
  <si>
    <t>CCD#029-Added backflow preventer</t>
  </si>
  <si>
    <t xml:space="preserve">Per CCD#029 narrative, reference drawing P100, line item #3 indicates to add a backflow preventer.  Drawing P-100 within the CCD does not include a new keynote or show location of the new backflow preventer.  No type/model/size is offered.  </t>
  </si>
  <si>
    <t>Please clarify if a new back flow preventer is desired.  If so, provide location, size, model, etc.</t>
  </si>
  <si>
    <t>P sheets</t>
  </si>
  <si>
    <t>CCD#029 R.1-Domestic Water Plumbing intent</t>
  </si>
  <si>
    <t xml:space="preserve">CCD#029 R.1, narrative, general note for all domestic plumbing sheets reads as follows:
1-Provide price estimate for all domestic plumbing to be aquatherm
2-Provide price estimate for all domestic plumbing to be Nupi Niron
3-Provide price estimate for all domestic plumbing to be PEX
Please confirm that pricing is desired for ALL scopes of domestic water piping throughout both the Historic and Annex buildings.  </t>
  </si>
  <si>
    <t>Confirm intent of request for estimate is for all domestic water piping throughout the Historic and Annex buildings.  Provide additional direction on PEX piping(IE: Type of PEX pipe, joint type, PEX piping to what max size, 2"?)</t>
  </si>
  <si>
    <t>CCD#032-P601</t>
  </si>
  <si>
    <t>CCD#032-Soap Dispenser located in wall cavity</t>
  </si>
  <si>
    <t>CCD#032, soap dispenser revision, drawing P601, fixture schedule, fixture L-1 description states "Provide MAC Faucets PYOS-109 electronic, sensor, bulk soap dispenser with chrome finish, hard wired AC power connection, with soap container in wall cavity below lavatory".  No wall cavity/access detail was provided.  The dimensions of the soap dispenser pump/soap bottle are attached.  What are the dimensions of the proposed wall cavity to be?  Note that plumbing piping in wall will include 2" p-trap waste and 1/2" hot and cold piping.  Also shown are hose bibs to be located at these single use L-1 and L-3 lavs.</t>
  </si>
  <si>
    <t>Please provide proposed wall cavity dimensions and locations to be installed beneath L-1 and L-3 lavatories.  We have concerns locating the soap dispensers and hose bibs behind cavity access doors/panels due to access door operation, coordination with plumbing piping and potential water damage from hose bib malfunction.  More coordination between owner/design/GC/plumbing is needed to proceed with pricing.</t>
  </si>
  <si>
    <t>Column Wrap Connection (L2 - L3)</t>
  </si>
  <si>
    <t>Please see attached sketches of possible bolted connections for the 1/2" Plate Wraps at the (14) columns between level 2 and mezz level.  Please advise if this is an acceptable connection - as welding in place cannot happen.</t>
  </si>
  <si>
    <t>|  | In order to do a bolted connection it appears that the decorative column quatrafoil wraps will not fit.  We have been told that this is not acceptable.  Please continue with the initial directive of installing two full height peices of steel that will clam-shell together and be wrapped with FRP.  The horizontal joints in the steel can be welded together out of the way of the historic structure and then brought into the bulding as a full height piece.</t>
  </si>
  <si>
    <t>Two way Communication</t>
  </si>
  <si>
    <t>the engineers review is asking us to coordinate control panel and call station locations with owner/architect and whether or not control panel should be flush mount. See attached Engineer  review.</t>
  </si>
  <si>
    <t>Inititory Lighting</t>
  </si>
  <si>
    <t>The lighting in the 3rd floor initiatory rooms shows the circuit going thru a relay and then an occupancy sensor. is the occupancy sensor necessary or should we just put a manual switch in each room to operate them independently  as long as the relay is closed similar  to sealing rooms on 5th floor. Please Advise</t>
  </si>
  <si>
    <t>144216</t>
  </si>
  <si>
    <t>Vertical Wheelchair lift</t>
  </si>
  <si>
    <t>The submittal for the wheelchair lift it calling for a dedicated analog phone line. The electrical drawing don't show this please advise if this analog phone line is needed or not.</t>
  </si>
  <si>
    <t>Chimney Infills</t>
  </si>
  <si>
    <t>Do the existing chimney flues in the exterior walls of the historical building going from level 0.5 to the roof need to be infilled with concrete?</t>
  </si>
  <si>
    <t>please see response from ARW |  | We recommend that all of the chimney flues be grouted solid.  Please limit grout heights to 10' at a time when grouting to reduce chances of blowing out stone or leakage through the stone.</t>
  </si>
  <si>
    <t>Core Holes Aligning with Steel Saddle</t>
  </si>
  <si>
    <t>Upon installing the steel saddle on the stone column at grid line H2 and HB.5 it was discovered that the holes that have been cored through the stone column did not line up with the bolt holes in the saddle. Please confirm that it is acceptable to elongate the hole to receive the Bolt and install a plate washer that will cover the hole and be welded to the steel saddle. </t>
  </si>
  <si>
    <t>| It is acceptable to elongate the holes and provide plate washers that are welded to the steel saddle.</t>
  </si>
  <si>
    <t>Level 2 Floor Structural Upgrade</t>
  </si>
  <si>
    <t>Please confirm the following direction given on site regarding the steel column saddle installed on the Level 2 floor.
The oversized Core holes going through the stone columns are to be grout filled.
The plate washers covering the oversized holes in the steel saddles are to have plate washers installed covering the holes and then wielded in place to the steel saddle.
The holes for the epoxy bolts on the on the beam side of the steel saddle are to be moved approximately 2” closer to the center of the returning leg of the saddle.</t>
  </si>
  <si>
    <t>1- Oversized core holes are to be filled with epoxy.
2- Plate washers must be welded to the steel saddle with 1/4" fillet welds all around washer.
3- Confirmed | SEE RESPONSE FROM ARW</t>
  </si>
  <si>
    <t>East Side Area Well of Historical</t>
  </si>
  <si>
    <t>Please advise if this area well with the grate needs to be chipped down below the grade, completely removed or filled back with concrete. The inside of the area well is going to be filled with concrete.</t>
  </si>
  <si>
    <t>Shear wall coordination meeting at west historic</t>
  </si>
  <si>
    <t>Reference sheets S250, S251, S252, S253, S254, S255, S222 and attached rebar detail.
Per onsite meeting with Innovative, rebar detailer, Westland and ARW please confirm the following:
1) As detailed at the corners on the attached shop drawing it is ok to use 180 degree hooks on the horizontals rebar to tie in the corners at the jamb columns?
2) Confirm acceptable to stagger splice horizontal wall rebar? 
3) At area well walls it is ok to use formsavers on the horizontal bar?
4) Per details 2,4,7/S222 confirm it is acceptable have the #4 hook dowels for the suspended slab turn vertical into the suspended slab or wall pour versus cast in the wall below?</t>
  </si>
  <si>
    <t>1)     Yes, 180 degree hooks are acceptable
2)     Yes, stagger the horizontal wall rebar splices
3)     Yes, form savers are acceptable at area well horizontal bar tie in to perpendicular walls
4)     Yes this is acceptable to have hooked dowels turned vertical. | please see response from ARW |</t>
  </si>
  <si>
    <t>Baptismal Font Exhaust Duct Material</t>
  </si>
  <si>
    <t>Drawing M100A, duct serving Exhaust Fan EF-0-01 does not appear to have any notes or direction as to what type of material to build this ductwork from. Specification section 233113 does not appear to include this type of duct/system within its information. See attached drawings for clarification. 
Please provide a narrative/specification of what type of duct metal material is to be used or the font exhaust system, whether is requires liner or wrap, etc.</t>
  </si>
  <si>
    <t>Room 219 Ceiling Height</t>
  </si>
  <si>
    <t>Please advise if the ceiling in room 219 is to be installed at 8’-7/8” as called out on sheet AE122 or if it is to be moved up closer to the 13-foot mark as scaled on sheet AE4211. 
For reference I have included a picture of the room showing where the 8-foot mark will end up on.</t>
  </si>
  <si>
    <t>LFTA Strap Discontinued</t>
  </si>
  <si>
    <t>Detail 1/S260 calls for LFTA Strap at each stacked stud. This particular strap has been discontinued. Can you get me an alternate? I propose CS16 Coil strapping.</t>
  </si>
  <si>
    <t>We take no exception to using a CS16 strap in lieu of the LFTA strap.  Please connect the strap with SD9 screws and predrill holes prior to installing screws.  | please see response from ARW |</t>
  </si>
  <si>
    <t>Level 3-5 Elevator Fill In</t>
  </si>
  <si>
    <t>On Levels 3,4 &amp; 5. It calls for (2) 2X12s or 2 1 3/4" X 9" LVLs. Existing floor joists are 2X12s and I propose 1 11 7/8" @ 12 O.C. To match existing floors. I can Notch and place back in original 2X12 pockets and add facemount hangers. Then I will need the allowable floor load for face mount hanger depending on what floor joist we use.</t>
  </si>
  <si>
    <t>Structurally we take no issue with this substitution provided there is no interferance with anticipated mechanical and electrical systems due to the 12"o.c. layout.  The facemount hangers need to have a minimum capacity of 1,000lbs.  Please allow CRSA to respond to this as well.  |  | Please review and respond as needed.</t>
  </si>
  <si>
    <t>Ledger Board Attachment to Hist. Truss</t>
  </si>
  <si>
    <t>This is in response to the Question about the 1 3/4" X 9 1/2" LVL Ledger board we propose to install on existing beam with the dowells protruding out. There was a question about Notching out holes to save dowells for historic. My concern is that if we notch out for the dowell and the hole is inline with where the new hanger will attach to the Hanger will not be installed with the required nailing or screws to withstand the floor load required. </t>
  </si>
  <si>
    <t>David Rockhill</t>
  </si>
  <si>
    <t>Rockhill Construction</t>
  </si>
  <si>
    <t>Replace Roof Purlin</t>
  </si>
  <si>
    <t>S106 Line HF- H5 it instructs to replace roof purlin that is broken with a 3 1/2" X 7" PSL. I know we are tight on room bc of HVAC and location makes it a difficult fix. Then beam goes all the way back to at least line HE. Which makes it over 24' long. I was informed there will be a hole cut for HVAC to go thru to stairway. May I propose Cutting existing beam in center of 2 roof trusses between Lines HF and HE. FYI the other beams above and below this one are cut on the center of those trusses. Then I would propose to install (4) 1 3/4" X 11 7/8" LVLs To replace beam as a substitute for PSL. Strap the new LVLs to the end of the Beam where the splice occurs with Manufactured metal strap with thru bolts. Please see attached pictures. Let me know solution so I can get an estimate to reflect what we are to do.</t>
  </si>
  <si>
    <t>5th floor outlets for lamps</t>
  </si>
  <si>
    <t>5th floor corridor 516 and 520 both have several electrical outlets for lamps that are dimensioned   on the interior elevation drawings at the same elevation as a horizontal beam please advise (see attachments)</t>
  </si>
  <si>
    <t>Shear Wall Connection to Steel Columns</t>
  </si>
  <si>
    <t>Is it possible to replace the detail noted on the GSN (J.8) which requires the steel column to be connected to the concrete wall with 1/2" dba's 24" long with an embed using the same dba's &amp; spacing?  Please see attached sketches showing original intent as well as proposed solution.  Along with this embed, GSW suggests a 2-3" gap between the wall and column to allow for independent installation.  In order to connect the column to the wall GSW suggests using weld plates from the embed to the column after the wall is poured.  Please advise</t>
  </si>
  <si>
    <t>Time to Answer Through a Date:</t>
  </si>
  <si>
    <t>Through Date:</t>
  </si>
  <si>
    <t>Up-to Date:</t>
  </si>
  <si>
    <t>After Date:</t>
  </si>
  <si>
    <t>Time to Answer For RFI's Answered Between Two Dates:</t>
  </si>
  <si>
    <t>Average Time Open For Unanswered RFIs (through a date):</t>
  </si>
  <si>
    <t>Created Before Date:</t>
  </si>
  <si>
    <t>&lt;--- I think this formula is wrong check later</t>
  </si>
  <si>
    <t>2"x 2" tile will be:
Manufacturer: Fujiwa Tiles
Type: Celica 293 Colbalt Blue
Fujiwa Catalog is attached.
We are still trying to determine a manufacturer for the custom 6" x 6" tile and will provide that information as soon as it is available.</t>
  </si>
  <si>
    <t>For new door construction, follow the door schedule @ 3'-0". There are a few Historic to-be-reused doors at 40" which was the precedent door type. 
4-1/2" stiles is approved to bring consistency to the doors.  |</t>
  </si>
  <si>
    <t>Wall Type 37 to be used at both Door 155 &amp; Opening 156. Plans have been updated to reflect a thicker wall.  |</t>
  </si>
  <si>
    <t>please see response from VBFA |  |  |</t>
  </si>
  <si>
    <t>See response from Envision. |</t>
  </si>
  <si>
    <t>I do not have a strong preference to the exact location of the LVL, but still unsure of why it cant be installed as shown in the details.  This is really a means and methods item to be coordinated with the millwork sub.  please keep the LVL at 1-3/4" as detailed.  No the LVL does not need to be fire-rated.</t>
  </si>
  <si>
    <t>Sealer Gaskets are to be installed at bottom tracks of all walls that reference an STC rating or acoustical insulation on Wall types (sheets GA002 - GA004). |</t>
  </si>
  <si>
    <t>Please see attached for response. |</t>
  </si>
  <si>
    <t>Due to the current condition of the opening in the stone wall, we anticipate cutting the existing door height taller, but the width will stay the same and not be cut any wider.  Any new opening support will need to fit within the opening without the opening being cut wider.  Use detail 8/S240 for reinforcing this new taller opening with the following modifications.  
The new concrete header thickness spanning the opening needs to be increased to 12" deep instead of 10".  
The thickness of the new concrete side walls can be reduced from 8" to 6" thick and must be reinforced with #5 vertical bars @4" o.c. instead of 8"o.c.
Please verify that a 6" thick new concrete wall thickness will still allow the proper door size to fit without cutting the existing opening wider. | see response from ARW</t>
  </si>
  <si>
    <t>A door schedule will be provided by the door manufacturer that will include rough opening sizes.  |</t>
  </si>
  <si>
    <t>I reviewed the Lighting Fixture Schedule and I agree that the LED Light Strip in the Baptistry Ceiling Cove should be Fixture Type: TLB
DT. |  |</t>
  </si>
  <si>
    <t>The items stated by Review are correct.  and will be reviewed in the shop drawings</t>
  </si>
  <si>
    <t>After discussions with the client, as of March 2020 there will be no operable windows.</t>
  </si>
  <si>
    <t>Please refer to CCD-11 R.9 for response.</t>
  </si>
  <si>
    <t>Please see the attached floor plan layouts for each floor showing the dimension locations of the floor boxes.
There will also be an upcoming CCD regarding the floor boxes in the West tower Addition. These have been removed and will be wall mounted outlets in the new furring at the historic stone wall. Please coordinated accordingly.</t>
  </si>
  <si>
    <t>please see response from MEch engineer |</t>
  </si>
  <si>
    <t>access panels to conceal hose bibs, clean outs and soap containers is no longer a design option.  Please refer to ASI #17 where plumbing items are to be wall/surface mounted under lav's in a manner that hides them as much as possible.  Arch and plumber to consult on site about preferable and general locations of these items. |</t>
  </si>
  <si>
    <t>this has been reviewed by A/E team.  this is now an item for owner and elec sub to coordinate. |</t>
  </si>
  <si>
    <t>Provide phone line as required by manufacturer. | See response from Envision. |</t>
  </si>
  <si>
    <t>The ceiling in this location will indeed be roughly 13' above the floor level in this room.  The ceiling will be attached to the underside of the floor structure above.  the ceiling elevation tag indicating 8' is incorrect. |</t>
  </si>
  <si>
    <t>please see response from ARW | After discussion with the contractor it was learned that the existing purlins are deeper than 7".  It is acceptable to use (4) 1-3/4" LVL's that are cut to match the depth of the existing purlins. |  | It is acceptable to cut the purlin over the truss and join the new purlin with the old purlin using a Simpson PS418 strap.  In order to maintain adequate room in the attic space, please continue to use the PSL beam specified.</t>
  </si>
  <si>
    <t>Due to the wood beam being in the way, the elec outlets may be installed below the beam.  It appears that the boxes could be installed at 17" above the floor, to center of the outlet.  Please ensure that the boxes are consistent in installation height. |  | Structurally, the horizontal beam needs to stay in place and should not be cut for the outlet boxes.  We suggest moving the boxes up or down to miss the beam.</t>
  </si>
  <si>
    <t>Please see response from ARW | The columns must connect to the concrete shearwalls as detailed as they were designed to act as boundary steel and as a drag connecting element.</t>
  </si>
  <si>
    <t>Temple Fountains (North &amp; East Fountains)</t>
  </si>
  <si>
    <t>Please confirm all dimensions boxed in red on sheet 2 of the two preliminary drawings attached here.  Once these basic dimensions are confirmed we can begin working on the detailed fabrication drawings.  Thank you</t>
  </si>
  <si>
    <t>Mark Gabriele</t>
  </si>
  <si>
    <t>Artisan Granite, LLC</t>
  </si>
  <si>
    <t>Sheer Wall Structural Coordination</t>
  </si>
  <si>
    <t>The first shear wall we have started on at grid AE in the annex has a clash between the mechanical block out shop drawings and embed layout shop drawings. The mechanical blockout is continuous as shown on A/S301. We are working on a coordinated layout and need to know how close to the embed, both vertically and horizontally, can we locate these duct penetration block-outs? (see the attached)</t>
  </si>
  <si>
    <t>These sorts of penetration coordination issues may be typical in the sheer walls. We hope that you might be able to give us some general direction rather than an approval for each deviation from a sheer wall penetration location.</t>
  </si>
  <si>
    <t>EY Conformed Drawings, FA Shop Drawings</t>
  </si>
  <si>
    <t>Fire Alarm Device Discrepancies</t>
  </si>
  <si>
    <t>Part 1. See attached list of fire alarm discrepancies between the conformed EY drawings and the FA shop drawings. Many devices were revised without an addendum or CCD. Please respond to each line item.
Part 2. See attached Q&amp;A between Wilkinson Electric and AAA Fire on additional discrepancies or questions. Please respond to each line item.</t>
  </si>
  <si>
    <t>It appears that most of these devices were changes that should have been issued as part of Addendum #6 per clouding on sheets. |</t>
  </si>
  <si>
    <t>5th Floor Stair Tower Notch</t>
  </si>
  <si>
    <t>Please confirm that we can enlarge the notch in the top stair towers to 24” from the 18” specified in the drawings. This additional room is needed to allow for more space in the notch to make room for lighting arrestor some condensate line and a 1” conduit electrical line.</t>
  </si>
  <si>
    <t>Restroom Mirrors at Wall Tile Transition</t>
  </si>
  <si>
    <t>Please advise as to how the mirror is to be mounted on a tile to Drywall transition. Do we bring the mirror out to the tile level or take it back to the Drywall location and install tile transition peace’s where the tiles terminate into the Mirror?</t>
  </si>
  <si>
    <t>Annex mat footing waterstop 13/S210</t>
  </si>
  <si>
    <t xml:space="preserve">Reference S100, detail 13/S210 and attached spec for Sika Hydrotite 
We are having issues getting the specified self expanding 3/4"x 1" butyl strip waterstop (section 031000-2.2) to adhere to the vertical face of the existing mat footing. We have followed the manufacturers recommendations and fastened at 12" spacing and the product is drooping/sagging in the middle. The approved product that we submitted is SIKA swellstop.
Per discussions with Westland we were informed that the bottom row of waterstop is being replaced with an injectable product. The top row is still required. We have consulted with our supplier and the attached product called SIKA Hydrotite was recommended. This product has better adhesion qualities and will not sag and droop like the Swellstop product. Please confirm this will work at the annex mat footing. </t>
  </si>
  <si>
    <t>260573</t>
  </si>
  <si>
    <t>Revise Gear per Coordination Study</t>
  </si>
  <si>
    <t>See attached pages from coordination study review. Square D has notified us there will be a cost increase to change to larger frame breakers with LI trip units for those breakers listed in the recommendation table and to upgrade panel HE to an I-Line. These recommendations need to be followed in order to achieve the the required coordination. Is this how we should proceed? Please advise.</t>
  </si>
  <si>
    <t>Provide changes to meet the coordination study as required in the specifications.  Provide detailed break out of increased costs for approval. |</t>
  </si>
  <si>
    <t>273244</t>
  </si>
  <si>
    <t>Two-Way Communication System Monitoring Information</t>
  </si>
  <si>
    <t>We need to get the monitoring (phone #) information from the Church for the two-way communication system before this order can be put into production. This panel has to be programmed at the factory. See attached programming guide, page 7.</t>
  </si>
  <si>
    <t>Top of Column Joist Connection - Annex</t>
  </si>
  <si>
    <t>Please refer to the attached screenshot for the top of column connections for joists .  Is it possible to use a bolted cap plate as shown?  It appears this will still allow for the drag plates to be installed as designed.</t>
  </si>
  <si>
    <t>see response from ARW |  | Yes, assuming this is a picture of the bump up middle high roof area.  Detail 1/S230 should be used at the joist to column connections.</t>
  </si>
  <si>
    <t>P602, CCD-029</t>
  </si>
  <si>
    <t>Added RCP-2 in CCD-029</t>
  </si>
  <si>
    <t>CCD-029, sheet P602 added a new 120V recirculation pump RCP-2 but nothing from the electrical engineer is included. What panel and circuit # are we to use? And will it have a manual starter?</t>
  </si>
  <si>
    <t>4th Floor Lattice Truss I-beam Install</t>
  </si>
  <si>
    <t>In doing the layout for the I-beams that are going to be installed in the floor of the 4th floor. It was discovered that due to the cup in the floor the top flange of the I beam will be intersecting with the bolt on the lattice truss. Please advise.
I have attached some photos for reference.</t>
  </si>
  <si>
    <t>please see response from ARW | Please provide a new thru-bolt of same diameter as existing bolt below the existing bolt.  Once the new bolt is installed, remove the old bolt.  DO NOT oversize the new hole for the new bolt.  The new bolt must fit tight within the new hole.  Locate the new bolt so the new wide flange beam can be installed without interfering.</t>
  </si>
  <si>
    <t>M101, CCD#028R1</t>
  </si>
  <si>
    <t>CCD#028 R1-Missing CFM values</t>
  </si>
  <si>
    <t>Drawing M101, room 155 and 159 appear to be missing CFM values at the new grill locations.</t>
  </si>
  <si>
    <t>Please provide CFM values at new grilles.  See attached clouded drawing for clarification.</t>
  </si>
  <si>
    <t>Detail 10, ES501</t>
  </si>
  <si>
    <t>Concrete Light Pole Base</t>
  </si>
  <si>
    <t>Is Detail 10 on sheet ES501 correct? It shows 6'-6" of concrete base buried. The tallest pole we have is 12' and typically these details call for 4'-6" buried depth for a 15' pole and a 6'-6" buried depth would be good for a 30'-35' pole. Please confirm.</t>
  </si>
  <si>
    <t>please see response from ARW |  | These poles differ from the poles that the original foundation calculations were done.  With the maximum pole height of 12'-0"  as shown in the cut sheets, it will be acceptable to use a 4'-6" deep foundation.  The foundation diameter and reinforcing will be the same as specified in the current drawings.</t>
  </si>
  <si>
    <t>Room 219 wall framing</t>
  </si>
  <si>
    <t xml:space="preserve">Reference AD102 and AE142. Please advise what wall type is to be installed in Room 219. I have attached some drawings for reference. </t>
  </si>
  <si>
    <t>Suggestion: If the walls ends up being framed rather than plaster on stone, the floor boxes, wall sconces, and light switches would be able to be roughed in the wall framing rather than the stone walls.</t>
  </si>
  <si>
    <t>indeed providing a furred wall would allow the electrical items to be placed in the wall rather than the floor.  However, the remaining and historic door casings in the room do not allow for this room to be furred out.  meeting with plaster sub next week to visit the idea that the walls will need to be replaced as plaster on stone once again.  so for now we keep the floor boxes |</t>
  </si>
  <si>
    <t>Micropiles on Historical South Wall</t>
  </si>
  <si>
    <t>Do the duct penetrations on the South exterior wall as shown on sheet S100A need to have Micropiles and Needlebeams as shown in sheet S240 detail 9? Please advise.</t>
  </si>
  <si>
    <t>no.  openings are small enough and high enough that micropiles not needed.   see response from ARW | No.  Micropiles are not needed at those penetrations.</t>
  </si>
  <si>
    <t>CCD#29R1-P100</t>
  </si>
  <si>
    <t>CCD#29R1-Step Saver Piping-Water Softener System</t>
  </si>
  <si>
    <t>CCD#29R1, drawing P100 keynote 44 states step saver pipe connects to brine tank.  A 6" line, pink in color is indicated routed to cooling tower yard below finish grade at street level.  No mention of this piping or system is included in the narrative or shown on equipment schedule drawing P601.</t>
  </si>
  <si>
    <t>Please clarify if step savor piping and salt delivery system for brine tanks is desired.  If so, provide details, etc as needed to allow for pricing to be compiled.</t>
  </si>
  <si>
    <t>P113, P115</t>
  </si>
  <si>
    <t>Plumbing Fixture U-1 support carrier requirements</t>
  </si>
  <si>
    <t>Plumbing fixture urinal U-1 specifications requires that floor mount carriers be used to support the fixture at the wall.  At Historic Structure, existing wood subfloor and wall framing make installation of floor mount carriers difficult to secure rigidly.  See attached drawings indicating locations where this type of installation is shown.  Urinal carrier cut sheet is also attached for reference.  Is additional structural modifications necessary at these locations to allow for a correct carrier installation?</t>
  </si>
  <si>
    <t xml:space="preserve">Suggest allowing in-wall backing at these urinal fixture locations at Historic Structure and using a wall mounted carrier in lieu of a floor mount carrier.  This would eliminate the need for existing floor/wall modifications to secure floor mount carrier.  </t>
  </si>
  <si>
    <t>Instruction rm 208,209 Drape controls</t>
  </si>
  <si>
    <t>Can we get shop drawings for the motorized drapes in instruction rm 208 and 209? Drawing XE112 note 13 is telling us to get the location for drape control J box from the architect. see attached drawing</t>
  </si>
  <si>
    <t>this is a task for westland construction.  shop drawings will come from the sub that installs the drapery and motors. |  | This needs to be coordinated with the drapery installers.  They will control the location of the boxes for motor controls.</t>
  </si>
  <si>
    <t>CCD 047 Detail Clarification</t>
  </si>
  <si>
    <t>Please confirm the highlighted cloud on the attached drawing are typos as discussed between David Adams and Matt McBride on the site on 4/16/2020.  The details called out are on sheet S241 not S247.</t>
  </si>
  <si>
    <t>please see response from ARW | That is correct.  The highlighted details should read 1/S241.</t>
  </si>
  <si>
    <t>AD103, AD105, AE143, AE145</t>
  </si>
  <si>
    <t>Demolition Plan and Floor Plan Discrepancies</t>
  </si>
  <si>
    <t>The demolition plans show removal of plaster on 3rd and 5th floor in various areas but the floor plans do not show any new finishes. Please advise that that only plaster will be replacing any demolished plaster for walls designated as "EXISTING WALL TO REMAIN."</t>
  </si>
  <si>
    <t>LVL 3: Men/Women Instruction Rooms and Corridor Ceilings</t>
  </si>
  <si>
    <t>Men/Women Instruction Rooms on level 3 show ceilings to remain. These ceilings have been completely removed. Now that majority of duct-work is installed and we know that spacing will allow, please advise if it is acceptable to install 2" 18 ga stud joists for the hardlid ceilings ILO a suspended drywall grid system.</t>
  </si>
  <si>
    <t>LVL 5: Instruction Room Ceilings</t>
  </si>
  <si>
    <t>In the instruction rooms on level 5, now that majority of duct-work is installed and spacing will allow, please advise if it is acceptable to install 3-5/8" 20 ga stud joists ILO suspended drywall grid system.</t>
  </si>
  <si>
    <t>Level 2 Column Wrap</t>
  </si>
  <si>
    <t>Is it acceptable to change the support bract at the top of the steel jacket on the 2nd floor from 29” to 18”?
This question has arisen because the lower section of the bracket when installed at 29” is exposed at the bottom of the capital. When the bracket is installed at 18” it is enclosed in the capital. For reference I have attached a drawing provided by Fetzer’s.</t>
  </si>
  <si>
    <t>This is acceptable to use an 18" dimension.  We will include this revision in a forth coming CCD.</t>
  </si>
  <si>
    <t>CCD 047 Detail 11/S246</t>
  </si>
  <si>
    <t>11/S246 has been added to the drawings, but it is unclear where this detail occurs.  Please clarify</t>
  </si>
  <si>
    <t>See response from ARW. | CCD 045r1 was issued to Westland on 4/30/2020 | That detail was inadvertantly added into the CCD047 set.  It is now included with CCD45 and occurs where the steel beams for the east tower floors are connecting to the stone walls.  Please see CCD45 for more information.</t>
  </si>
  <si>
    <t>CCD 047 Barrel Ceiling Catwalk</t>
  </si>
  <si>
    <t>Please see the attached drawings regarding CCD 047 for the barrel ceiling catwalks being installed to allow for access above the barrel ceiling. Please advise accordingly</t>
  </si>
  <si>
    <t>please see response from ARW.  a forthcoming asi will provide more information for the access doors. | The highlighted note is correct. The intent with the new framing scheme was to completely remove from the project the existing beams that are NOT currently supporting the ceiling framing with 1x hanger pieces. Based on the current condition, it appears that approximately every other beam is NOT supporting the ceiling framing. Only the beams that are currently supporting the ceiling framing are to be replaced with the new LVL beams shown in the drawings.
We are unsure what the question is for the ladder access.</t>
  </si>
  <si>
    <t>Basement Capital Damage</t>
  </si>
  <si>
    <t>During the installation of the C channel in the basement there was some damage found on the capital top between grid lines HC and HB on the Northside of the building.
I have attached a marked-up photo and screen shot of sheet S102.</t>
  </si>
  <si>
    <t>See ARW's response  | It will be acceptable to install the stub column as currently detailed but to only install the anchor bolts closest to the stone wall.  The anchor bolt closest to the edge of the column capital can be omitted.  Provide solid grout as required between the base plate and the remaining portions of the capital.</t>
  </si>
  <si>
    <t>Purlin at Level 5 Elevator Infill</t>
  </si>
  <si>
    <t>Is it acceptable to use this as an alternative to the (2) 2x12 @ 16" o.c. called out on sheet S105. If so, this would provide the room for the conduit bank as called for on sheet EP105. then in the area North of the new Purlin can go back to the design if wanted.</t>
  </si>
  <si>
    <t>See response | please see response from ARW | The substitution request is acceptable to use the (4) LVL joist at the existing purlin location.  An addition (3) LVL joist will need to be installed against the existing wall.  Please use 2x6 T&amp;G decking across the new framing.</t>
  </si>
  <si>
    <t>North-West Baptistery Joists</t>
  </si>
  <si>
    <t>During the installation of the C channels it was discovered that alongside of the Historical beam there is a layer of Plaster, a piece of 1x material with a 2x4 ledger then the Joist resting on the 2x4. I have illustrated the condition in the attachment.</t>
  </si>
  <si>
    <t>See ARW's response  | Please install the channel beam tight to the underside of the bottom side of the 2x4 ledger.</t>
  </si>
  <si>
    <t>Level 5 Barrel Roof Access Doors</t>
  </si>
  <si>
    <t>Question Asked by Creg Norton via Email 4-21-20 @ 5:18 PM
1.     Are the doors to be centered
2.     Are the doors to be added to the north side
3.     If yes to 1 &amp; 2 plaster will need to be removed, and the doors opening cut in.
Response given by Scott Gilberg via Email 4-21-20 @ 5:58 PM
1.     Yes…..the design intent is that each of these access doors is centered within its own area. We will later provide a piece of art work that will be hung over the access panel as to hide the panel from view.
2.     Yes, the same is to happen to the north side. 
3.     It is understood that some plaster will need to be demo’d as some of the access/openings may need to be shifted to be centered and others will be new altogether.
Please confirm that the response above is correct. </t>
  </si>
  <si>
    <t>Recessed Kitchen Floor</t>
  </si>
  <si>
    <t>Is the concrete way slab at the tile floor area in the Kitchen to be recessed to receive the ceramic tile? Sheet AE146 calls out the Kitchen slab elevation to be 87’-0”.</t>
  </si>
  <si>
    <t>C.10, C.15</t>
  </si>
  <si>
    <t>Existing Waterline Electrolysis</t>
  </si>
  <si>
    <t>Finish Floor Elevations - Annex</t>
  </si>
  <si>
    <t>Currently the top of slab elevation for the Annex at level 1 is at 100'-0".  The flooring for the stairs is hardwood and is also at 100'-0" per the architectural drawings.  Please clarify whether the concrete slab is to be at 100'-0" - as the steel is currently in fabrication.</t>
  </si>
  <si>
    <t>A2/AE4125</t>
  </si>
  <si>
    <t>Casework Rm 148A off of instruction Rm 2, room 148 A2/AE4125</t>
  </si>
  <si>
    <t>A2/AE4125 I have always seen the casework in the room off the large sealing room to be paint grade casework to match paint grade trim in the instruction room.Currently this casework is Stain grade. Should this casework be paint grade?</t>
  </si>
  <si>
    <t>Masonry Lift Verification</t>
  </si>
  <si>
    <t xml:space="preserve">This RFI is to document a conversation between Carter and Zach.  They concluded that we can lay CMU block in 8' lifts so long as we still grout the masonry in 4' lifts. </t>
  </si>
  <si>
    <t>see response from arw | Grouting in lifts that are any higher than 5'-0" must follow the highlift grouting procedures noted in Structural Note M.11 and M.12</t>
  </si>
  <si>
    <t>Coordination Study Calculations</t>
  </si>
  <si>
    <t>The infinite bus method will need to be used. Is it acceptable to calculate from the HV transformer at the city substation or does the engineer prefer to calculate from the MV transformer at the site?</t>
  </si>
  <si>
    <t>Modified detail 1/S243</t>
  </si>
  <si>
    <t>See foundation step at grid A2 in the annex. Per contractor direction it was requested to modify detail 1/S243 and add form savers for the 24" mat slab north of the temple at elevation 90'. This would allow an extra 2 feet in elevation for the earthwork contractor to work with as they dig out the jacket walls at the exterior of the temple. Please review attached sketches of detail 1/S243 and confirm this is acceptable. </t>
  </si>
  <si>
    <t>see arw response | Mat slab reinforcing will remain at 12"o.c. |  | The proposed sketch is acceptable with exception to the form saver dowel spacings.  Please see attached sketch for a mark-up of the required dowel spacings. | See follow-up question from contractor  | With the form saver dowels being required at 9" o.c. spacing will that change the mat slab rebar spacing which is shown at 12" o.c. top and bottom on S100 and S100a noted between grids A1 and A2?</t>
  </si>
  <si>
    <t>P099, P110</t>
  </si>
  <si>
    <t>Level 0 Kitchen wall CO</t>
  </si>
  <si>
    <t xml:space="preserve">Drawing P099 and P110 indicates a 4" wall clean out rising up at south side of kitchen in what appears to be a 3 5/8 stud wall furr out at CMU wall near stair 1 in basement annex.  Due to the nature of these walls and size of vent/waste piping, please advise if a floor clean out is desired in this location.  </t>
  </si>
  <si>
    <t>Allow for a floor clean out in this location or provide a notch in the CMU wall/wider furr out for wall clean out to be installed.</t>
  </si>
  <si>
    <t>M411, M711</t>
  </si>
  <si>
    <t>Control Valves/Piping at Cooling Towers</t>
  </si>
  <si>
    <t>Please review attached drawings M411, M711 and HVAC automated control valve schedule submittal page 115.  Please clarify what the intended design is for the condenser return piping leaving the central plant chillers returning to the cooling towers.  Various pipe sizes/valve sizes are shown.</t>
  </si>
  <si>
    <t>Provide clarification of condenser piping sizing at cooling towers to allow for accurate CCD#28r1 pricing and final installation.</t>
  </si>
  <si>
    <t>P113</t>
  </si>
  <si>
    <t>4" waste pipe at level 3 Annex</t>
  </si>
  <si>
    <t>Drawing P113, southwest corner of building indicates a 4" waste/vent pipe routing up to level 4.  Please review attached drawings for clarification.</t>
  </si>
  <si>
    <t xml:space="preserve">Please advise if this 4" piping is serving part of the plumbing system of if it can be removed from the model.  </t>
  </si>
  <si>
    <t>M402</t>
  </si>
  <si>
    <t>Missing Soffit Detail for Mechanical Install</t>
  </si>
  <si>
    <t xml:space="preserve">Drawing M402, keynote 3 at spiral stair tower states to refer to architectural sheets for soffit detail.  No detail for can be found.  </t>
  </si>
  <si>
    <t>Please provide a soffit detail for the ductwork at the spiral stair towers.</t>
  </si>
  <si>
    <t>RE: RFI 164 Fountain Tile material</t>
  </si>
  <si>
    <t>RFI 164 addressed the 2 x 2 tile but we need the same information on the 6 x 6 tile?</t>
  </si>
  <si>
    <t>Structural Sleeves for Mechanical level 3 and 5</t>
  </si>
  <si>
    <t>Per job walk and conversation with structural engineer of record, please confirm the use of schedule 40 steel sleeves as acceptable for the 10" mechanical opening required at level 3, room 317/319 and the 18" mechanical opening at level 5 barrel ceiling.  Note that the openings are located below nearby joists.</t>
  </si>
  <si>
    <t>Confirm suggested sleeves and locations are acceptable as requested.</t>
  </si>
  <si>
    <t>Schedule 40 pipe is acceptable for use in the noted locations. |</t>
  </si>
  <si>
    <t>250000</t>
  </si>
  <si>
    <t>M sheets</t>
  </si>
  <si>
    <t>Wall HVAC Thermostat locations</t>
  </si>
  <si>
    <t>It has been requested to vertically align the HVAC thermostats above the room light switches.  May adjustable thermostats be lined up horizontally with light switches to meet ADA requirements?</t>
  </si>
  <si>
    <t>Please advise preferred orientation and placement of the HVAC Thermostat for both ADA and Non-ADA compliant areas.  Provide a detail indicating height and location preferred with light switch.</t>
  </si>
  <si>
    <t>Missing dowels annex grid AB/A2</t>
  </si>
  <si>
    <t>See attached sheet S100 and photo. By mistake we interrupted the south footing step detail at grid A2 in the annex to end at the CW4 wall at grid AB. There is a small 2-3 feet of #5 bar at 9" o.c. that we will need to drill and epoxy. Is detail 8/S210 acceptable at this location to add the missing dowels? 19" embedment. </t>
  </si>
  <si>
    <t>See response from ARW. |  | Drilling the dowels per 8/S210 is acceptable.</t>
  </si>
  <si>
    <t>Ceiling Joist Tie Wire</t>
  </si>
  <si>
    <t>Please confirm that per the attached email dated 4-28-2020 that it is acceptable to use attached the tie wire under the ceiling joist instead of attaching it to the joist with an eye bolt.</t>
  </si>
  <si>
    <t>See ARW's response  | The proposed attachment is acceptable.  Please use the same wire gauge and twist the wire a minimum of 4 twist-turns around the vertical wire as shown in detail 9/S246.  Please ensure that wires are tight when installed so to avoid movement and cracking of the plaster ceiling.</t>
  </si>
  <si>
    <t>Roof Drain Locations</t>
  </si>
  <si>
    <t>Would it be acceptable to install the roof drains in the location shown on the attached AE106 sheet? There are concerns that the roof cricket needed to get the slope for the roof drains as shown will rise the roofing material above the lowest portion of the battlements. In order to finish the roof drain piping we will need to get this answer back. This is applicable to the North and South sides on the East end of the roof.</t>
  </si>
  <si>
    <t>Roof Anchor Points</t>
  </si>
  <si>
    <t>The new roofing material is going to be 6” in depth. This will result in most of the existing roof anchor points being under the roof. For reference I have attached photos.
The manufacturer is looking for 12” exposed above the roofing membrane for warranty. This would result in the Anchor point being 18” above the roof structure and would allow for the proper roofing boot installation. Please advise</t>
  </si>
  <si>
    <t>Per discussion on site with Scott Gilberg and David Adams, CRSA will need to determine if existing davits need to be replaced or can be reused.  If new davits are required, the roof trusses will need to be checked for new davit loads and will likely need to be strengthened for the new loads.</t>
  </si>
  <si>
    <t>Brad Bartlett</t>
  </si>
  <si>
    <t>Broken Arrow Inc</t>
  </si>
  <si>
    <t>Roof Reinforcement for Lift</t>
  </si>
  <si>
    <t>The Roofer has mentioned the possible need for additional reinforcement to be installed on the North side of the roof. This is resulting from the weight of the existing movable lift along with any load it may be used for. The roof construction consists of:
1.     the roof structure, 
2.     6” of Insulation, 
3.     5/8” Densdeck, 
4.     roofing membrane. </t>
  </si>
  <si>
    <t>S.O. Cords to Roof Lights</t>
  </si>
  <si>
    <t>It has been discussed on site that the S.O. cords providing power for the roof lights may need to be replaced with something more substantial. I have attached photos of the present condition of the cords to illustrate the concern. </t>
  </si>
  <si>
    <t>Confirm Additional 2nd Floor C Channels</t>
  </si>
  <si>
    <t>Please confirm that per a site walk on 4-22-2020 the Owner wants the highlighted beams to get 2 channels as called out in Note 10 on this sheet.</t>
  </si>
  <si>
    <t>Confirm</t>
  </si>
  <si>
    <t>5th Hall Outlet Mounting Height</t>
  </si>
  <si>
    <t>On the 5th floor in the South Hall we can mount the Outlets at 17” and on the North we can get 18”. Please advise if this is acceptable or if we should install them all at 17”. The reason for this height constriction is due to a beam installed in the wall holding the entablature up on the 4th floor. I have attached a drawing showing the affected areas.</t>
  </si>
  <si>
    <t>SW5 shear wall concrete reveal clarification</t>
  </si>
  <si>
    <t>Reference sheets S254, AE203, AE146B, AE141A, AE142, AE143, AE144, AE145. Please answer the following questions so we can finish the formwork design for the west shear walls. 
1) AE146B- what is the bump out in wall at grid HH between H2 to H3? Location clouded on attachment.  
2) We assume the shear wall dimensions are typical from level 0.5 to roof being that there is not a slab and column plan beyond AE146B. Please confirm? 
3) S254 shows a 15" unreinforced reveal in from level 1 to roof at the SW5 shearwall along grid HH. We will need clear dimensions to be able to form and pour this if intended to be concrete. Please provide dimensions. Or is the intent to have this reveal and surround detail achieved with fur out framing and plaster? </t>
  </si>
  <si>
    <t>Plaster crown moldings</t>
  </si>
  <si>
    <t xml:space="preserve">(Crown moldings on pg. AE571 detail E1 and E2) The beam crown, that is now made of plaster, will it be solid or hollow?
Detail A1 on Pg. AE583 shows a the crown wrapping an existing beam.
Are there two different scenarios (real beam, false beam)?
If yes, I will need to make two different plaster molds to account for each.
If you could get me this information ASAP that would be great.
Thanks. </t>
  </si>
  <si>
    <t>C Channel Height Conflict</t>
  </si>
  <si>
    <t>On levels 3 and 5 in the East center room we have about 6” between the top of HVAC cut out and the bottom of floor joist above. Right now, we are using a 15” C Channel that won’t be able to fit in these locations. For reference I have taken some pictures of the locations effected.</t>
  </si>
  <si>
    <t>What size of electrical conduit will be stubbed out of the medallions for the lights?
I need to know the size so I can make a hole in the center.</t>
  </si>
  <si>
    <t>Stair tower Plaster base board</t>
  </si>
  <si>
    <t>Will you get me a profile and the dimensions of the base board molding that will be installed in the spiral stair towers? 
I need this information to create a plaster mold.</t>
  </si>
  <si>
    <t>Winding Stair Center Chase</t>
  </si>
  <si>
    <t>Bottom of south stair tower is concreted in.  Duct is 4’-7”; cylinder is 18”. Floor to concrete slab is 18”. Needs to go down to 4’-7” for roof drains. May be able to reroute roof drains another way? Slope for roof drains to get grade is the biggest concern. Dewatering systems and floor drains are under the slab… CLR asked Team to consider options for access. CLR also directed WCI to submit a RFI.</t>
  </si>
  <si>
    <t>We are seeking responses from both the Structural and Mechanical engineers on this issue with CRSA then sending it back.</t>
  </si>
  <si>
    <t>Chandelier Mounting Brackets</t>
  </si>
  <si>
    <t>Please provide a detail for the chandelier mounting bracket. The preexisting consisted of a carved wood block with a rope ran through it the toe nailed on to the 1X. When the new structure was being installed the framer pulled up on the block so he could run the tie wires and it was removed without much effort. </t>
  </si>
  <si>
    <t>Use details 15/S244 and 16/S244 for chandelier's that are supported from new steel studs.  For chandeliers that are supported from wood framing such as the chandeliers in the 4th floor, there are to be (3) new LVL's installed to support the chandeliers.  See sheet S106  and Roof Framing Note #2 for the support of the new LVL's.  The chandeliers and pully systems can be attached directly to the LVL's without the need for a plate unless specifically needed based on chandelier support requirements.</t>
  </si>
  <si>
    <t>Column interference at Ramp - Annex</t>
  </si>
  <si>
    <t>Currently there is a steel column interfering with the ramp that was added at the west wall near AH between A3 &amp; A4.  Please provide direction as to how these two items coordinate.  Currently GSW is planning to install the column with the rest of the Annex columns, but it appears the ramp is ready to be poured and this column may hold up progress.</t>
  </si>
  <si>
    <t>Annex Elevator Wall Heights</t>
  </si>
  <si>
    <t>Currently the elevator walls are shown terminating at 116'-6".  This will require the mason to notch the walls to allow beams / joists to run through.  Please confirm thi is the intent.  Also - as there is no positive connection to the roof decking, GSW has no embeds figured for this wall.  Please provide information if this is to be different.</t>
  </si>
  <si>
    <t>West Wall Beam Connections</t>
  </si>
  <si>
    <t>The detail called out for the west wall connections (3 beams) denotes a notched wall condition (ref 20/S220).  As this wall is already poured without notches - is it possible to utilize a connection similar to 17/S220 with a post applied flat plat in lieu of notching the wall?</t>
  </si>
  <si>
    <t>Foundation Wall Reinforcement</t>
  </si>
  <si>
    <t>In the Historical Foundation Wall Reinforcement submittal review it was noted on the returned submittal that;
“We did not review these drawings since there will be so many changes at the foundation jacket walls due to the recent discovery of the existing stone foundations.”
Please provide the design changes associated with this scope of work as it is holding up the shop drawings of the rebar. </t>
  </si>
  <si>
    <t>Column Footing</t>
  </si>
  <si>
    <t>In the submittal review it was noted on the returned submittal that;
“Due to recently discovered existing conditions of column footings, the detailing of the new foundation may be revised in order to accommodate existing conditions.”
Please provide the design changes associated with this scope of work as it is holding up the shop drawings of the rebar. </t>
  </si>
  <si>
    <t>Please confirm that per a conversation on site we are to add a catwalk on to the West end of the historic Level 4 Ceiling Access. This catwalk is to mirror the catwalk in the truss bay to the East.</t>
  </si>
  <si>
    <t>Catwalk Conformations</t>
  </si>
  <si>
    <t>Please confirm that per the site walk on 04-30-2020:
1.     We can wrap the Tie Wire around the LVL similarly to how it is installed around the Ceiling Joist. 
2.     We are able to raise the access door 4” from its present location making it 7’6” off the floor in the hall.
3.     We can install the latter accessing the Catwalk at the location where the latter rungs will clear the ceiling joist by 3/4” and tying in flush with the top of Catwalk.  </t>
  </si>
  <si>
    <t>Field Report 11</t>
  </si>
  <si>
    <t>Please confirm that we are to do the work as outlined in the attached ARW Field Report. It is anticipated that there will be added costs to get the activities listed below done.
 14-2 grout the joist pockets solid
14-3 new FRP wraps above all of the doors/ plaster be removed above all the remaining door locations
14-4 remove all loose stone
14-7 remove this chair rail and grout the created void solid
For reference I have attached the field report and Highlighted the additional work activities in yellow.</t>
  </si>
  <si>
    <t>Refer to upcoming CCD-26. | This was responded in CCD-26.  |</t>
  </si>
  <si>
    <t>This was part of a discussion at an on-site meeting last week with Fetzer's and has been answered. Please close out. |</t>
  </si>
  <si>
    <t>See attached image of Room 109 showing center of window dimension at 20'-4" above elevation 100.
The R.O. diameter size needs to be 2'-9 1/2". The diameter of the Annex high-bay windows itself are 2'-8 1/2". This provides an extra 1 inch for installation. The details would be similar to the details for the West stair tower on sheet AE651.  
3.	  The round windows are centered above the door in the waiting room and equally 
       spaced between pillars at 9'-3" spacing. (See attached image). |</t>
  </si>
  <si>
    <t>please provide a curb as in detail provided by contractor.  curb to be 4" tall and a 6" wide.</t>
  </si>
  <si>
    <t>Openings in ceiling framing will be shown in a forthcoming CCD. | See answer from ARW (Structural) | This response will be part of the upcoming CCD-37 R.2. |</t>
  </si>
  <si>
    <t>see response from VBFA. |  |  |</t>
  </si>
  <si>
    <t>Since the area well is not being used by VBFA it will need to be removed and filled-in with soil to be part of the landscape area.  |  |</t>
  </si>
  <si>
    <t>For the baptistry exhaust ductwork (fan system EF-0-01). provide the following:
   • Provide standard galvanized ductwork per specification 23 3113, section 3.12.A and section 3.12.G, item 1.
   • Provide duct liner per specification 23 3113, section 3.12.K, item 3. | See response from VBFA. |</t>
  </si>
  <si>
    <t>Making the width from 18" to 24" is acceptable. The new in-fill wall framing and plaster system shall match the existing historic curved wall plane.</t>
  </si>
  <si>
    <t>It is acceptable to calculate the fault current from the substation transformer. It is also acceptable to calculate from the service transformer on site if sufficient data from the substation transformer is not available. |</t>
  </si>
  <si>
    <t>CRSA has no preference to either of the options provided by ARW.  please proceed as requested by ARW. |  | As discussed with Carter Cluff, a new concrete pier will need to be added to provide a solid base for the column and the column will need to be shortened in order to place the ramp concrete as planned, or a blockout will need to be provided around the column base.  Either is acceptable to structural but should be coordinated with CRSA.  Please notify ARW if a new pier is requested so it can be detailed.</t>
  </si>
  <si>
    <t>see arw comment referencing a detail for concrete lids over the elevators shafts that are in question. |  | It was understood that a lid would be provided at the top of the walls at the elevator shafts.  See detail 9/S231.</t>
  </si>
  <si>
    <t>See attached response/ connection detail from ARW. |  | Please see attached sketch for beam to wall connections.</t>
  </si>
  <si>
    <t>Door Hardware questions per meeting with architect 4-28-20</t>
  </si>
  <si>
    <t>See attachments for list of questions</t>
  </si>
  <si>
    <t>M102</t>
  </si>
  <si>
    <t>HVAC ceiling conflicts at 219, 220 and 221</t>
  </si>
  <si>
    <t xml:space="preserve">Drawing M102, vestibules 220 and 221 are shown four 24"x12" ducts routed to four SWS-1 grilles located in instruction room 219.  It appears the ceiling at these locations does not allow for sufficient height to install as drawn.  See attached screen shots showing the conflict between ceiling heights, crown moldings and duct.  </t>
  </si>
  <si>
    <t>Please advise what means can be followed to install this duct as shown.  Possible duct size change?</t>
  </si>
  <si>
    <t>Existing South West Annex Wall</t>
  </si>
  <si>
    <t>The existing foundation wall on the South West corner of the Annex along grid A2 is 5" too far to the West. I attached a sketch that Scott, Chris, Carter and Judd talked about on Friday.
Please confirm we are to use the existing foundation wall layout and make the necessary changes to the precast to make it work. I also attached information on the precast panels.</t>
  </si>
  <si>
    <t>the existing foundation wall at the south corner at grid A2 is 5" further to the SOUTH than originally anticipated.  please proceed with foundation wall layout /design.  this will necessitate an additional 5" of length be added to pre-cast panel  'L' and a 5" reduction to panel 'E'.  Westlan/CRSA to coordinate these revisions with Forterra.</t>
  </si>
  <si>
    <t>4" Curb at Elevator &amp; Xypex Waterproofing</t>
  </si>
  <si>
    <t>Per the owner direction in the field please see the attached changes.
We added a 4" curb wall at the Annex elevator pit footing for waterproofing at rough surface.
Added Xypex to concrete around the annex basement existing mat slab elevator</t>
  </si>
  <si>
    <t>This is a confirming RFI to track the pricing for this field direction. Work has already been completed.</t>
  </si>
  <si>
    <t>Level 4 Ceiling Elevation at North and South Sides</t>
  </si>
  <si>
    <t>AE124 calls for the north and south ceiling elevations of level 4 to be at 17’ 3”. Per onsite conversation with CRSA, the ceiling will be lowered to accommodate mechanical and electrical rough in. See attached photo of existing conditions and advise what the ceiling height is to be. </t>
  </si>
  <si>
    <t>RCP01 Pump to Remain</t>
  </si>
  <si>
    <t>Note 18 on PD100 calls for existing RCP01 to remain. There is concern that when this pump comes back online the seals will be cracked and it will need to be rebuilt. The pumps existing condition already shows evidence of leakage. Please advise if we are to rebuild or replace. Also, please advise if it is acceptable to relocate to the floor slab per TFM request rather than to go back in the air.
Reference sheet MPD100 and M100. There is concern that the two existing CWP01 pumps and the existing CHWP-2 that are to remain will have cracked seals when they come back on line and will need to be rebuilt or replaced. Please advise if there is a preference or how you would like us to proceed.</t>
  </si>
  <si>
    <t>Level 5 Chandelier Layout</t>
  </si>
  <si>
    <t>Coming from east to west,
Bay 1: there is not one
Bay 2: 15 1/2" off edge of beam
Bay 3: 72 1/2" " "
Bay 4: 135 3/4" off edge of beam and 1 1/2" from the beam on the west side of bay
Bay 5: None
Bay 6: 53"
Bay 7: None
Bay 8: 9 1/2"
For reference I have marked up a drawing showing the locations of the Chandeliers in Red Circles and possible locations of (3) 1 ¼” x 9 ¼” LVLs in yellow blocks.</t>
  </si>
  <si>
    <t>please see response from arw | Provide (3) 1-3/4" x 9 1/4" LVL's at each chandelier support location that is not located directly below an existing wood truss.</t>
  </si>
  <si>
    <t>Furr out West Wall of Janitor Storage 004</t>
  </si>
  <si>
    <t>At the janitor’s closet in storage 004 the sink is called to be located against the west wall of that room which is an existing concrete wall. Should this wall be furred out to accommodate the plumbing for that sink? Furring out the wall would also help cover the existing wall, called to be painted, but which is unfinished condition. </t>
  </si>
  <si>
    <t>Levels 3 and 5 Restroom Sizing</t>
  </si>
  <si>
    <t>Please advise the size of the restrooms in the historical building on level 3 and 5. On Sheet AE143 it is calling out for the restrooms to be 10’. On Sheet AE145it is calling the restrooms as being 9’-6”. We need to know which one is correct or if we need a new size.</t>
  </si>
  <si>
    <t>Missing Sheet S204</t>
  </si>
  <si>
    <t>Detail 8/S241 references S204 which doesn’t exist. Please advise. Also, this same detail 8/S241 shows the micropile but is not clear on how they interact with the new concrete at the elevator slab. Please advise. </t>
  </si>
  <si>
    <t>Beam to Column Connection - Level 2 Historic</t>
  </si>
  <si>
    <t>At Grid HC between grids H3 &amp; H4 there is a new beam (W14x34) denoted.  There is no attachment detail for this beam as it connects to the central stone column at H4 (see attached sketch for clarification).  The North end of this beam attaches to a new HSS column per 17/S212 - please provide direction for the South end of the beam.</t>
  </si>
  <si>
    <t>LVL Floor Joist Header Fix</t>
  </si>
  <si>
    <t>We are trying to keep the job moving forward and I need a fix for the holes in almost every floor from past renovations. A possible fix we could use on all floors is to remove the existing header [2] 2x6 and hanger with a new LVL header and new hanger with a new LVL to extend across the existing framed out opening.
We would also like to have a common fix for all broken joist in the building to sister an LVL alongside at our discretion. I need this answer fast.
For Clarification I have attached an example of what we are thinking of doing.</t>
  </si>
  <si>
    <t>SA dampers serving projector rooms</t>
  </si>
  <si>
    <t>Drawing M102, stair lobby 201, is shown to install three (3) 10"x4" supply ducts serving three (3) projector rooms.  Keynote #8 indicates to balance these locations at 100cfm each.  The ducts are medium pressure with manual volume dampers.  See attached drawing detail for clarification.  Please advise if installing manual dampers at these locations is correct or if the manual dampers are to be control dampers with flow rings or VAV's in order to maintain the 100cfm.</t>
  </si>
  <si>
    <t>Due to AHU constant volume and variable CFM flow, please advise if 100CFM is the desired level of balance for each outlet.  If so, clarify if the manual damper is sufficient to control CFM requirement or if control damper/VAV is necessary.</t>
  </si>
  <si>
    <t>Framing Support for Exhaust Fans</t>
  </si>
  <si>
    <t>Reference sheet M106A, AE106. Please advise if there is any framing support required for exhaust fans EF5-01 and EF5-02 on the Historic roof. There does not appear to be a detail in the structural drawings requiring any framing support at this location.</t>
  </si>
  <si>
    <t>Confirming RFI following Scott Hardy site visit 04/30</t>
  </si>
  <si>
    <t>Time Since Created</t>
  </si>
  <si>
    <t>The response to this RFI is part of an upcoming CCD-57.</t>
  </si>
  <si>
    <t>See responses from ARW and VBFA along with the attachments. | Please implement mechanical option 2, install the 22/16 duct. | See attached sketch. |  | Please advise which or the two option for the HVAC we are to impalement?</t>
  </si>
  <si>
    <t>Envision Engineering has specified the door/bell system to be provided by DIV 26 contractor complete.  Colors/Finishes would need to be approved by architect/interiors.  | See comments from GHID.  |  |</t>
  </si>
  <si>
    <t>See response from VBFA. This will be in the upcoming CCD-52. |  |  |</t>
  </si>
  <si>
    <t>due to some pending design changes.......this question my become irrelevant.  soda line likely no longer needed | this information will be provided in a forthcoming ccd |  | im going to leave it open until we know for sure it is irrelevant</t>
  </si>
  <si>
    <t>The new bump-outs at the Hallways are to be wood framed. Match the width of the existing truss and depth of the bump-out on the opposite side so that they are consistent and equal. See the door schedule on sheet AE602 for opening sizes.  |</t>
  </si>
  <si>
    <t>See ASI-021 showing revised column dimensions. |</t>
  </si>
  <si>
    <t>The Cove material in these areas are gypsum board. | This cove to be provided as a curved gyp board assembly or as GFRG.  We are open to discuss the options and weigh the pro's and con's of each.  my opinion is this ought to be constructed from GFRG. |  | I just added another attachment because maybe it was unclear. What material is the curved molding?</t>
  </si>
  <si>
    <t>Please follow the code plans. Fire rated walls are only applicable where indicated on the code review plans. Wall type 76 is to be constructed the same way shown per wall type detail even if it is not considered a 2-hour fire rated wall. |</t>
  </si>
  <si>
    <t>these items to be resolved in a forthcoming ccd. |</t>
  </si>
  <si>
    <t>MGB+A Response: We prefer to stick with the original design approach from the contract documents. However, the provided alternative option of switching to the 375AST does have some merit. Please provide complete cost break down that shows the cost for alternate backflow enclosure and possible credit. We will need the cost comparison information before we can provide further recommendations. MGB+A: Brandon Ruiz 4-3-2020 | MGB+A Response: Thank you for providing pricing for the RFI 359. We will not be selecting this option at this time. Please continue with the backflow and related equipment and installation as provided in the plan drawings. 
MGB+A: Brandon Ruiz 5-8-2020 |  |</t>
  </si>
  <si>
    <t>This beam is required per the drawings.  Please coordinate and route mechanical elements below this beam. |  |</t>
  </si>
  <si>
    <t>See response from VBFA. |</t>
  </si>
  <si>
    <t>Those rooms will have local toggle switch and be routed through relay per plans.  Details will be updated in CCD-044 |  |</t>
  </si>
  <si>
    <t>The general size and form of the fountain is acceptable and in line with the intent of the drawings.  See attached for comments regarding the beehive pinnacle and mulberry leaf detail. |  |</t>
  </si>
  <si>
    <t>See response from ARW. | IN this particular instance............the duct (or the block out) can not be moved at all.  this duct goes up into the marriage waiting chapel above where the duct grille has been carefully located to center it directly between columns in the room and centered under the circular window above.  structural is working up  options to relocate that beam and embed.  again the duct block out can not move. | See CCD-45R.1 for response. | In general, the blockouts need to be no closer than 12" horizontally to any beam embed plate.  As for how close a duct block out can be to an embed plate in the vertical direction; there are too many variables for this to provide a general number.  This vertical dimension depends too much on the size of the opening, the amount of load being supported by the embed plate, thickness of the wall, etc.  The vertical dimension will need to be reviewed on a case by case basis. | Can you provide a vertical dimension for the duct at the specific location given in the attached drawing? | Please provide detail mentioned by Scott Gilberg.</t>
  </si>
  <si>
    <t>We take no issue structurally with the use of this product provided that the architect and waterproofing consultant is okay with it. | The waterproofing methods described/suggested were approved and used prior to the mat footing being poured. |</t>
  </si>
  <si>
    <t>this is still an item for the sub-contractor and contractor to gather from the TFM.  need to set up a meeting? | We would like that phone number to be "155". Thanks.  |  |</t>
  </si>
  <si>
    <t>Mechanical will coordinate with electrical and a CCD will be issued. | RCP-2 is a new pump to replace the existing pump.  We have been told that the pump will be the same voltage and load as the existing pump.  We suggest re-using the existing circuit and wire feeding the existing pump and matching or re-using controls that are in place on the existing pump if they are in good condition.  If in poor condition replace with new to match existing.</t>
  </si>
  <si>
    <t>See added CFM values from VBFA. |  |</t>
  </si>
  <si>
    <t>please see response from VBFA-spencer | Please see the attached pdf "RFI_398_CCD_29R1-Step Saver Piping-Water Softener System_VBFA" for the updated RFI response.
Brian Oswald, VBFA
30-Apr-2020 | See Response from VBFA. |  |  | Please provide further information regarding the Step Saver salt delivery system to include model, specifications, etc. to allow correct estimation of costs and installation requirements.</t>
  </si>
  <si>
    <t>This is part of upcoming CCD -58.  |</t>
  </si>
  <si>
    <t>2" stud joists are not acceptable. Provide suspended gyp. bd. ceiling system per drawings and specifications. Additional information regarding replacement of the  demo items will be part of the upcoming CCD-58. Please coordinate accordingly. | after further discussion with structural engineer we are not comfortable with a 2" or even a 2-1/2" stud spanning across these spaces and performing very well.  Please provide the suspended gyp system as called for. |  | I phrased my question wrong. It would not be 2" 18 ga, it would be 2-1/2" 18 ga. The reason we are requesting approval to use studs instead of a suspended hardlid with wires is because studs will ensure a level ceiling from corner-to-corner. Suspended wire ceiling have a tendency to create warranty issues (cracking). We are willing to use 2-1/2" 16 ga studs if necessary because we know they will provide a cleaner finish and require less maintenance down the road. Please advise.</t>
  </si>
  <si>
    <t>Our drawings indicate that these rooms are already specified as 3-5/8" framed ceilings. Please install as specified.
In the future RFI's need to be directed to Westland first. All RFI's are to be reviewed by the Westland team before forwarded to the Architect. |</t>
  </si>
  <si>
    <t>the response given is correct.</t>
  </si>
  <si>
    <t>this information to be provided in a forth coming ccd</t>
  </si>
  <si>
    <t>Correct. top of slab, main level for annex is at 100'-0". and the stair area receiving wood should also be at 100'-0". please coordinate this with Westland crew. this information has been provided in great detail in an earlier RFI. | because we are using a wood flooring system that is only 3/4" thick and is directly glued to the concrete slab.........we are providing the 100'-0" mark as TOP OF SLAB.  This 'benchmark' needs to be applied throughout project for consistency.  The only areas to see a 2" drop will be the sloped tile areas of restrooms.  Even then, the bottom of concrete/metal deck shall be at the same height as areas adjacent.
perhaps this needs to be discussed in a 15 minute meeting on site?? | This is a different location so we just wanted a confirmation on the elevations.  We have attached a marked up drawings showing what we are looking at.</t>
  </si>
  <si>
    <t>All Casework and trim in room 148a to be paint grade. Please remove any reference to stain grade.  GHID |  |</t>
  </si>
  <si>
    <t>See upcoming CCD 054.2 for clarification  |</t>
  </si>
  <si>
    <t>Please change the pipe sizing per the attached document "condenser schematic M711 edit VBF". |</t>
  </si>
  <si>
    <t>The 6"x 6" Tile will manufactured from the following source:
Artistic Abode Tile Studio
Christine Davidson
541-350-2727
16887 Covina Rd, Bend, OR 97707-2080
artisticabode@gmail.com
An image of the mock-up the manufacturer has created is attached, however, final design and colors need to be approved prior to ordering.</t>
  </si>
  <si>
    <t>Please see sheet GA001 with all of the t-stats changed to be located above the light switches. The t-stats are a sensor type only and do not require adjustment and therefore do not need ADA access. The t-stats should be located 12" above the light switches center-to-center. | Agree, align T-stat 12" above switches.  |</t>
  </si>
  <si>
    <t>Hey Dave,
Did you mean to send this RFI to structural?  I know you like keeping us on our toes with a bazillion rfi’s but this seems like more of an architectural and mechanical question. 😊😊 | Dave,
The location you are proposing will not work and conflicts with mechanical units that are part of an upcoming CCD. We recommend keeping the roof drains per the location on the construction drawings. Please see the attached image of the current model showing the roof lower than the embattlements. Please verify if and if still a problem we need to know where the discrepancy may be. | per further discussion and review with mech engineers and GC, it has been determined that the locations of the existing roof drains can also be the location of the new roof drains.  OF course an over flow drain will need to be added to each location.  This also means that the roof cricketing can remain as currently configured.  this will require careful coordination between the drain lines and the fan coil units that are just below the roof in this area.  also keep in mind the can lights and sprinkler lines below.   | WOW... I was positive that I had the Mechanical Engineer. Sorry for the confusion.</t>
  </si>
  <si>
    <t>see response from ARW. | Please see notes made on the detail section of the roof assembly.  this detail is acceptable, but needs to be extended to the roof ridge, as to avoid a 3/4" lip under the membrane where the plywood is terminated. | As discussed on site, wood framing can be added in the layer of the insulation and additional sheathing can be included below the dens deck to help spread the load from the lift.  When the new equipment is determined and the loads are known, this can be reviewed to come up with the best solution. | Please update the response to note the system will be installed as;
1.    Roof Structure 
2.    6”Insulation
3.    5/8”Dens Deck
4.    ¾” Fire Treated Plywood (only on the North side of roof)
5.    Roofing Material</t>
  </si>
  <si>
    <t>We agree the SO cords need to be replaced.
Per site visit discussion last week with Scott Hardy, we recommend stubbing conduit through the roof at each of the three light fixture rack locations on each side of the tower, to avoid having conduit or cords sitting directly on roof. Provide outdoor rated flexible conduit suitable for site location to properly protect wiring.
Confirm that any damaged or improperly supported roof mounted lighting is fixed and supports reconstructed as needed, prior to re-install.</t>
  </si>
  <si>
    <t>Please install outlets at consistent heights, which appears to be 17"</t>
  </si>
  <si>
    <t>due to some construct-ability the millwork (crowns and other details on box beams) will need to be constructed from GFRG.  This would be one location in the historic building where plaster crown molding is NOT used. |</t>
  </si>
  <si>
    <t>this issue should be resolved in CCD 37R.2 -should be issued today or Monday, May 11th. | Refer to detail 6/S240. | This was reviewed with David Adams on site and a new detail will be prepared and included in a forthcoming CCD for this condition.</t>
  </si>
  <si>
    <t>See CCD-049 per ARW's comment below. | Information will be included in CCD049</t>
  </si>
  <si>
    <t>See CCD 049 for revised columns. | Information for these columns will be issued in CCD049.</t>
  </si>
  <si>
    <t>confirmed.  please provide catwalk as described.</t>
  </si>
  <si>
    <t>Please see ARW's response regarding items #1 and #3.
Item-#2 - access doors to be provided as shown in detail A5/AE556.  install each access panel centered in each bay.  please provide head heights at 7'6" above finished floor. | ARW's can confirm items #1 and #3.</t>
  </si>
  <si>
    <t>please proceed as instructed by ARW.   | The items listed in our report are our professional recommendations for the owner to consider and implement into the project.  Costs associated with those items should be addressed with the owner.  If there are concerns then we are happy to have a conversation with the team.  
Item 14-3 is an area where we are looking at alternatives to the FRP.  We would recommend holding off on that specific item until a firm direction is determined.</t>
  </si>
  <si>
    <t>Sawcut the opening to accommodate the design duct size. Angle the sawcut to accommodate the larger grille.  See CCD37R.2 detail 6/S240 for structural support. |  |</t>
  </si>
  <si>
    <t>work done is duly noted.</t>
  </si>
  <si>
    <t>No furring, this will be clarified in CCD 054 |</t>
  </si>
  <si>
    <t>per on site discussion it has been decided that 9'-6" restrooms located on the 5th floor is the desired dimension for the 5th and 3rd floor restrooms.  in a forthcoming CCD the 3rd level restrooms will be revised to reflect the 9'-6" dimension.</t>
  </si>
  <si>
    <t>The reference to sheet S204 is incorrect and should reference detail 1/S242.  This correction has been made in CCD49.
The micropile interfaces with the concrete slab through a cap.  Please provide a pile cap per the attached detail.  This will be incorporated into the drawings in a forthcoming CCD. | See ARW's response</t>
  </si>
  <si>
    <t>Please provide an L8"x8" bearing seat that is welded to the steel collar wrapping the tops of the stone column.  See attached for a sketch of that detail.  This detail will be included in CCD37-R.2. |</t>
  </si>
  <si>
    <t>See response from ARW. | See attached for infill framing and for framing at new openings in joist.  For joist that are broken, please remove broken joist and replace with a new LVL joist that matches the depth of the existing joist.  If removal of the joist is not possible then it is acceptable to sister the new LVL joist to the existing joist.</t>
  </si>
  <si>
    <t>Please install manual balancing dampers with remote actuation similar to Ruskin model ZPD. VAVs or other flow measurement devices are not required.</t>
  </si>
  <si>
    <t>See response from ARW. | Provide 2x6 below the roof on each side of the exhaust fan.  The 2x6 on the east and west sides of the exhaust fan can run between purlins and be connected to the purlins with a Simpson U26 hanger. |</t>
  </si>
  <si>
    <t>Attached is a list of confirming items resulting from the site visit on 4/30 with Scott Hardy.</t>
  </si>
  <si>
    <t>See attached document with responses to questions document. | We are requesting night lights be installed throughout the building. We have several departments (Facilities, Security, Custodial, and Laundry) who access the building in the late evening, throughout the night, and early morning when the temple is closed. Most of our departments come in at different intervals, with one of them expected to work throughout the entire night. There is a need for these areas to be continuously lighted during this time for those required to accomplish their work without having to turn the main lights on and off continuously. Our recommendation is to install these night lights strategically throughout the building. This would help us provide a safer and more efficient way of accomplishing their essential work.  |  | Brian,
Attached is the RFI Jason talked to you about regarding the night lighting. Please advise as to what your night lighting needs are.</t>
  </si>
  <si>
    <t>Ground lights at stairs</t>
  </si>
  <si>
    <t>Please provide a detail for the exterior lights at the stairs on the North/East corner of the Addition. Please reference the attached drawing showing the location.</t>
  </si>
  <si>
    <t>Existing parking lot lights</t>
  </si>
  <si>
    <t>The existing parking lot lights are 1ph. 480V. diversified over 3 circuits (A-B, B-C, C-A), this would need to be a 3-pole breaker, these circuits will work for the parking lot lights. However, they are on a single pole relay we will either need to add a 3-pole relay or a 3-pole lighting contractor with the coil being powered thru the relay designated. The new lights on temple side of street which are 277V. would need to be powered by a different circuit and relay Please Advise.</t>
  </si>
  <si>
    <t>Superplasticizer dosage</t>
  </si>
  <si>
    <t>In reviewing the concrete walls onsite with Matt with ARW on 5/7 we would like to have the option to add a full dose of super instead of a half dose that we had previously submitted. Please confirm discussion that we are ok to increase to a full dose to get our slump to a 9" if needed in walls. Submittal attached for reference.</t>
  </si>
  <si>
    <t>EIFS Shapes</t>
  </si>
  <si>
    <t>Will you send me some dimensions on these foam shapes for the battlement parapet detail D1, Roof parapet detail D3, and Parapet detail A1 on page AE508</t>
  </si>
  <si>
    <t>The intention of these profiles/ details for the west addition is for the Contractor to field verified and to match the existing battlements and buttress of the historic building. A profile template will need to be made that best matches the majority due to any variations between elements. |</t>
  </si>
  <si>
    <t>Transom Windows above doors Lvl's 3 and 5</t>
  </si>
  <si>
    <t>Confirm glass transoms will be built the same way as existing transoms with individual panes of glass and glazing putty to hold glass in place. Glass and glazing putty is by the glass vendor. Current windows the wood window mullion protrudes from the face of the glass on the hallway side by 1/4" and glazing putty is holding the  glass in place.  See photos</t>
  </si>
  <si>
    <t>New glass transoms shall be constructed similar to existing historic ones with 6 individual panes of glass (true divided lite). New transoms are to have wood in lieu of putty, existing shall remain putty.  |</t>
  </si>
  <si>
    <t>WF310</t>
  </si>
  <si>
    <t>Fountain Piping into Mechanical Rooms</t>
  </si>
  <si>
    <t>Sheet WF310 shows the water feature piping for the East Fountain running through the area wells on the east side of the annex into the equipment room (see attached). The General Contractor has informed us that the water feature piping cannot run through the area wells. Please provide us with direction how this piping is to be routed.
Additionally, please provide us with elevations for the penetrations for this piping into the annex for both fountains, so we can coordinate with the concrete contractor to have them provide rebar windows in the concrete for our penetrations. Also, please provide elevations for the piping at both fountains.</t>
  </si>
  <si>
    <t>Please see the attachments and responses below. |</t>
  </si>
  <si>
    <t>Elevator rough opening west tower room 053</t>
  </si>
  <si>
    <t>Reference G/S304 and AE4018
1)The structural plans show one big opening for the double elevator. The architectural plans show 2 openings for the plan. Please provide direction?
2) Please confirm that we are to use detail 3/S222 to reinforce the headers above the openings at this location. No beam call out required. 
3) Please confirm the jamb columns at this location are to follow 1/S201.</t>
  </si>
  <si>
    <t>The center wall dividing the elevator shaft will be a metal framed wall not concrete.  See also attached response from ARW. |  |</t>
  </si>
  <si>
    <t>Dimension clarification grid A1 shearwall</t>
  </si>
  <si>
    <t>Reference AE146, AE147, S102, C/S301
Please see questions marked on attached sheets. 
1) Clarify east dimension of grid A1 shear wall
2) Clarify C/S301 east portion of shear wall appears to be labeled incorrectly. From level 100 above and east of grid AB we should have precast not cast in place concrete. Reference AP101. 
3) Clarify west dimension of grid A1 shear wall. See AE146, AE147, S102 and C/S301</t>
  </si>
  <si>
    <t>Leak Detector at Chiller Room</t>
  </si>
  <si>
    <t>At Mechanical Room 035, the leak detection for the chillers is not functioning anymore and will need to be replaced as part of the requirements for start up on the chillers. Please advise if we are to provide a new leak detector and provide specifications for what is wanted. </t>
  </si>
  <si>
    <t>Please provide a price to replace the refrigerant leak detector. |</t>
  </si>
  <si>
    <t>Annex Stair Materials / Configuration</t>
  </si>
  <si>
    <t>Current Details in the architectural sheets refer us to the structural drawings in reference to structural sizing of stringers / treads at Annex stairs (ref details AE509 &amp; AE510).  There are no materials given on any structural sheets to our knowledge.  We are assuming C12x20.7 stringers with 12 Ga Bent Plate Treads.  Please confirm this will be acceptable (see sketch for configuration).</t>
  </si>
  <si>
    <t>These stairs are listed as a deferred submittal in Structural Note W.3.b.  However, we would anticipate a C12x20.7 stringer and 12 ga stair pan to be sufficient.   |</t>
  </si>
  <si>
    <t>All M.E.P. Layout</t>
  </si>
  <si>
    <t>Would you please provide a location for all the M.E.P. (Walls, Ceiling and Floors where applicable) that is not addressed in RFIs 456 - Level 5 Chandelier Layout and 309 - Room Layout Consistency. This RFI has arisen out of a concern for the finish layouts for the trims and the gold leafing associated with the rooms. Please provide the rough dimensions from rough framing to rough framing.</t>
  </si>
  <si>
    <t>Exception for MC cable</t>
  </si>
  <si>
    <t>Can we be allowed an exception to run MC cable(10 to 15') at several locations on level 5 (see attachment ) there is a structural beam preventing us from running conduit.</t>
  </si>
  <si>
    <t>MC cable is acceptable for those locations. |</t>
  </si>
  <si>
    <t>Waterproofing on West &amp; North Existing Annex Walls</t>
  </si>
  <si>
    <t>Would you like us to waterproof the West and North existing Annex walls down to the bottom of the mat footing? Please advise.</t>
  </si>
  <si>
    <t>Yes, the intent is to waterproof the exterior side of the existing west and north walls.  In the bid set drawings there are some references calling for the waterproofing of the north wall, while it appears there is not such for the west.  Please provide the water proofing along all portions of the west wall until reaching the existing mech room, where the new waterproofing will tie into the waterproofing of the existing mech room.  Please follow the waterproofing details provided on Sheet AE502.</t>
  </si>
  <si>
    <t>Wood Truss Coordination - Steel</t>
  </si>
  <si>
    <t>In the Historic Temple - Level 4 Truss Framing - we are attempting to coordinate the detail shown on 2/S240 which requires "straps" to be placed at 16" centers on the wood columns.  The wood truss interferes with this spacing and the lattice won't allow for this to happen as designed.  Please advise.</t>
  </si>
  <si>
    <t>It is acceptable to only install the straps at the locations between the lattice members so they don't interfere with those members.  Please do not cut any lattice or truss members for installation of those straps. |</t>
  </si>
  <si>
    <t>relocate Data conduits historic roof</t>
  </si>
  <si>
    <t xml:space="preserve">Confirming RFI that as per Scott Gilberg 5/14/2020 we are to relocate data conduits on the historic roof south toward peek to allow access for window washing jib (see attachment) </t>
  </si>
  <si>
    <t>this proposal is acceptable and confirms an onsite decision regarding such |</t>
  </si>
  <si>
    <t>Exterior tower lights at historic roof</t>
  </si>
  <si>
    <t>Follow up to envision engineering comments on RFI 432, we suggest a 1.5" rigid post at each corner of the light structure to support kickers off of rather than off of stone walls 10' away like currently done (they have fallen free and are attached to nothing now) we feel this will be more permanent and less likely to be damaged by roof traffic.</t>
  </si>
  <si>
    <t>The proposed mounting described sounds good, but please send us a drawing (preferred) or sketch (acceptable) for review.
David Tibbitts
Envision Engineering | This RFI is outside the scope of ARW's work.  If structural guidance is needed, we are happy to help, but this direction needs to be given to us through CRSA. | Is the intent to penetrate the roof with the mounting/support structure and power feed? If so, can the roof penetrations be made permanently water-tight? Our concern is that these fixture mounting structures will move in the wind and weather, and this could lead to the seal failing and water coming in through the penetrations.
David Tibbitts
Envision Engineering |  |</t>
  </si>
  <si>
    <t>CCD 54.1 Dimensions</t>
  </si>
  <si>
    <t>CCD 54.1 shifts a column to the North from its original position. Please provide the dimension this column is to shift (see sketch). Thank you. This is along Grid AD and South of A7.</t>
  </si>
  <si>
    <t>This column shifted North 5' - 8 1/2". See attached AE146 for revised dimension, center of column is 6'-0" South of GRID A7 | CRSA will need to provide this new column location.</t>
  </si>
  <si>
    <t>CCD 54.1 Connections</t>
  </si>
  <si>
    <t>The beams that connect to the new beam added in CCD54.1 have already been fabricated for a column connection.  The typical notched connection would result in new beams being made.  Is it possible to provide an extended shear tab type connection for these (2) beams (they are the W16x50 and W14x22 running East &amp; West -see sketch for recommendation).</t>
  </si>
  <si>
    <t>See attached for an acceptable connection. |</t>
  </si>
  <si>
    <t>Foundation Break Near A1</t>
  </si>
  <si>
    <t>We would like to pour a portion of the mat footing to be able to install the wall on grid A1 before the needle beam assembly installation. See the attached detail for clarification. Please advise on the minimum distance from the wall this mat footing break can occur.</t>
  </si>
  <si>
    <t>Please keep a minimum distance of 12" away from shear wall.  The mat slab bars that cross this construction joint will need to be fully developed either by a lap splice or using form saver dowels.</t>
  </si>
  <si>
    <t>CC1 columns and intake well dimensions at grid A2</t>
  </si>
  <si>
    <t>1)Reference RFI 452. With the existing south annex wall along grid A2 being approximately 5" south of grid A2 the north/south dimensions to the 24" CC1 columns will need to be adjusted. Please provide direction
2) The CW2 intake well walls between grid A1 and A2 and west of grid AF have a relief vent (RL3) that is 100" wide by 96" tall. With the existing wall being around 5" south of grid A2 do the wall dimensions need to be adjusted or shift to fit? The CB-4 beams and horizontal wall rebar shown on S100B will need to be adjusted to match the required dimensions if necessary. </t>
  </si>
  <si>
    <t>The CC1 column must stay the same size so the location of the column will need to shift the 5" in order to maintain the same size.  The size of the intake well must stay the same also so it will need to shift as noted by CRSA.  The CB4 beam rebar should not be affected by this shift since the size of the area well is to remain the same. | See responses below |</t>
  </si>
  <si>
    <t>Roof Stucco Repair</t>
  </si>
  <si>
    <t>Please advise if the attached detail will be adequate for repairing the sections of plaster that have been removed during the abatement process on the roof.</t>
  </si>
  <si>
    <t>this approach and proposal is acceptable</t>
  </si>
  <si>
    <t>Roof Kicker Stone Wall Interference</t>
  </si>
  <si>
    <t>Please confirm is it acceptable to install 3-2x12 adjacent to the existing stone walls that are landing Just off set from center of the top battlement? This condition occurs at 2 locations 1 on the North and 1 on the South.</t>
  </si>
  <si>
    <t>This is acceptable.  Please rotate the kicker brace slightly so that it connects in the center of the stone battlement.</t>
  </si>
  <si>
    <t>Site sidewalk/paving sealer spec</t>
  </si>
  <si>
    <t>It is being requested that we seal the sidewalks due to concerns that the aphids are falling from the pecan trees and staining the concrete. What sealer does the owner/design team want used on the sidewalks? The specification in division 03 3010, 03 3000, and 321313 do not have a specific product listed. The product we submitted on in submittal 323213.01 is Spec Chem 25 UV Cure and Seal. The cure we submitted on is WR Meadows 1100 and has already been applied and is taking some time for the membrane to break down so it would have to be stripped to be sealed earlier than we anticipated. Please advise on how we should proceed and what sealer we should procure and submit on.</t>
  </si>
  <si>
    <t>Confirm Roof Termination</t>
  </si>
  <si>
    <t>Please confirm that the roof can be terminated as shown in the attached drawing and that we are to replace the 1”x1” with a pressure treated 2x12.</t>
  </si>
  <si>
    <t>this approach is acceptable and confirms the decision had on site.</t>
  </si>
  <si>
    <t>5th Floor Ceilings</t>
  </si>
  <si>
    <t>Currently, the existing furring and plaster are at roughly 9'-3" high. This is what the finished ceiling height is called out as on the reflected ceiling plan. We won't be able to attach the bottom screw on our track because of how far off the wall the plaster furring is. We recommend wood ledgers be added above the furring wall to allow us to attach our track. Please advise.</t>
  </si>
  <si>
    <t>Next time you or Mike are out I would like to review this question with you. It just seems a little open ended. What I mean by that is what floors are you referring to level 5 or throughout the project? | I'll have Mike Yaksick get with you on it.</t>
  </si>
  <si>
    <t>glass at transom doors 208, 209, 210</t>
  </si>
  <si>
    <t>Will the glass at the transom in these doors be obscured glass. These door are to the instruction rooms and have the camera above the headers? If glass is obscured there should be no need for  inset panels and trim in the radius jamb since this will not be seen.</t>
  </si>
  <si>
    <t>will you please advise if it is 201 or 210? | Yes, the glass will most likely be opaque. 
Correct there is No need for inset panels and trim in the radius head jambs. | Door 208 209 210</t>
  </si>
  <si>
    <t>Addition Basement wall Demensions</t>
  </si>
  <si>
    <t>Could we be provided with wall dimensions for Electrical Rm. 040 (see attachment)</t>
  </si>
  <si>
    <t>See revised AE140 will requested dimensions |</t>
  </si>
  <si>
    <t>Priesthood room speakers</t>
  </si>
  <si>
    <t>Historic bottom of jacket wall clarification</t>
  </si>
  <si>
    <t>Please verify the following from meeting held with Westland, CRSA (Scott), ARW (Zach) and Innovative on 5/26/20:
1) North interior jacket wall section 1/S243- interior side bottom elevation of jacket at sloped slab was discussed at being at elevation 89'-6". 18" below top of sloped slab. This was determined based on RFI 182 which clarified the top of slope slab to be at elevation 91'-0". With the top of needle beam being at elevation 90'-0" the top of sloped slab at elevation 91'-0" the detail does not scale to reflect these elevations. Please verify bottom of wall elevation and if sloped slab elevation from RFI 182 need to be adjusted based on the new details in CCD 49.  
2) East interior jacket wall detail 4/S247 clarify if top of sloped slab remains at elevation 91'-0" and bottom of jacket wall at elevation 89'-6" 
3) South interior jacket wall detail 1/S241 please clarify if top of sloped slab remains at elevation 91'-0" and bottom of jacket wall at 89'-6" 
4) West interior jacket wall typical detail 1/S242 it was discussed that the bottom of the jacket wall be at elevation 86'-0" being that the top of the W12x96 needle beam is at elevation 87'-0" and the 12" interior mat slab bottom elevation is 86"-0". Confirm this is correct assumption. 
5) West interior jacket wall detail 5/S249 detail shows a sloped slab. As discussed no sloped slab on west side. Please confirm. 
6) West jacket wall detail 2/S242 at the mechanical tunnel the bottom of jacket wall will be at the top of the 24" mat footing. Please clarify this elevation and intent.</t>
  </si>
  <si>
    <t>1.      The top of the sloped slab at the north wall is to be approximately 88’-6”. The top of the needle beams can be adjusted to a higher elevation than 90’ in order to avoid cutting large amounts of stone foundation. This has been discussed with Westland regarding the needle beam elevations.
2.      Top of the sloped slab at east wall is to be approximately 88’-6”.
3.      Top of the sloped slab at south wall is to be approximately 88’-6”
4.      Needle beam locations can be adjusted similar to response #1 above. Bottom of jacket wall will be at elevation 86’-0”.
5.      The detail call out 5/S249 is incorrect and should read 3/S249. This change has been issued in CCD 49-R.1 There is no sloped slab on the west side.
6.      Please refer to CRSA for FFE of the the 24” mat slab. | We take no exception to that Judd.  Thanks |  | Based on this direction we will anticipate the bottom of interior jacket walls to be at elevation 87'-0" (18" below sloped slab elevations provided) at south, east and north. At the west the elevation of 86'-0" is noted.</t>
  </si>
  <si>
    <t>Embed Depth into Addition Mat Slab</t>
  </si>
  <si>
    <t>I thought the Inspector was going to be good with the email, but it looks like he wants to see Detail 6 on Sheet S210 updated to say 8”.</t>
  </si>
  <si>
    <t>See attached for revised detail.</t>
  </si>
  <si>
    <t>3rd Floor Instruction Room, Restroom, and Corridor Ceilings</t>
  </si>
  <si>
    <t>Per conversation between Mike Yaksick, Pete King Superintendent, David Adams, and Scott Gilberg in the field, please confirm it is acceptable to use 2-1/2" structural studs with 6" structural stud stiff back to strengthen the hard-lid ceilings in the 3rd floor instruction rooms.</t>
  </si>
  <si>
    <t>Please provide spacing of the 2-1/2" studs as well as spacing of the 6" stiff back studs so the structural capacities can be determined. |</t>
  </si>
  <si>
    <t>Pipe and Equipment Locations</t>
  </si>
  <si>
    <t>Please confirm that per conversation between Jason Fullmer and Brian Oswald of VBFA the fountain pumps can be located along the North wall as shown in the clouded area of the attachment.</t>
  </si>
  <si>
    <t>Rob Stratton</t>
  </si>
  <si>
    <t>Cypress Tress around the visitor center</t>
  </si>
  <si>
    <t xml:space="preserve">It appears the the cypress tress are suffering from dust mites and spider mites.   The arborist  got a sample for testing, but we propose that the trees get treated asap.  We can preform the work at a T/M rate and get it done tomorrow.  The trees have sufficient water but we dont want to see them get past the salvage point. They also have excessive dead needles that need to be cleaned out on the interior of the tree that would take around 4-5 hours to clean up. Please advise on how we should proceed. 
Thanks </t>
  </si>
  <si>
    <t>FSD requirements at level 2 instruction room A-3</t>
  </si>
  <si>
    <t xml:space="preserve">Drawing M102, gridline HF at H2 and H4, there are two (2) 18x7 / 14 x 14 return ducts that appear to exit a 1 hour rated wall that do not show any fire smoke dampers.  </t>
  </si>
  <si>
    <t>Please advise if fire smoke dampers are required at these locations, see attached drawings for clarifications.</t>
  </si>
  <si>
    <t>P111, P110</t>
  </si>
  <si>
    <t>Annex level 1, RR 182</t>
  </si>
  <si>
    <t xml:space="preserve">Drawing P111, Restroom 182 indicates a WC-3 fixture to be installed.  This WC-3 is a floor mounted water closet.  The concrete walls below in the basement conflict with the waste piping that would serve this fixture.  See attached drawings for clarification.  </t>
  </si>
  <si>
    <t>Suggestions:  #1- installing a wall mount WC-3 fixture and providing a chase behind fixture for access to waste piping.  
#2- shift the restroom south wall 4.5" to allow the waste line to shift the same amount and be clear of the basement concrete wall.</t>
  </si>
  <si>
    <t>Session Clocks</t>
  </si>
  <si>
    <t xml:space="preserve">Session clocks require a 4" sq 3" deep back box Room 518 shows this clock at an existing stone wall, can we relocate it to a frame wall? Rooms 317 and 319 also are showing session clocks in stone walls there doesn't appear to be any frame walls they could relocate to so we are asking permission to recess a 3" deep box in the wall of both rooms. (see attachments)  </t>
  </si>
  <si>
    <t>Generator Pad</t>
  </si>
  <si>
    <t>Please confirm we can extend the existing Generator Pad (Shown in Drawing) to accommodate new Generator?
New Generator weighs 5300 LB. Will the existing suspended slab support this added weight?
We need to core 2- 4" holes 1- 2.5" hole 1- 2" hole and 3- 1.5" holes (approximate locations given in attachment) Under the Generator. is this going to be acceptable?
Please see the attached drawing for what is required at the generator pad.</t>
  </si>
  <si>
    <t>It is okay to install the new generator in the location of the old with the added 2+ feet of 4" thick housekeeping pad.  Scan slab to insure rebar is not cut during coring. |</t>
  </si>
  <si>
    <t>Ceiling Layout CCD 19 vs ASI 10</t>
  </si>
  <si>
    <t>Please confirm if CCD 19 supersedes ASI 10 in relation to the ceiling layout, and confirm the medallions in the hallways goes away.</t>
  </si>
  <si>
    <t>Yes, CCD-19 does supersede ASI-10. No medallions only decorative light fixtures.</t>
  </si>
  <si>
    <t>East Center Rooms Beam Locations</t>
  </si>
  <si>
    <t>As discussed on site between David Adams and Zach Hansen:
1.    Please provide the locations for the wide flange beams in the clouded areas as shown on the attached drawings.
2.      Please provide the design and layout for the new ceiling that is going to be installed as the 5th floor ceiling.</t>
  </si>
  <si>
    <t>S244 Detail 4</t>
  </si>
  <si>
    <t>Epoxy for Detail 4/S244</t>
  </si>
  <si>
    <t>On Friday when David Adams, David Rockwell and Zack and where told to use the Hilti RE 500 because that is what was used in the pull test. It has since come to our attention that the RE 500 is to thin to be used with the tubes or socks that normally would keep the epoxy in place. Something to consider is that the pull tests where done using 8” holes (not a very likely to find voids) and we have 16” embedment in some locations (Likely to find Voids). The Hilti rep has said the RE 500 will not work in the screen tubes because it will run out of the tube. Please advise if the 270 was tested or that you want us to use the RE 500 without the screen tubes as designed. In our experience with this project there are voids in the walls and the screen tubes should be used with the 270. This would be a General detail for all anchors in stone walls from here on out. </t>
  </si>
  <si>
    <t>Our understanding is that HY 270 is an acrylic type of adhesive.  In previous testing it was discovered that the acrylic based adhesives did not create an adequate bond with the sand stone and pulled out of the wall at very low load magnitudes.  Based on this, HY 270 is not approved for this application.   Simpson SET XP epoxy is also an approved adhesive for this application.  Our understanding is that this epoxy can be used with screen tubes we recommend considering using this epoxy if screen tubes can be used.  If it is still desired to use Hilti RE 500 V3 and if voids are being discovered in the wall making it difficult to get epoxy in the holes, then please contact the Hilti representative and see if they have any recommendations on materials that could be placed in the hole to prevent the epoxy from spreading through the voids.</t>
  </si>
  <si>
    <t>Level 4 Base Replacement</t>
  </si>
  <si>
    <t>Please advise if the sections of base shown in the attached picture are to be filled in, or if the base in the general assembly room needs to be replaced throughout.</t>
  </si>
  <si>
    <t>Joist Support at Stairs to Tower</t>
  </si>
  <si>
    <t>When preparing for the removal of the winding stairs accessing the tower. Please confirm that per an onsite conversation between David Adams and Brent White that it is acceptable to install an LVL 2X12 to carry the joists that have been ran short for the stairs. For reference I have included a photo of the current condition.</t>
  </si>
  <si>
    <t>Use an LVL 1.75"x11.875". Attach end of LVL to minimum (3) full length floor joists with Simpson H6 anchors, (1) at each of (3) floor joists. Attach end of LVL temporary support member to stone wall similar to detail 4/S244.</t>
  </si>
  <si>
    <t>Infill West Side on HF.2</t>
  </si>
  <si>
    <t>Please advise if the concrete headers and transitions need to be removed and poured back as shown in detail 10 on sheet S240. For reference I have attached a photo of the current condition. </t>
  </si>
  <si>
    <t>Refer to elevation A/S303. | If the existing headers need to be cut or modified to create room for new openings, then they can must be removed.  Otherwise, they can remain in the wall and infilled around as necessary.   | Sheet S303 doesn’t address the concrete headers from past remodels. This RFI is resulting from a request from Zach given to Dion that we are to remove all the concrete headers. In the attachment I have clouded the existing concrete that is in question.</t>
  </si>
  <si>
    <t>Anchoring Audience Seating</t>
  </si>
  <si>
    <t>Please see the attached photo showing the separations between the planks making up the second level of wood flooring. This has come up as a concern due to the lag screw attachment of the audience seating to the floor. Please advise if additional backing is needed under the floor for the audience seating to anchor to. </t>
  </si>
  <si>
    <t>Provide 2x flat blocking where needed to provide solid attachment of lag screws.</t>
  </si>
  <si>
    <t>Center Room East-side I-beam Install</t>
  </si>
  <si>
    <t>In the center room on the east side of the temple it shows the new I beam being installed just after the bottom stair. Please advise if this is the case or if we should move it back to the shirt of the stairs. If it is moved back the joint in the flooring would be hidden under the base board for the shirt whereas if we install it as shown there will be a joint in the flooring tying the new to the old.</t>
  </si>
  <si>
    <t>Move beam under the stairs. | See response from ARW.
Move beam under wall of stair platform so the new wood floor runs continuous and to cover joint(s). Provide additional backing at edges as needed to support the new wood floor planks. |</t>
  </si>
  <si>
    <t>conduit and Floor boxes recessed in pan deck concert slab</t>
  </si>
  <si>
    <t>Can we recess conduit and floor boxes in pan deck slab as long as we follow and adhere to paramiters of Spec. Division 26 part 3 .3 O (see attachment from spec.)</t>
  </si>
  <si>
    <t>Conduit may not be placed in the slab. Conduit must run above or below the slab on metal deck. Conduit may penetrate thru the slab but shall be spaced  at 3D or 4" Min, whichever governs.  Floor boxes must be placed above or below the slab on metal deck. If an individual floor box must be placed within the slab, that floor box location must be verified by the Structural Engineer on an individual basis. |</t>
  </si>
  <si>
    <t>Chandelier supports at LVL'S</t>
  </si>
  <si>
    <t>Attached is a detail of how we propose supporting chandelier from LVL. If lvl is to close to existing joist we will bridge the gap with a block of lumber and install thru bolt thru joist, block and LVL with unistrut "L" on either side with allthreed hanging the box below as shown in detail. (see attachment)</t>
  </si>
  <si>
    <t>The force that the connections have to be able to support is an arresting force of 2500 lbs.  See sketch for required LVL to clip connection.  Clips and rods are to be provided by others and are required to be able to support the 2500 lbs arresting force. |</t>
  </si>
  <si>
    <t>260533</t>
  </si>
  <si>
    <t>EP101</t>
  </si>
  <si>
    <t>Poke-Thru's and Floor Boxes</t>
  </si>
  <si>
    <t>On the main level of the annex most of the poke-thru devices will need to be changed to floor boxes because there is no access underneath. these include:
Matron Office 120	(1) P1 poke-thru to a B1 floor box
Waiting 115				(2) P1-L poke-thru's to B1-L floor boxes
Youth 176				(1) P1 poke-thru to a B1 floor box
Waiting 109				(4) P1-L poke-thru's to B1-L floor boxes
Please advise if this is ok.
Also, that leaves only two rooms with poke-thru's: Office 117 and Interview 104. Should we change these to be floor boxes to match the others or keep them as poke-thru's?</t>
  </si>
  <si>
    <t>If areas where poke-thru is called for have no access from below, change to floor box that will match the device requirements specified. |</t>
  </si>
  <si>
    <t>Historic column dowel embedment detail 1/S248</t>
  </si>
  <si>
    <t>See 1/S248. 
1) Please provide the embedment depth of the #3 rebar dowel epoxied into column
2) Detail 6/S240 was superceded in CCD 49 with the new column wrap detail on sheet S248. On 6/S240 there was only 1 row of #3 dowels at the top of the column wrap but on detail 1/S248 it shows 2 additional rows. In our submittal 03 3200. 05.01 we asked the question if only 2 dowels were needed each face. It was marked by engineer as ok. Please confirm this is acceptable so we can have documented for the special inspector. </t>
  </si>
  <si>
    <t>1)  Detail 1/S248 shows a horizontal dowel leg length of 16" so in order to fit in the concrete collar wall provide 12" embedment into the stone column.
2)  Please use the dowel reinforcing as shown in the shop drawings with 2 dowels on each face. |</t>
  </si>
  <si>
    <t>5th Floor Chandelier Supports</t>
  </si>
  <si>
    <t>Please advise as to the reinforcement that is to be installed for the Chandeliers on the North and South side of the 5th floor in the historical building.</t>
  </si>
  <si>
    <t>Non-Square Rooms Level 5</t>
  </si>
  <si>
    <t>Please confirm that the level 5 rooms are known to be out of square per the attached email.</t>
  </si>
  <si>
    <t>Elevator 1 - Service Elevator
Door and Frame to be stainless steel
Cab is all Stainless Steel - No Millwork
Elevator 2 - Annex Patron Elevator
Door are Gunderlin Medium Oxide Bronze, Frames are Factory painted White
Cab is to be covered in Millwork, Provide Factory painted White cabs
Elevator 3 &amp; 4 - West Tower Elevators
Door are Gunderlin Medium Oxide Bronze, Frames are Factory painted White
Cab is to be covered in Millwork, Provide Factory painted White cabs
Elevator 5 - Historic Elevator
Door are Gunderlin Medium Oxide Bronze, Frames are Factory painted White
Cab is to be covered in Millwork, Provide Factory painted White cabs
Additional information will be clarified in CCD 057 - Elevator Cab Updates</t>
  </si>
  <si>
    <t>Preliminary points list sent from Envision to Brian Chandler and Korey Talbot for review and comment.  Please let us know if additional questions or discussions are needed.  It is recommended that Temple facilities managers provide final points based on their use of the project. | This RFI should be directed to the TFM (Brian Chandler). | This RFI should be directed to the TFM Team (Brian Chandler). Thanks | Is there something you need me working on on this? It looks like it is my court for some reason
Trask Johnson 
Project Superintendant
952 East Venture Dr.
St. George, UT 84790
(435) 632-0917 Cell
(435) 673-9641 Office
  trask@wilkinsonelectric.com 
  www.wilkinsonelectric.com | Attached is the Temple Points List that we have reviewed and approved to be implemented into the schedule of inputs. Thanks. |  | Camron, Has this been forwarded to the TFM team (Brian Chandler)? |</t>
  </si>
  <si>
    <t>Please do not scale drawings for medallion sizes.  all medallions are tagged with a type and radius dimension on respective enlarged plans, elevations and RCP's.  the majority of these sheets are found in the 4,000 series.  each is referenced from the floor plans.   A soon coming CCD will clarify that all medallions in the annex are to be constructed of GFRG and the medallions in the historic building are to be constructed from plaster.   | 
Upcoming CCD will also modify some locations and quantities of medallions | See CCD 019  |</t>
  </si>
  <si>
    <t>Please field measure when you are on site.</t>
  </si>
  <si>
    <t>The tasks listed will need to have final owner review and approval prior to starting work. 400 S work is still being determined in the plans as well as the actual ownership documentation. Please stand by for additional information and direction.  | Pricing has been forwarded to Church PM. Please standby for additional direction. | Owner has denied tree removal
Has been completed by other parties
Has been completed by other parties |  | Attached please find the pricing proposal for the Arborist to perform the cabling of the Mulberry tree #57, per item #3 in this RFI. | Please provide an update when it is given by the Owner.</t>
  </si>
  <si>
    <t>Please advise if the existing water line between the water meter and the mechanical room should be exposed to verify no electrolysis existing. If electrolysis is found should be replaced and corrected.
For Clarity I (David) have attached a photo showing the line in question. It is titled RFI - 413 EXISTING WATERLINE ELECTROLYSIS.</t>
  </si>
  <si>
    <t>Please refer to CCD 070 for this detail which was sent out on 7.7.20.  Thanks |</t>
  </si>
  <si>
    <t>This bump out is to match the Historic East and West Facades. Field Verify the dimensions for accuracy
Correct, there is no slab and column plan beyond AE146B. Shear wall should be 15" up to Level 2, then it can transition to 12" for Level 2-Roof
Dimensions of this section of the SW5 Shearwall between buttresses should match the existing Historic West Facade. See attached images. Field Verify these dimensions for accuracy.
Per continued Discussion, above Level 1 we can transition to Foam and stucco for the reveal on the 12" cast-in-place wall. It was indicated that the arch above Level 5 window would be easier to accomplish in Foam rather than concrete. Level 1 is to remain a concrete wall.  |</t>
  </si>
  <si>
    <t>Based on what can be seen visually below the stair tower, it appears that the referenced concrete slab is actually a footing for the newer wood columns and beams that were placed below the stair towers.  It appears that these were placed to help support the stair towers and prevent any further settlement.  If it is necessary to cut this slab to install the roof drains, then new footings and support framing for the stair tower will be required in this basement area.  Please advise what direction will be taken. | we have attached an Additional Document for your consideration regarding this RFI.  | Please see the attached diagrams and responses that were a part of RFI #204. This seems to be referencing similar issues.  | please see attached detail from ARW in RFI #204 | Our understanding is that the 4'-7" excavation under the stair tower is due to the roof drain routing.  This was discussed with Westland and VBFA while on site 5/28/2020 and it was determined that the roof drain routing could be accomplished in a way that did not require the slabs below the stairs to be removed. | Please confirm and verify pipe sizing and invert elevation? The attached was discussed with the design team onsite last week after shooting the elevations with Bob and Cobe.  | See response from the Structural and Mechanical engineers. |  |  | RFI 204 is regarding the structure of the stair tower and the conflict with it when trying to run the Mechanical system up the center chase as shown on the drawings. RFI 440 referencing the duct that is 18” (20” with insulation) and the floor to top of concrete is 18”. Along with the roof drains that come through this area at 4’-7” below concrete. They are related in they are both related to the winding stair tower, but they are asking to different questions. | ARWs response is not addressing the 4' 7" excavation under the stair tower that must pass through the concrete slab below. If we excavate this as shown on sheet P110A it could undermine the center support of the winding stairs.</t>
  </si>
  <si>
    <t>Catwalk on West of Historic</t>
  </si>
  <si>
    <t>Information regarding the ceiling changes for this area will be part of upcoming 
CCD-51. | Please disregard comment for CCD-051. This is actually addressed in CCD-058.</t>
  </si>
  <si>
    <t>New locations (1’-0” North of the Stair Wall) were coordinated with CRSA. Revised location will be issued in future CCD. | These changes were issued as part of CCD-044R1 on sheet ES202. |  | Please provide the CCD #. 
Thanks.</t>
  </si>
  <si>
    <t>We will adjust the circuits for the street lights and the control relay to be 3-pole in CCD-044.  The relay is currently on LCP-A2B-13. We will split it up over LCP-A2B-13, 14, 15. | Revised plans will be issued as part of CCD-044r2. |</t>
  </si>
  <si>
    <t>East Edge of Shear wall aligns with Grid AB
Correct - Above 100'-0" East of Grid AB is a Precast Panel
Level 0 - West Edge of Shear wall is 4'-6" west of Grid AE
	  Level 1 - West Edge of Shear wall is 6" west of Grid AE | See CCD49-R.1 for an adjusted wall elevation C/S301.  Refer to the architect for dimensional information of the wall extents.</t>
  </si>
  <si>
    <t>See Comment from  Melissa Fryer. |</t>
  </si>
  <si>
    <t>I have forwarded a copy of the RFI to Brian Anderson with Water Design. They are the one's that designed the fountain equipment. I copied you on the email so that you can be part of the conversation. Water Design will need to approve the moving of their designed equipment.</t>
  </si>
  <si>
    <t>Brian Oswald</t>
  </si>
  <si>
    <t>VBFA INC CONSULTING ENGINEERS</t>
  </si>
  <si>
    <t>Relocate session clock in Room 518 to a frame wall where the clock is conveniently viewable and to where a cable can be run. 
Session clocks in rooms 317 and 319 are essential, and we have been given permission to cut backboxes for these clocks into the stone wall. 
JiLu Feng
Envision Engineering |  |</t>
  </si>
  <si>
    <t>These sections are to be filled in. See upcoming CCD-058 for extend of patch and repair. | We will be replacing damaged sections from Mitered corner to Mitered corner where baseboard was cut out for the old heaters. Kyle is currently working on a Revision to CCD 058 (future release) that will show the extent of the work. See attached redline for design intent. | CCD- 058 does not address this question. Please advise?</t>
  </si>
  <si>
    <t>Based on information we received, the lights in these rooms weigh 30lbs.  These lights can be supported from the existing roof purlins.  If the existing purlins are not in the correct location for support, the light support can be attached to a double 2x6 block that spans between two purlins and is attached to the purlins with face mount hangers with a min. capacity of 250lbs.</t>
  </si>
  <si>
    <t>It is understood that these rooms are not square. The intent is to leave the historic walls as-is and not attempt to square up the rooms.</t>
  </si>
  <si>
    <t>Communication conduit from Main MDF to Visitor Center</t>
  </si>
  <si>
    <t>The conduit route shown on ES101 goes thru the protected tree root systems, Is there an alternate route we should use and if so would pull boxes need to be added? Please advise (see attachment)</t>
  </si>
  <si>
    <t>Is this something you can reroute then change it on the as-builts, or is there a note saying the lines have to be installed exactly as shown on the plans? | Alternate routing of conduits on site is allowed.  Additional pull boxes may be required depending on routing.  
Route on site as needed to avoid issues.  Keep path as straight as possible.  270 degree of bends between pull boxes maximum. | Proposed alternate routing is acceptable. Keep total number of bends between pull points to a minimum. No more than 270 degrees total. |  | Attached is our proposed route for communication conduits between MDF and the visitor center, it will require only one J box near the visitor center greatly reducing the risk of water flooding into the Annex basement thru conduit. 
Please confirm this routing is acceptable, if not provide an alternate route showing the locations of the Junction Boxes.</t>
  </si>
  <si>
    <t>Wood Stairs</t>
  </si>
  <si>
    <t>E4/AE510 calls for cove mold at stair tread to be paint grade. D2/AE510 calls for the same cove mold to be stained hardwood trim. Which is correct? Typically the cove mold is the same material as the tread.</t>
  </si>
  <si>
    <t>What is the wood finish of the stair tread? Is this to match the same species as the handrail, African Mahogany or is it to match the flooring in the building? If it is to match the flooring what is the flooring material to be and finish. </t>
  </si>
  <si>
    <t>The wood species is still to be determined by the client. This will be added to a future ASI. |</t>
  </si>
  <si>
    <t>Wood Stairs Sample</t>
  </si>
  <si>
    <t>Provide a finish sample for the handrail so we can submit a sample. Provide a finish sample of the wood treads if it is different than the handrail.</t>
  </si>
  <si>
    <t>This is a RFI to the GC. Clarify if wood stairs intermediate landings sub floor and wood flooring is by the flooring contractor. Currently our bid does not include any flooring or sub floor and this would apply to the intermediate stair landings at wood stairs.</t>
  </si>
  <si>
    <t>you are going to be responsible of the stairs only. The flooring contractor will take on the intermediate landings.</t>
  </si>
  <si>
    <t>Building codes requires guard rail to be 42”” minimum from top of guard rail to finish floor. Current window guard rail height scales 34”.  Clarify if we are to follow code or set guard rail height as shown in architectural elevations.</t>
  </si>
  <si>
    <t>M604, M100</t>
  </si>
  <si>
    <t>VAV sizing concerns</t>
  </si>
  <si>
    <t>Drawing M100, VAV labeled V-0-11 indicates a total of 985 CFMs between all associated supply registers.  Drawing M604 indicates a 6" box with 410 CFM max.  It would appear this box needs to be a 12" in size to accommodate the CFM requirement.
VAV labeled V-0-19 indicates a total of 380 CFMs between all associated supply registers.  Drawing M604 indicates a 6" box.  It would appear that this box should be an 8" to accommodate the CFM requirement.</t>
  </si>
  <si>
    <t>Please advise if the VAV box sizes are correct.  See attached marked up drawings for clarification.</t>
  </si>
  <si>
    <t> Detail D2/AE510 and Detail A6/AE510. Current building code calls for 4” diameter sphere shall not pass between balusters, meaning the opening must be smaller than 4”, 3- 15/16”will work.  Currently detail D2/AE510 shows 4- 3/8” sphere above the handrail and the true dimension of the space between balusters above the handrail is  4-3/4” on a 12” tread. Detail A6/AE510 shows a 4” sphere passing between the balusters and passing thru the guard rail and the top of handrail. This is not how I understand the code. My understanding is if at any time the 4” portion of the sphere pass thru the balusters the stair does not meet code. 
Stair treads depths vary depending on the physical field conditions of the job site and depth and rise of a stair also have strict guidelines. Current design of most stair treads for this project is 12” If at any time a tread is greater than 12” the 4” sphere will pass thru the lower portion of the balusters below the hand rail.
I have always seen 3 balusters per tread when building a wood stair case on a commercial level. This solves the code issue of space between balusters. Please clarify the understanding of the code and will 2 balusters be acceptable </t>
  </si>
  <si>
    <t>add 3 balusters per tread</t>
  </si>
  <si>
    <t>per our review of the code and the attached drawing, we believe our design to be compliant.  3 balusters per tread will add substantial cost and be detrimental to the design.  if we feel we are too close to non-compliance, the next best option is to add 1/16" in diameter to each of the balusters.  that will close each gap by 1/8".  with that said we prefer to keep everything in the design 'as is' until we are certain a change is needed.  perhaps a small mock-up of 2 or 3 treads with balusters is the best way to review this. |</t>
  </si>
  <si>
    <t>M100B, GI200B</t>
  </si>
  <si>
    <t>Missing FSD's at Level 0.5</t>
  </si>
  <si>
    <t xml:space="preserve">Drawing M100B, GI200B attached, appears there exists 1 hour rated shafts that have sheetmetal duct routing through the shafts with no shown Fire Smoke Dampers.  </t>
  </si>
  <si>
    <t>Please review the attached drawings and advise if FSDs are required in these locations.</t>
  </si>
  <si>
    <t>CCD 35's Impacts on Ceilings</t>
  </si>
  <si>
    <t>Hall 044 in the Annex was extended in CCD 35 but the ceiling and lighting layouts were not updated.</t>
  </si>
  <si>
    <t>Provide direction on how you would like these laid out.</t>
  </si>
  <si>
    <t>This was also recently noticed by CRSA and has been updated. It will be released along with other basement changes in CCD 054. Extend the Ceiling, Crown, and add a 3rd decorative fixture.</t>
  </si>
  <si>
    <t>C.5 / LL100 / LL510 / LL511 / LL512 / LL513</t>
  </si>
  <si>
    <t>400 South Site Fence</t>
  </si>
  <si>
    <t>Per Sheet C.5 – Demo Plan Temple Block (attached), Note D07 directs contractor to “Refer to Landscape Plans for removal and relocation of fence”. Referring to the Landscape Drawings notated above, there are new site fencing details however, there is no direction on the extent of the fence demo scope – specifically the removal of existing metal fencing, precast panels, gates, and step footings. Please confirm that the existing metal fencing, precast panels, gates, and footings are to be demolished and disposed of. Please provide direction regarding the extent of this demo/replacement; i.e. is it the complete fence from corner of 200 East to corner of 300 East? The current C.5 plan illustrates just (1) PRCAST PANEL HIGHLIGHTED WITH Note D07, Should this be typical for all precast site wall panels on 400 South? Should the Demo include the metal fencing and gates as well? Costs are anticipated with this work. Please advise.</t>
  </si>
  <si>
    <t>See layout sheets LL101 and LL102 for callouts identifying which fence panels and precast panels are to remain and where new sections are to be provided.  This is also shown in the fence elevations on LL512.</t>
  </si>
  <si>
    <t>C.5 / LL100</t>
  </si>
  <si>
    <t>500 South and 200 East Site Fence/Gates</t>
  </si>
  <si>
    <t>Per Sheet C.5 – Demo Plan Temple Block (attached), Note D07 directs contractor to “Refer to Landscape Plans for removal and relocation of fence”. Sheet LL100 (attached) appears to show intent for work associated with the existing fence/gate but has no callouts or direction. Is it intended to demo and replace these fence/gates? If demolition is anticipated, to what extent…metal fencing, step footing, etc? Please clarify put-back requirements as well. Costs are anticipated with this work. Please advise.</t>
  </si>
  <si>
    <t>Refer to discussion in the field on June 16th.  Remove fence panels and any associated angles, plates, and hinges.  Fill void area with new fence panel, provide seemless transition from existing fence to remain and new infill panel.  Provide curb below fence, anchored to existing curb on either side of infill area.</t>
  </si>
  <si>
    <t>Embed and Through Bolt Clash</t>
  </si>
  <si>
    <t xml:space="preserve">	Please confirm it is acceptable to move the top two through bolts to 6" from the edge of the column? Per a conversation between Carter Cluff and Zach Hansen The reason for this request is due to the Nelson studs being exactly where the through bolts land. </t>
  </si>
  <si>
    <t>Chandlers Center Lever 4</t>
  </si>
  <si>
    <t xml:space="preserve">	Please confirm that the direction given from Scott to David and Jason on site (See attachment) is how we are to proceed with locating the chandeliers on the level 4 ceiling for the north and south wings. </t>
  </si>
  <si>
    <t>Confirmed, The intent is to center the Medallion / Chandelier on the flat portion of the ceiling (between edge of crown and edge of Entablature/Capital)</t>
  </si>
  <si>
    <t>Roof Trusses New Construction vs Existing</t>
  </si>
  <si>
    <t>It appears that in the model there are two different colors the gray designating existing and the light brown are the wood member that I can only assume need to be removed and replaced with new wood members. Please advise</t>
  </si>
  <si>
    <t>The two different colors are likely due to them being from the structural models and mechanical models.  No truss members are to be removed and replaced.</t>
  </si>
  <si>
    <t>Concrete encased duct</t>
  </si>
  <si>
    <t>Drawing M100B, level 0.5 is now indicating sheetmetal ductwork to be installed within concrete encasement.  No specifications appear to call out for sheet metal duct installation means and methods within concrete encasement.  Please provide sheetmetal specifications for installation within concrete encasement.</t>
  </si>
  <si>
    <t>See attached drawing with clouded area.  Would recommend the use of G90 galvanized sheet metal duct for install at these locations within the concrete at no additional cost.  If a vinyl chloride coated steel is required for sheet metal fabrication and install, additional cost would apply.</t>
  </si>
  <si>
    <t>See comment from VBFA |</t>
  </si>
  <si>
    <t>Joist Removed for HSS Level 2</t>
  </si>
  <si>
    <t xml:space="preserve">	Please confirm that at the rim board around the 2nd floor domed ceiling we are to remove the floor joist and flooring material above in preparation for the Ducting Chase, HSS Post’s and LVL walls. For reference I have attached some drawings and pictures to illustrate condition in question.</t>
  </si>
  <si>
    <t>Yes.  This is the intent of the design. | See ARW's response</t>
  </si>
  <si>
    <t>AE4303</t>
  </si>
  <si>
    <t>Room 309-Low wall HVAC return</t>
  </si>
  <si>
    <t>Drawing AE4303, room 309, drawing does not call out any dimensions or indicate any key notes addressing low wall duct return register locations.  See attached dimensions for what has been modeled and installed to date.  Please advise that the ductwork at these locations has been installed.</t>
  </si>
  <si>
    <t xml:space="preserve">Please confirm the attached drawing with mark up dimensions for locations of return wall registers is correct.  </t>
  </si>
  <si>
    <t>the attached drawing titled "RFI Response level 3" came from a meeting with Jason, Scott, David, Dion and Craig. |</t>
  </si>
  <si>
    <t>Duct and Ceiling Elevation Conflict at Electrical Room 315</t>
  </si>
  <si>
    <t>Reference AE123 and attached screen shot from the BIM model. From finish floor to bottom of duct in electrical room 315 is 8’-9 5/16”. The finished ceiling elevation is 9’ -2 ½” per AE123. Should the ceiling be lowered and if so to what elevation? </t>
  </si>
  <si>
    <t>Install a soffit drop around the lowered duct. See ASI012. Note that the duct has been moved 12" north away from the door transom.</t>
  </si>
  <si>
    <t>7-8” of Gravel Under Historical Mat Slab</t>
  </si>
  <si>
    <t>Please confirm we are to install 7-8” of gravel under the mat slab in the Historical building.</t>
  </si>
  <si>
    <t>Yes, please provide 7-8" of gravel base.</t>
  </si>
  <si>
    <t>Attic Catwalk East End</t>
  </si>
  <si>
    <t>Please see the attached drawing and advise if we can make the adjustment. This question/adjustment was discovered when comparing the catwalk layout with the mechanical layout. It was discovered that the embeds for the LVL’s where in line with the HVAC duct penetrations passing through the stone wall.
Hopefully this will be the last question on these catwalks</t>
  </si>
  <si>
    <t>This framing is acceptable structurally. |</t>
  </si>
  <si>
    <t>HSS Under Wide Flange Gridline HC</t>
  </si>
  <si>
    <t>In the second-floor steel assembly is it acceptable to install an the HSS on the corner of the column jacket for the single I-Beam running along the HC gridline I have attached an excerpt from the drawings for reference. The attached sketch is given as a possible option.</t>
  </si>
  <si>
    <t>Adding a column at the proposed location appears to conflict with the architectural layout of the rooms in this area and would result in the column being in the floor space.  What is the reason of the beam being at the corner of the column rather than on the Grid Line HC as shown in the drawings.  It was anticipated that this new steel beam would attach to the center of the column and be connected to the new column steel collars per the answer to RFI 460.</t>
  </si>
  <si>
    <t>Font Witness Platform Stone Deck</t>
  </si>
  <si>
    <t>Please provide details of stone thickness and setting bed requirements.
For Clarity I (David) have attached a drawing showing the area in question. They have planned on doing a bronze finish in these areas but the review comments call for the Las Vegas sandstone.</t>
  </si>
  <si>
    <t>The stone flooring is 2 cm (3/4") and can be set in Thinset in these locations.</t>
  </si>
  <si>
    <t>HACI Shop Drawing Sheet 1.2 (Review Note)</t>
  </si>
  <si>
    <t>Font Witness Desk Electrical Box and Conduits</t>
  </si>
  <si>
    <t>Please provide the size and type of electrical box required. Also, the size and number of conduits required.</t>
  </si>
  <si>
    <t>There is a problem with this design being code compliant. An electrical receptacle can't be located within 6' of the edge of the pool, i believe the best solution would be to eliminate the floor box and stub conduit directly to the witness desk and do a hard connection rather than cord and plug. (this is a grey area)</t>
  </si>
  <si>
    <t>5th floor lighting in sealing rooms</t>
  </si>
  <si>
    <t xml:space="preserve">Due to multiple building restraints IE. duct work, framing, j boxes mech. and sprinkler piping. We are asking for an exception to use MC cable to supply the lighting in the 5th floor proxy sealing rooms 5-17, we will pipe the switches in each room together with .75 EMT Conduit and run the switch legs in each room to recessed cans in that room with  MC cable. This will also allow for future height and side to side adjustment of the recessed cans if there is a flexible connection to them. </t>
  </si>
  <si>
    <t>This is acceptable in this location. |</t>
  </si>
  <si>
    <t>Patron Housing Communication J Box</t>
  </si>
  <si>
    <t>ES 101 shows us connecting a 4" conduit into an existing J Box at Patron Housing. Could this J Box be Located for us? (see attachment)</t>
  </si>
  <si>
    <t>Per phone discussions with Brian and Kory, the in-grade communication pull boxes that were to be installed as part of the previous patron housing electrical and comm utility upgrades projects were not installed per plans and do not exist at the breasway between the housing units as thought.  It is recommended that the conduits shown in the temple site plan be routed as close to the existing patron housing existing communication boxes as possible in order to simplify possible future connections of fiber from temple/visitors Center to family search to the south. Provide pull string, cap and label conduits for future locating. Adjust routing around trees/root balls as necessary, but minimize number of bends. Brian and/or Kory indicated they would reach out to Owner's ICS group to confirm their latest direction on fiber connections (currently outside of contractors scope of work).  |</t>
  </si>
  <si>
    <t>Annex north mat footing epoxy dowels</t>
  </si>
  <si>
    <t>At existing mat footing north side between grids AF and AD and A10 on sheet S100 there is a section of the #4 epoxy dowels that will not be able to be installed with only a 3'-3" gap with the forms and waterproofing in place. with the current requirement of 24" embedment and 36" development per detail 13/S210. Per discussion with Zach by phone and reviewing onsite with Matt on 6/11 confirm acceptable to bend bend the bottom dowel as marked up on attachment</t>
  </si>
  <si>
    <t>Yes.  This is acceptable. |</t>
  </si>
  <si>
    <t>CCD-044R1, EL601</t>
  </si>
  <si>
    <t>Elevator Cab Lights</t>
  </si>
  <si>
    <t>CCD-044R1 added fixture types DR5A and DR5A-E to the light fixture schedule, EL601. These fixture types are for the elevator cabs but are not shown on the plans. How many of each type go in each elevator cab?</t>
  </si>
  <si>
    <t>Elevator cab lighting layouts were added as part of CCD-057. |  | Thanks for the heads up. I'm going to leave it open until we receive the CCD-057</t>
  </si>
  <si>
    <t>Structural Coordination West Wall Penetrations</t>
  </si>
  <si>
    <t>There are two types of questions on the attached pdf:
Some of the questions have to do with the design showing part of the West wall being notched out to allow for duct work to be run into the projector room but there isn't any structural reinforcing shown.
The others are regarding pipe penetrations that need to be made in the structural reinforcing for a duct penetration.</t>
  </si>
  <si>
    <t>Please advise how you would like us to handle these two types of situations structurally.</t>
  </si>
  <si>
    <t>After discussion with Jason Fullmer while on site, we determined the following:
1- It was determined that the large notch shown in the model is not required.  The duct work serving the projector box is small enough to fit inside the metal stud walls without needing to notch the stone wall.
2- The piping is to be moved down directly above the duct work and then the new penetration can be made large enough that the piping and duct work will fit in a single large opening.  The opening can then be constructed per directions given in RFI #316. |</t>
  </si>
  <si>
    <t>Area Well Depth - South Side Historic Building</t>
  </si>
  <si>
    <t>Please confirm that per the attached drawing we are to install in the South area wells a 4” concrete slab, at 6” under the HVAC exhaust line. For reference I have attached some documents applicable to this question. </t>
  </si>
  <si>
    <t>See comment from VBFA</t>
  </si>
  <si>
    <t>C.11 / C.11.1 &amp; Remain Civil Drawings</t>
  </si>
  <si>
    <t>Civil Drawing Discrepancies - Sheet C.11 on CCD_59</t>
  </si>
  <si>
    <t>Over the course of the project there have been various different versions of the same sheet number. For example:
The version of C.11 on CCD_59 is titled UTILITY - WATER - 300 EAST STREET which is a completely new and different page compared to the version of C.11 provided in the conformed set which is titled PLAN &amp; PROFILE - 400 SOUTH STREET.
This drawing is also different I'm assuming from the one in the Civil section of Drawing Index Gl002.1 which shows a C.11.1 - PLAN - 300 EAST STREE but that drawing wasn't included in the conformed set.
I know C.1 through C.7 all also have duplicate drawings floating around (the normal set and a set for offsite utilities).</t>
  </si>
  <si>
    <t xml:space="preserve">Re-issue a complete set of civil drawings using unique drawing numbers. </t>
  </si>
  <si>
    <t>I have uploaded the latest plans.</t>
  </si>
  <si>
    <t>FDC Location on South Fire Lane</t>
  </si>
  <si>
    <t>Per Sheet PS100 note #23 “Free standing remote FDC, coordinate with landscaping for exact location. Piping to be sloped toward the building…” Referring to the landscape drawings, there is no direction given for the piping installation, FDC location, FDC type, or material type. In spec 21 1000-21: 2.18 B, there is information for a wall mounted but no mention for free standing. Also, FP501 detail 5 note 6 states “free standing FDC coordinate exact location civil.” This location is not found in the civil drawings. Please provide direction for FDC location and piping elevation location for needed slope? FDC free standing detail and piping material?
Related Documents: 
PS100 – note 23: FDC coordinate with landscaping for exact location…See FP100 
FP100 – note 6: to remote FDC see sheet PS100 for continuation and 10: Lateral fire main into building. See civil for continuation.
FP501 – Spec 5 note 6: “free standing FDC coordinate exact location civil.”</t>
  </si>
  <si>
    <t>Top of Steel Elevation</t>
  </si>
  <si>
    <t>The steel members south of A1 and north of H5 (see attached) are not located as far as elevation.  Please provide a top of steel elevation for these members.</t>
  </si>
  <si>
    <t>Blindside Waterproofing between Hist. and Annex.</t>
  </si>
  <si>
    <t>Please confirm that per a site conversation the area in Yellow does not need to have the blindside water proofing installed under it.</t>
  </si>
  <si>
    <t>This is correct, verify vapor barrier is used in place of water proofing</t>
  </si>
  <si>
    <t>LI101</t>
  </si>
  <si>
    <t>Visitor Center Existing Main Irrigation Line</t>
  </si>
  <si>
    <t>Question: Per Sheet LI101 – Irrigations Overview (attached), the clouded area around the visitors center shows “Existing 4” Main Line” that is intended to stay. We performed a pressure test on the existing 4” main line and lost 48 lbs. of pressure in less than 1 hour. Considering the pressure test results and the pictures showing the condition of the existing material, there is some concern leaving the “Existing 4” Main Line”. 
Please advise.</t>
  </si>
  <si>
    <t>Door Dimensions Grid A1</t>
  </si>
  <si>
    <t>We can't find any center of door dimensions for the doors along grid A1.</t>
  </si>
  <si>
    <t>Dimensions were provided on sheet AE147 (Delta 53) in response to RFI 472. Please advise if additional information is needed for these openings.</t>
  </si>
  <si>
    <t>North Addition - Cored Hole Locations</t>
  </si>
  <si>
    <t>Per the structural notes we need approval before we core drill.  We are planning on coring these locations along grid A2 at the fire riser room location in the SW corner of the North Addition.  Please see the attached locations.</t>
  </si>
  <si>
    <t>The proposed locations are acceptable.</t>
  </si>
  <si>
    <t>Door Types drw AE611</t>
  </si>
  <si>
    <t>Door type 24 is not clarified in the door schedule if this doors is wood or metal Please clarify. Original door schedule at bid time said door was to remain but never called out if this was metal or wood. Door type 24 is door # 34, a pair of doors with louvers to the Mechanical Room.</t>
  </si>
  <si>
    <t>AE610</t>
  </si>
  <si>
    <t>Door  101A and 101B door thickness</t>
  </si>
  <si>
    <t>Door 101A and 101B are door type 15. Door type 15 detail AE610 refers to door section B3/AE610 which calls for insulated glass and door thickness to be 2 1/4". Current door schedule AE601 call for door to be 1-3/4" thick. Clarify door thickness for door 101A and 101B. If door needs insulated glass door will need to be 2-1/4" thick</t>
  </si>
  <si>
    <t>Dutch door # 082 type 17</t>
  </si>
  <si>
    <t>Door type 17 AE610 calls for height of transaction top to be 36". Hardware schedule calls for and escutcheon "B" which is 9 1/2" . In order for door handle to be at 38" and escutcheon not to be cut in half the transaction top needs to move to 42" height ( stand transaction height). This will allow handle and escutcheon plate to all be on the lower half of the door and door handle will align with other doors handles in the same area. Confirm if transaction height can move to 42"</t>
  </si>
  <si>
    <t>Door handle height</t>
  </si>
  <si>
    <t>Not all door handle heights are called out on door types drw AE610.  Some types show  handles to be lower than code such as type 14, 19, 2, 4,  Clarify door handle heights on all door types.</t>
  </si>
  <si>
    <t>HVAC finish opening locations</t>
  </si>
  <si>
    <t>Various HVAC finish registers and grilles are shown on the architectural drawings that do not appear to have any center line dimensions or locations required shown.  See attached drawings indicating finish HVAC grilles with no dimensions or measured locations.</t>
  </si>
  <si>
    <t>Please indicate locations of finish HVAC registers per grid lines on the attached architectural drawings to allow installation in the correct locations.</t>
  </si>
  <si>
    <t>Please refer to forthcoming ASI from CRSA locating all grilles. | Please refer to attached ASI #32, thanks. |  |</t>
  </si>
  <si>
    <t>Hist. Basement Column Jackets</t>
  </si>
  <si>
    <t>Please confirm that:
1.      Attached drawings are for the columns on the HC and HE grid lines. 
2.      The second sheet is regarding the bump outs for Baptistery Font along grid-line H3</t>
  </si>
  <si>
    <t>Things discussed in the 6/22 phone call with Dave at Westland:
How to attach concrete columns CC-3 and CC-6 on grid H3, sheet S100A to the mat slab below. See detail 10/S210 as this is a similar condition.
There was discussion that the CC-6 48” wide columns on grid H3, sheet S100A would not be large enough to be able to support the W14x30 beams. Based on our drawings these columns should be large enough if centered on the two W14x30. Please notified ARW if this is not the case.
The existing columns are slightly off position from where they were originally thought to be. Also, sand blasting has made them slightly smaller than originally. Because of these and other factors, the jacket wall on several of the existing columns needs to be widened by approximately 6” to allow the W14x30 to attach. Please see attached detail for information on how to accomplish this. It is our intention that the reinforcement being called out be new and that what has been tied previously remain as is.  This is for the columns on grids H2/HC, H4/HC, H2/HE, H4/HE.
	4.	The 16”x16” CC-3 callouts at the ends of the baptismal font oval foundation 	need to be shown proud of the oval. The question was asked as to how to accomplish the reinforcing with the column being proud. See attached detail.</t>
  </si>
  <si>
    <t>4th floor recessed can locations</t>
  </si>
  <si>
    <t>confirming as per conversation between Jason Fullmer and Scott Gilberg 06/23/2020 we  are moving can lights and chandeliers 1" off of center toward outside of building. (see attachment)</t>
  </si>
  <si>
    <t>Ducts Passing Through Corr. Walls</t>
  </si>
  <si>
    <t>Please confirm we are to frame out the duct penetrations that were made to existing walls. ie: head off the wall at locations like shown in the attached photo.</t>
  </si>
  <si>
    <t>Confirmed.  Please provide 2x headers above and below the penetrations to provide stability to the cut studs. |</t>
  </si>
  <si>
    <t>New Roof Drain Cleanouts / Stormdrains</t>
  </si>
  <si>
    <t>Per CCD 59 – C.8 (see attached) . Two Questions:
It shows new RDCO #3, 4, and 7 in the fire lane concrete. Please confirm the onsite conversation with the landscape architect that these clean outs can be moved to the planter area closer to the temple. (clouded in purple)
Please confirm that SDCO #21, 23, 25, 26, and 27 can be deleted. (clouded in green)</t>
  </si>
  <si>
    <t>086300</t>
  </si>
  <si>
    <t>METAL-FRAMED SKYLIGHTS COLOR SELECTION</t>
  </si>
  <si>
    <t>Do you want the skylight to match the interior wall white color (OC-13 Soft Chamois) or the interior trim white color (OC-130 Cloud White)?
NOTE: The linked submittal for the Metal-Framed Skylights matched the standard skylight colors to the trim white color not to the wall white color.</t>
  </si>
  <si>
    <t>Doug Moore</t>
  </si>
  <si>
    <t>Jones Paint &amp; Glass - St. George</t>
  </si>
  <si>
    <t>Fire alarm tie-in to mag hold opens</t>
  </si>
  <si>
    <t>There are no 120V circuits assigned, or fire alarm tie-ins for the mag hold opens. These are the doors that will have ABS-supplied hold opens: 052, 068A, 184B, 201A (2 ea), 301A, 401A (2 ea), 501A. 
Please advise on power and fire alarm for these door holders.</t>
  </si>
  <si>
    <t>We suggest using 120V circuits from nearest panelboard to power the hold opens, and a fire alarm control module on each floor to control them.</t>
  </si>
  <si>
    <t>Electrical design was based on 12-24v mag hold opens.  If 120v is the only available option we can provide additional 120v circuits. |  |</t>
  </si>
  <si>
    <t>Remove the Level 4 Vestibule Ceilings</t>
  </si>
  <si>
    <t>Please confirm that per the OAC meeting on June 18th that we are to remove the ceilings of rooms 409 and 411. This would allow us to be able to work out the routing of the electrical and lighting layout of these rooms.</t>
  </si>
  <si>
    <t>Dave, the lath and plaster ceilings are to be removed in these rooms, that is correct.  The plaster crown molding in these rooms is to remain and needs to be protected in place.  The center medallions also need to remain in place and be protected.</t>
  </si>
  <si>
    <t>Levels 3 and 5 Existing Door Frames</t>
  </si>
  <si>
    <t>Please advise if we are to remove the hallway door frames on levels 3 and 5. If so, are we to remove all the plaster on the adjacent walls as well?</t>
  </si>
  <si>
    <t>Dave, It is likely that these frames will come out, but is contingent upon PR #4 being approved.  Thanks</t>
  </si>
  <si>
    <t>East Tower Elevation</t>
  </si>
  <si>
    <t>We have found an elevation differences from the North to the South of center room on the East tower. North side used as base measurement. The South side height changes are differences in relation to the North side. The dimensions provided where done for reference. If conformation is desired, we can make these locations access able to a surveyor. </t>
  </si>
  <si>
    <t>S302</t>
  </si>
  <si>
    <t>Preload 2nd and 4th Floors I-Beams</t>
  </si>
  <si>
    <t>In order to minimize any dipping of the floor when it is loaded with occupants do we need to plan on pre-loading the I-Beams in the center of the Span. If so please provide how much it will need to be loaded?</t>
  </si>
  <si>
    <t>The beams do not need to be pre-loaded as long as all of the joists are shimmed tightly so that loads will be transferred directly to the beams without any need for the existing truss to deflect before loads are transferred to the new beams.</t>
  </si>
  <si>
    <t>East Center Room Crown Removal</t>
  </si>
  <si>
    <t>During the owners walk in the ease center room on level 4 it was discussed that the upper part of the Crown Molding attached to the ceiling will be pulled out with the ceiling. The lower part will be removed because it will interfere with the door trim. Please confirm that these are to be removed. If not, please advise. 
We need a quick response on this because on Monday we have the demolition contractor onsite and we want him to start this area.</t>
  </si>
  <si>
    <t>Dave, per CCD 043, the entire crown molding is to be removed with the ceiling, both the upper and lower portions.</t>
  </si>
  <si>
    <t>Larger frame breakers with LI trip units per study review</t>
  </si>
  <si>
    <t>Larger frames with LI trip units for a few breakers and upgrade to I-line for panelboard HE are required to meet coordination recommendations (see attached). How should we submit the additional costs that will be incurred for this? Should we just reference this RFI?</t>
  </si>
  <si>
    <t>Precast Concrete Unit Paving Response</t>
  </si>
  <si>
    <t>1) The corner cap detail was marked up to have a 45 degree miters. This detail leaves a sharp edge exposed to pedestrian traffic and is vulnerable to shipping. By having a return at the corner, the edges are softened and less likely to chip.
2) The paver detail shows two small wedge-shaped pieces at the outside corner. Putting smaller pieces on the outside corner becomes a maintenance problem. The smaller pieces tend to shift and become trip hazards
For reference drawings depicting these conditions have been attached</t>
  </si>
  <si>
    <t>CW4 connection at temple grid AA.5</t>
  </si>
  <si>
    <t>See S100 around grid AA.5/A1
At the CW4 wall that butts into the jacket wall and existing temple wall is this wall independent or does it need to dowel into the stone or have corner bars into the exterior north jacket wall?</t>
  </si>
  <si>
    <t>Please provide corner bars into the jacket wall.  Corner bars are to match the horizontal reinforcing of the CW-4 wall. |</t>
  </si>
  <si>
    <t>Room 518 Ceiling Elevation</t>
  </si>
  <si>
    <t>When trying to find the correct ceiling height for room 518 we discovered a discrepancy. Please advise if the 11’-2” as shown on sheet AE125 is correct or if it’s to be 10’-8 ½” that was given to us on May 20th. For reference I have attached Sheet AE125 and the Email provided on the 20th.</t>
  </si>
  <si>
    <t>Pneumatic Door Operators</t>
  </si>
  <si>
    <t>The entry doors call for pneumatic closer with tubing and a compressor. In the past we’ve ran into a couple issue; the compressor being too noisy, and when placed too far away to reduce the noise, air pressure is lost by the time it gets to the closer. They struggle opening two doors at the same time and tend to be a maintenance issue for future years. Typical on other temples they‘ve gone with a power auto-operator. This gives more control over the doors and will have less maintenance issues in the future. I would recommend doing something like what was done on Jordan River and Haiti. In the attachment the items in Red are components for the pneumatic closures.</t>
  </si>
  <si>
    <t>Additional Joist Hangers</t>
  </si>
  <si>
    <t>Please confirm the install of additional joist hangers as outlined in ARW’s field repot 22 item 4. Joist hangers to be installed on the joist ends that are not bearing at least 1” are to have a new saddle installed on them to assist in carrying the joist load to the truss. The saddle is to be a Simpson HU2.1/9.</t>
  </si>
  <si>
    <t>Confirmed.  Please verify with framing subcontractor that the Simpson hanger will work for the existing joist size.  Substitutions for a different hanger is acceptable provided it meets a minimum load capacity of 1,500lbs.</t>
  </si>
  <si>
    <t>Basement Column Strong Pipe Core</t>
  </si>
  <si>
    <t>Please advise if we are able to core the two 9” holes into the columns in the basement for the Strong pipe or if we need to do one at a time.</t>
  </si>
  <si>
    <t>Please core (1) hole and then install the pipe through the hole before the next hole is drilled.  It is not necessary to grout the pipes solid at this point, just place the pipes in the newly cored hole.</t>
  </si>
  <si>
    <t>Stair Treads/4” Stone Under the Feature</t>
  </si>
  <si>
    <t>Sheet LL514 detail 6 shows grooves to be cut in the nosing of the cubic stair treads. Is this detail to be used at the historic stair treads at the east entry as well?
Sheet LL507 detail 3 shows the addition of a 4” stone under the feature. There is no detail for the profile on the edge of the stone. Is it the same as the corner caps on the east fountain please clarify?</t>
  </si>
  <si>
    <t>Regarding 6/LL514 - that is the preference, to maintain a uniform look on the nosing for each stair.  However as the stone detail for the historic stair is still under review, we will need to finalize that direction after it is known if a cubic stone step will work or if it needs to remain as two separate stone slabs for the tread and riser.
Regarding 3/LL507 - that is correct, the intent of the stone pedestal cap for both fountains is to match the profile found of the corner caps on 9/LL508. |</t>
  </si>
  <si>
    <t>Alternative Fix for Short CMU Wall in Area 2</t>
  </si>
  <si>
    <t>As an alternate method, rather than a column, could we add a beam from the CMU wall end, continuing East, to the next existing beam (only 3’ out) that would support beam B1072?
This would involve adding a wall mount beam clip at the end of the CMU, a new beam, and a clip welded onto B1076. </t>
  </si>
  <si>
    <t>See attached sketch for alternate connection that will allow the use of the same beam. | You are welcome | Zach, thanks for your help.</t>
  </si>
  <si>
    <t>3rd Floor Lighting in Initiatory Rooms</t>
  </si>
  <si>
    <t>Due to multiple building restraints IE. duct work, framing, j boxes ,mech. and sprinkler piping. We are asking for an exception to use MC cable to supply the lighting in the 3rd floor initiatory rooms 309-314 and 321-327. We will pipe the switches together with .75 EMT conduit and run the switch leg in each room to recessed cans in that room with MC cable. This will also allow for future height and side to side adjustment if there is a flexible connection to lights.</t>
  </si>
  <si>
    <t>MC cable will be acceptable at the areas indicated in the RFI |</t>
  </si>
  <si>
    <t>Sevice outlets in elevator shafts</t>
  </si>
  <si>
    <t>The elevator shafts are going to require 120v outlets top and bottom of elevator shafts. ELV 1-1 is not showing outlet at either location, ELV 1-2 is showing outlet at bottom but not at top, ELV 2-2 is not showing at either location, ELV 5-1 and ELV 5_2 is showing outlet at bottom but not at top and phone is going to need to be moved from Elevator control rm 502 to elevator shaft where the phone connection is on the elevator equipment. Please Advise</t>
  </si>
  <si>
    <t>West Steel Stair Layout</t>
  </si>
  <si>
    <t>Please review the elevations in the attached document and advise if they are per the design intent. With the adjustments that have occurred due to the building floors not being level and with this effecting all the levels.</t>
  </si>
  <si>
    <t>P110</t>
  </si>
  <si>
    <t>Instruction Room Sink IS-1 at Room 136</t>
  </si>
  <si>
    <t>Room 136, wall mounted instruction room sink IS-1, see attached screenshot that indicates the waste line dropping down through a 14" concrete beam at level 0 overhead.  Attached is sheet P110 with this shown.</t>
  </si>
  <si>
    <t>See attached screen shots.  Please provide means to install waste at this location for the IS-1.</t>
  </si>
  <si>
    <t>PR3 option C Plaster over stone</t>
  </si>
  <si>
    <t>Are there existing door casings that are to remain on level two? If so, how proud are they from the stone? 
How thick is the plaster at the window splays?
Option A and B will have an estimated finished thickness of 2.5" (1 5/8" stud, 5/8" gyp, 1/8-1/4" Plaster) Is the objective, for option C, to build up the plaster the same 2.5" thickness or to apply the minimum to cover the stone?</t>
  </si>
  <si>
    <t>With the understanding that this is an existing building and there will be variations in the dimensions given and that this is to be considered as a general rule for the project. They are:
The plaster thickness on the splays for level 2 windows vary from approximately 1 3/8” and 7/8” 
The door casing around the arches that are staying on level 2 are proud of the stone 5/8” – 1 ¾”</t>
  </si>
  <si>
    <t>Updated Lighting Layout RE: ASI_12 &amp; RFI_535</t>
  </si>
  <si>
    <t>ASI_12 and RFI_535 response was to add a soffit around duct below the ceiling in room 315. Now that the ceiling is no longer flat can we get a new lighting layout in that room?</t>
  </si>
  <si>
    <t>Tyson Blatter</t>
  </si>
  <si>
    <t>P103</t>
  </si>
  <si>
    <t>Level 3 west tower-Electric Water Cooler-Chiller Accessory</t>
  </si>
  <si>
    <t xml:space="preserve">Drawing P602, fixture EWC-1 per the attached schedule and submittals indicate installing the drinking fountain chiller within 10' of the fixture.  In attempting to locate this chiller serving EWC-1 on level 3 west tower, we have found congested space above the janitor storage room where it is shown to be located, see drawing P103.  </t>
  </si>
  <si>
    <t>See attached drawing and screen shot.  We propose locating the drinking fountain chiller at the south wall of the janitor storage room as shown proposed.  Please confirm this location is acceptable.</t>
  </si>
  <si>
    <t>P110, P101</t>
  </si>
  <si>
    <t>Waste piping serving restroom 120a</t>
  </si>
  <si>
    <t>Waste piping shown to serve restroom 120a at Annex level 1 is conflicting with concrete wall below in storage room.  Currently a 6" wall is shown as to be installed at gridline AH.  See attached drawing and screenshot for review.</t>
  </si>
  <si>
    <t>Please advise if an 8" wall at gridline AH level 1 restroom 120a is an option to allow the plumbing waste piping to avoid concrete wall conflicts below.</t>
  </si>
  <si>
    <t>Your suggestion of making the wall at gridline AH of level 1 restroom 120A to an 8" metal stud wall in order to miss the concrete wall below is fine.  This wall is to be 8" metal stud only in this room.  Thank you |</t>
  </si>
  <si>
    <t>S100 / AE146</t>
  </si>
  <si>
    <t>Cooler-Freezer Slab RE: ASI_16 &amp; CCD_54.4</t>
  </si>
  <si>
    <t>The freezer-slab recess was removed as part of ASI_16 on AE146.  These changes weren't clouded but now, with the Kitchen being removed in CCD_54.4, this is probably your intent.
The recess still appears on S100.</t>
  </si>
  <si>
    <t>Issue an ASI with an updated S100
or
Add the recess being removed from AE146 and S100 to a CCD_54.4 revision.
or
Just answer the RFI and I'll redline it into the drawings.</t>
  </si>
  <si>
    <t>See the attached email from Scott G.</t>
  </si>
  <si>
    <t>4th Floor Lighting Layout Conflict</t>
  </si>
  <si>
    <t xml:space="preserve">See the attached lighting layout for the 4th floor.  There are a number of clashes with the ceiling joists.
Note: They're a lot less clashes if we move all can lights and chandeliers on the lower ceilings 1" off center towards the outside walls to avoid framing. This plan includes that shift.
Please advise if that shift 1" on lower ceilings is acceptable. 
We need to have further discussion on how to deal with each of the clashes. We will likely need to cut some ceiling joists and will need to account for it structurally. </t>
  </si>
  <si>
    <t>This will be fine to adjust the layout 1" off of center as proposed in the 4th floor to avoid ceiling joists.  Thanks</t>
  </si>
  <si>
    <t>S101A</t>
  </si>
  <si>
    <t>Waste and Vent piping Annex gridline AC and A5 at beam</t>
  </si>
  <si>
    <t>Waste piping at gridline HD is now conflicting with steel beam layout per attached screen shot per CCD 37R2 direction.  We need to avoid the steel beam.  Layout of concrete sleeve was completed prior to steel beam shifting and creating this issue.  See attached screenshot of issue.</t>
  </si>
  <si>
    <t>Two options as reveiwed:
-Approve steel beam penetration at this location or
-Core new hole south of steel beam and patch previously cored hole</t>
  </si>
  <si>
    <t>RFI 460 Beam Seat</t>
  </si>
  <si>
    <t>The angle seat solution provided in RFI 460 contains a few hurdles.  The seat is 24" long - but only sits on 9" of material.  Is it possible to make this seat 9" long?  It also conflicts with an existing bolt - can the seat be cut down to a 5" leg on the vertical face in order to accommodate?  See attached screen shot for clarification.</t>
  </si>
  <si>
    <t>P110, P301</t>
  </si>
  <si>
    <t>Structural Pipe Penetrations Detail</t>
  </si>
  <si>
    <t>Drawing P110, Keynote #38, grid line AB between A3 and A4, states to sleeve piping through middle third of structural beam, coordinate penetration with structural per detail 2 on P301.  See attached for review.  Structural drawings do not appear to have any details for this application.</t>
  </si>
  <si>
    <t>Please provide a structural detail for this application.  See attached clouded drawings for clarification.</t>
  </si>
  <si>
    <t>P111, P106</t>
  </si>
  <si>
    <t>Annex Loading Dock Roof Drains</t>
  </si>
  <si>
    <t>Drawing P111 indicates a 2" RD and 4" ORD serving the annex loading dock roof.  Drawing P106 roof layout indicates 6" RD and 6" ORD sizing.</t>
  </si>
  <si>
    <t>Please advise if the sizes shown on drawing P111 are correct or if the sizes on P106 are correct.  See attached marked up drawings for clarification.</t>
  </si>
  <si>
    <t>Pot Irrigation LI101</t>
  </si>
  <si>
    <t>Per LI101-Irrigation plan, Irrigation is missing to the pot in the photo radius area. Through phone conversations the pots need to be on their own valve. Please provide direction for the irrigation requirements needed for the pot. Costs are anticipated for this work. Please advise.</t>
  </si>
  <si>
    <t>Needle Beam Channels &amp; Beams</t>
  </si>
  <si>
    <t>Please refer to the attached marked up detail 1/S248.  We are in need of stiffener clarification for the beams and channels at the interior stone columns.  Also - please note that the micropiles are not set square to the jacket walls (see sketch "micropile skew").  Please clarify whether the beams are to align with the jacket walls (beam on right) or with the micropiles (beam on left)</t>
  </si>
  <si>
    <t>The alignment shown in the left side of the  "micropile skew" sketch follows the intent of the design.  The channels are to be square with the stone column and the w-beams will align where they may depending on micropile location.  
See attached sketch for stiffener plate clarifications. | Please note that the C Channels will rest on top of an I-Beam, that will be on top of the Micropile. This I-Beam will allow for the C Channels to be installed tight to the Existing Stone Columns.</t>
  </si>
  <si>
    <t>CCD 040 Flooring/Base Clarifications 1</t>
  </si>
  <si>
    <t>Finish Schedule AE660 calls out BC1 base (carpet) with wall base detail C4/AE570 (from Addendum 3). However, detail C4/AE570 is stone base with a hardwood cap. Which base material is correct?
Finish Schedule AE660 calls out WT4 on the south and west walls in room 007, but there is no WT4 in the Finish Legend. Please correct.
Finish Schedule AE660 calls out BR3 base (rubber) with wall base detail C1/AE570, but that detail specifies stone base with a hardwood cap. Which base is the correct material?</t>
  </si>
  <si>
    <t>CCD 040 Flooring/Base Clarifications 2</t>
  </si>
  <si>
    <t>Finish Legend shows FT4 and WT3 tile colors as TBD. Please provide these details as tiles can vary in price.
Finish Legend shows FS3 as being removed from the project. Drawing AE160B still shows an Ashlar pattern on the floor below Stair 4. Is this flooring to be FS1?
Finish Schedule AE660 calls out BT3 base in the Elevator Lobby 053, but Stair Lobby 052 calls out BR3 base. Should these two areas have the same base?</t>
  </si>
  <si>
    <t>S100B , S245</t>
  </si>
  <si>
    <t>Door Fill in Baptistery Grids HB and H2</t>
  </si>
  <si>
    <t>Please advise if the door opening on the South East area of the level .5 is to be filled in with concrete or just covered with plaster as discussed in OAC. The Drawings are still showing the doorway as having a concrete sleeve being poured in it. For reference I have attached the drawing that call this out.</t>
  </si>
  <si>
    <t>Per ARW Construction Observation Report 23 Item 23-4, this opening is to be infilled per detail 10/S240.  It is true that the drawings currently show a doorway, but this will be revised to show an infill and will be included in a forthcoming CCD.</t>
  </si>
  <si>
    <t>WAP location and mounting</t>
  </si>
  <si>
    <t>There are WAP'S (wireless access points) shown at the barrel ceilings level 2,3,and 5 is it the intent to have the WAP'S above the ceiling in the accessible attic or bellow? WAP'S where there isn't accessible attic should they be located above ceiling near access doors or below ceiling? What type of box do they mount to? please advise</t>
  </si>
  <si>
    <t>SwitchGear MS meter</t>
  </si>
  <si>
    <t>SwitchGear MS is provided with a powerlogic meter capable of tying to network (may need additional accessories or software) Do we need a data connection from MDF to meter? please advise</t>
  </si>
  <si>
    <t>yes, the data cabling and ability for meter to tie into network for remote access and tracking. |</t>
  </si>
  <si>
    <t>LL514 / AE341</t>
  </si>
  <si>
    <t>NE Annex Concrete Stair Detail RE: CCD_68</t>
  </si>
  <si>
    <t>Would you like the 1/4" deep saw cut step detail on the exterior stairs on the North East of the Annex (AA-AB / A7-A8)? The detail that was added in CCD_68 doesn't apply to that stair. (see the two details attached)</t>
  </si>
  <si>
    <t>Landscape/Site footings detail clarification</t>
  </si>
  <si>
    <t>1) Sheet LL502- Detail 5 seat wall and detail 6 retaining wall- what is the reinforcement requirement for note 5 in these details? 
2) Detail 1/LL502- any reinforcement required in the 8"x18" bench footings? 
3) Detail 7,8/LL502- is all the rebar in the stair footings epoxy coated? See note 10 on detail 7 or just the stone stairs? 
East fountain sheet LL506
4) 3/LL506 the typical fountain walls for note 5 do not give the typical footing size and reinforcement requirement. Please provide. Do the walls and footings sizes match the north fountain plan on LL507 (6" walls, 2'-6"x1'-0" footing)? 
5) 2/LL506 please confirm the 6" fountain slabs and thickened are not reinforced?
North fountain sheet LL507
6) 2/LL507 what is the reinforcing requirement in the footings (note 5) 
7) 3/LL507 please confirm the 6" fountian slabs and thickened footings are not reinforced? 
8) 2/LL508 note 3 please provide footing size and reinforcement requirement for the corner sections? (wall reinforcement provided)
Monument sign LL510
9) 4/LL510 Column and wall section. Please provide size of footings and reinforcement requirement</t>
  </si>
  <si>
    <t>Landscaping / Mechanical</t>
  </si>
  <si>
    <t>Existing conditions are described in RFI 413. There are two - 2” meters that supply the entire site with water. The water supply enters the site via two - 2” poly lines that connect to one 4” main water line. 
Both Landscaping and Mechanical say they need 4” to supply their systems. Do the existing 2 – 2” meters supply the water needs for the building and the landscaping needs? Does the attached picture describe what needs to be built?
Does the water connections need to be in a vault? Or can the vault be demoed with access to the valves?  </t>
  </si>
  <si>
    <t>Connect the two- 2” poly lines into one 4” line. From that 4” line it would (T), one supplying the landscaping and one supplying the building ( see attachment )</t>
  </si>
  <si>
    <t>Humidity and Duct Detectors</t>
  </si>
  <si>
    <t>The steam generators will be introducing humidity into the ducts. Both the mechanical contractor and fire alarm contractor said this has been a problem on previous jobs causing the duct smoke detectors to go into alarm. Please advise if any changes need to be made to the fire alarm system.</t>
  </si>
  <si>
    <t>Demo Floor Around Hist. Elevator</t>
  </si>
  <si>
    <t>Please advise if the existing flooring around the elevator needs to be removed then reinstalled and new LVL's and ¾” Tongue and Groove Flooring. For reference I have attached some drawings showing this condition. </t>
  </si>
  <si>
    <t>S101, S102</t>
  </si>
  <si>
    <t>Historic Stair 5</t>
  </si>
  <si>
    <t>In reviewing the stair 5 we found the following questions and have discussed them with Matt McBride on site. Please advise on the following questions;
1.      Is the section of jacket wall along the North of stair 5 Is this section of Jacket wall to be installed 6-1/2" below 100 or are we to install is at 6-1/2" below 95-1"
2.      Please advise as to what this post North West of Elevator saving Lobby 190 consists of Steel Size/Concrete and embed placement. As well as attachment method.
3.      Please show sizes of posts just South of gridline H5 between grid line HC and HB.
All the questions above are expanded upon in the attachment.</t>
  </si>
  <si>
    <t>The required opening size needs to be coordinated between Mechanical and Architectural.  The width assumed was 50" and the height was assumed as 78".  The actual width will be governed by the width of the duct penetrating the wall and will need to be verified with Mechanical.  The height will depend on the duct height as well as the desired access height above the duct.  This height will need to be coordinated with Architectural and Mechanical. | See Response from VBFA. | The Mechanical opening height between grids AD and AC will need to be 96" high to provide crawl space access above the duct. |  |  | Brian, can you verify duct sizes so that I can see how much room we have for access?  |</t>
  </si>
  <si>
    <t>See ASI #34 for locations. | Kyle,
Any dimensions of objects in the model would typically not be provided in the electrical drawings.  Envision has done a high level of coordination of lighting, wall devices, floor boxes, etc. in their Revit model, however all final dimensions and locations will need to be coordinated with interiors, architect and per field conditions by the contractor.  It may be helpful to setup a discussion with the contractor/design team to discuss this topic and review the importance of precise alignment of devices with structure, finishes, etc.</t>
  </si>
  <si>
    <t>4" round box 2 1/8" deep | This question came through and I thought you guys would be able to answer it without me needing to send it into the Arch. or Electrical Engineer.</t>
  </si>
  <si>
    <t>This is going to be changed to wood. |</t>
  </si>
  <si>
    <t>Speakers are shown to be exposed on columns in priesthood room.  Installing the conduit for speaker cable through the solid, plaster column capitals and beams resting on them isn't feasible.  Can they be relocated to be recessed in ceilings (see attachment)?</t>
  </si>
  <si>
    <t>Possible optional installations include:  
1-  Mounting the speakers horizontally up tight to lower ceilings next to the quatrefoil columns on North and South sides.
2-  Recessing the speakers into the stone walls behind and above the Melchizedec pulpits on the East end.
3-  Installing multiple recessed, directional speakers in lower ceilings and/or barreled ceilings.
(See Attachment)</t>
  </si>
  <si>
    <t>Due to the historic nature of the building and the plywood panel being added between floors to help with the sound transfer, a 42" high guardrail is not needed. The new railing is intended to maintain a similar height at 34-5/8" to match the historic railing that was removed. |</t>
  </si>
  <si>
    <t>Electrician will need to provide exact box sizes to be installed. Per design, a GFCI protected receptacle and data outlet is required at the font desk for the font system recorder equipment . The hard wired proposed option will be a challenge as the desk and equipment is cord and plug and typically designed to be able to be moved if necessary.  Can the outlet box be moved further from the opening of the font so that it can be a cord length of 6ft away from waters edge ? If not possible, can an exception be requested from local inspector due to unique circumstances of the installation and that the outlet is only used for connecting the permanent font desk system, this is not a pool/spa as the code is intended for? | The floor box dimensions are 5"X8" we will also need a chase large enough for 2-1" conduits from the floor box one of the legs the dimensions for the floor box location are attached to RFI 361 like the electrical engineer said in his response if there is room to move box so something plunged in with a 6' cord could not go into the water we should do this. | Jason/Trask,
Is this something you can help me with. |  |  | Can I get your input on this?</t>
  </si>
  <si>
    <t>Top of Steel is 113' - 2" across this hallway south of Grid A1 to Historic North Wall |</t>
  </si>
  <si>
    <t>Brandon Ruiz</t>
  </si>
  <si>
    <t>This will be a hollow metal door and frame |</t>
  </si>
  <si>
    <t>Doors 101A and 101B door type and detail B3/AE630 is correct and will be 2-1/4" thick with insulated glass. Please disregard the 1-3/4" thickness shown in the door schedule. |</t>
  </si>
  <si>
    <t>42" high transaction top is acceptable.  |</t>
  </si>
  <si>
    <t>I have confirmed with Scott the conversation between him and Jason. Moving the recessed lighting 1" from center is acceptable to avoid the existing joists. |</t>
  </si>
  <si>
    <t>Yes, RDCO 3,4, and 7 can be moved out of concrete. There are trees right next to the concrete walkway. As long as the cleanouts are between the proposed trees and the historic temple. Look at the attached image for reference. The blue dots would signify the location that the cleanouts could be placed. | In response to question #2, yes the SDCO's clouded in green can be deleted. | Question 2 was discussed in the field. Please confirm they can be deleted.</t>
  </si>
  <si>
    <t>Contractor to split the difference at each room as per conversation with Dave Adams on 7/17/20.</t>
  </si>
  <si>
    <t>will you please provide me the product data for thee larger breaker. | provide breakers/equipment as required to meet selective coordination requirements per one-line diagram notes and specification section. | for reference David Barney has attached the product data for the breakers mentioned in the RFI.</t>
  </si>
  <si>
    <t>Please use the 10'-8 1/2" ceiling height for this room.  Thanks</t>
  </si>
  <si>
    <t>Provide outlet at top and bottom of each elevator shaft.  Elevators numbers below coordinate with the elevator submittal.
Elevator 1 (freight) - Use circuit L1P0D-1 per latest plans. (EP100)
Elevator 2 (Lobby 131) - Use circuit L1P0B-27 per latest plans (EP100)
Elevator 3-4 (Lobby 185) - Use available circuit in panel L3P1B.
Elevator 5 (Lobby 190) - Use available circuit in panel L3P3B. 
IF phone connection is located in shaft locate phone connection to  match elevator requirements.  |</t>
  </si>
  <si>
    <t>Please see attached response.</t>
  </si>
  <si>
    <t>See Spencer Landeens comments on July 10th.  Thanks |  |</t>
  </si>
  <si>
    <t>Adjust the lighting around the duct work.  Verify your backgrounds match latest architectural ceiling plans for this area.</t>
  </si>
  <si>
    <t>Please core a new hole south of the steal beam and patch the previously cored hole. | Please see the comment from Spencer Landeen (VBFA) dated 9-July-2020. The waste piping in question was rerouted as part of CCD-054.3R1 to drop in the double-stud wall between RR [011] and Grab-N-Go [011]. The existing hole is no longer required and may be filled. |  |</t>
  </si>
  <si>
    <t>No additional reinforcement is required at these specific beam penetration locations.  Please locate holes in the middle third of the beam web height.  These holes are to be drilled into the beam and NOT cut using a torch.  Reinforcement will be required if the holes are cut using a torch.  Please advise if a torch will be used.   |  |</t>
  </si>
  <si>
    <t>See Spencer Landeens comments.  Thanks |  |  |  |</t>
  </si>
  <si>
    <t>Please see our response in the attached pdf. Please provide information as requested. Thanks,  |</t>
  </si>
  <si>
    <t>WAP locations should not be located at barrel ceilings within the space but above the ceiling at accessible locations  indicated on drawings. WAP locations to be installed per EC details 8, 9, 10 on sheet EC501. Provide blank cabling and blank cover plates. |</t>
  </si>
  <si>
    <t>The detail for the north/east exterior stair will not have grooves at the treads and shall be as per the detail with a 1/2" radius edge and broom finish. The Grooves shown on the other details are still up for discussion and may also be omitted.  |  | Kyle, thanks for the quick response. Have a good weekend.</t>
  </si>
  <si>
    <t>This question is for the civil engineer and the owner. | The vault can stay in place. The idea is that one of the 2" water meters would be for irrigation. 
Inside the vault, the water line would change from a 2" line to a 3" line and would leave the vault to the north and connect to a 3" irrigation backflow preventer. This backflow preventer is one that the temple facility groundscrew has on-site. We would recycle it.
The other 2" water line that comes from the other 2" water meter would change from a 2" to a 4" (PVC C-900) inside the vault. It would leave the east end of the vault and connect to the building.
There is an existing 1.5" water meter that leaves 400 South and connects to the site in the NE corner. This water meter would be relocated to come off the proposed waterline in 300 East and connect to the site on the east end. This water meter would be used for irrigation.
Attached is a concept drawing that shows this. Once this is all approved by the team, a CCD will be issued. | We have reviewed the C.11 drawing and provided responses in the attached 18-117 RFI 602 Response MGBA 200730. We have provided solutions for pipe sizing and pointed out items to be included and coordinated. Thanks,  |</t>
  </si>
  <si>
    <t>Structurally, the intent was to only remove the floor in the immediate location of the new elevator shaft.  All other floor framing and sheathing was to remain in place. | The instruction to removal this portion of the floor is in CCD-11R.11 and is waiting for the contractor to sign.</t>
  </si>
  <si>
    <t>See attached for ARW Responses.</t>
  </si>
  <si>
    <t>PR# 4 Door types level 3 and 5</t>
  </si>
  <si>
    <t>New door type # 2 AE 610 call for new door to be 6'-8" . Door type 2on new door schedule AE 602 call for doors to be 7'-0" high. Which is correct
Detail A3 shows flat portion of the door casing to be flush with the plater wall. Based on our door conversation casings wood base are all to be applied after drywall or plaster.  </t>
  </si>
  <si>
    <t>Door type #2 height needs to be 6'-8".  The baseboards and casing are to be installed after, per conversations.  Thanks |</t>
  </si>
  <si>
    <t>Custom Tile</t>
  </si>
  <si>
    <t>1 In the fountains there is some 6 x 6 custom made tile. Is the final design approved for fabrication?
2 Is there a need to have additional samples of the approved design submitted prior to fabrication release?</t>
  </si>
  <si>
    <t>1 In the fountains there is some 6 x 6 custom made tile. Is the final design approved for fabrication? Yes, the team has approved the design and have notified the manufacturer on the final design and colors of the tile. Please also note the attached image that provides desired orientation of the tiles for installation.  
2 Is there a need to have additional samples of the approved design submitted prior to fabrication release? Yes, please contact the manufacturer to have three tiles made for a submittal to approve final colors and color consistency.  |  |</t>
  </si>
  <si>
    <t>Blind Side Waterproofing</t>
  </si>
  <si>
    <t>Is blind side waterproofing needed here (see the attachment)? The red checkered area was omitted.</t>
  </si>
  <si>
    <t>See CCD-074 for instructions and recommendations from Morrison Hershfield.</t>
  </si>
  <si>
    <t>Carter Cluff</t>
  </si>
  <si>
    <t>West tower slab elevations ASI 11 and 33</t>
  </si>
  <si>
    <t>See attached mark ups from ASI 11 and updated information from ASI 33. 1) Please verify our understanding of the changes to top of concrete elevations at the slabs in ASI 033? 2)Also please confirm 2" recess elevations in locations as noted on attachments. 
ASI 11 Top slab             ASI 33 Top slab
Level 0   79'-0"              79'-0"
Level 0.5  88'-9"            88'-9"
Level 1    100'-0"           100'-0"
Level 2    111'-7"             111'-3 1/2"
Level 3    130'-2 1/2"      130'-1"
Level 4    141'-4 3/4"      141'-3 3/4"
Level 5    160'-1 3/4"      160'-0 3/4"
Roof/ TOW 173'-3 1/2"   173'-3 1/2"</t>
  </si>
  <si>
    <t>The attached recessed slab areas at the west addition restrooms and janitor closets match what CRSA understands are the correct elevations that were given by the contractor. The slab thickness in those areas will be reduced from 10" to 8" thick to achieve the 2" depression. Please refer to the future ASI 033-R.1 for the structural clarifications regarding this condition. |</t>
  </si>
  <si>
    <t>Basement Mechanical Openings</t>
  </si>
  <si>
    <t>The Openings in the basement are bigger then the plans showed on the bid set AD100A scaling the plan we came up with the wall being 6'6'' thick on the north east
4' on the north west and west side and 6'6" on the south side. but. the top of the opening is 7' thick and the base ranges from 11' to 13' thick. there we be a change in price on these openings with saw cutting and demo how do you want us to proceed with the schedule we are being pushed to keep moving</t>
  </si>
  <si>
    <t>What TID is saying seems to be true. This needs to be worked out with Westland and the subcontractors. | OK, Thanks for the heads up. | This is resulting from unforeseen circumstances. | That is true but i want to make sure you understand there are going to be additional costs incurred due to the increased thickness of the existing foundation wall.</t>
  </si>
  <si>
    <t>CCD 040 Stone and Tile Clarifications</t>
  </si>
  <si>
    <t>1. Finish Schedule AE660 calls out BC1 base (carpet) with wall base detail C4/AE570 (from Addendum 3). However, detail C4/AE570 is stone base
with a hardwood cap. Which base material is correct?
2. Finish Schedule AE660 calls out WT4 on the south and west walls in room 007, but there is no WT4 in the Finish Legend. Please correct.
3. Finish Schedule AE660 calls out BR3 base (rubber) with wall base detail C1/AE570, but that detail specifies stone base with a hardwood cap. Which
base is the correct material?
4. Finish Legend shows FT4 and WT3 tile colors as TBD. Please provide these details as tiles can vary in price.
5. Finish Legend shows FS3 as being removed from the project. Drawing AE160B still shows an Ashlar pattern on the floor below Stair 4. Is this
flooring to be FS1?
6. Finish Schedule AE660 calls out BT3 base in the Elevator Lobby 053, but Stair Lobby 052 calls out BR3 base. Should these two areas have the
same base?</t>
  </si>
  <si>
    <t>Jose Duron</t>
  </si>
  <si>
    <t>CCD 54.4 Stone and Tile Questions</t>
  </si>
  <si>
    <t>1. The drawings show many changes to the layout of the walls. Please update the door schedule to reflect the stone threshold changes.
2. Drawing AE4004 from CCD 54.4 shows a countertop in Custodial Supply Office 007. Is this countertop stone? If so, please specify the type and
provide details for the edge profile, thickness, etc.
3. Drawing AE4002A from CCD 54.4 shows countertops in Break Room 010 and Grab-N-Go 011. Are these countertops stone? If so, please provide
the same details as listed in question 2.</t>
  </si>
  <si>
    <t>233519</t>
  </si>
  <si>
    <t>Sealant at dryer exhaust</t>
  </si>
  <si>
    <t>Specification section 233519, subsection 2.2, paragraph E states to use a 3M EC-750 sealant to seal the dryer exhaust system duct.  Upon further investigation, it has been determined that this particular product as listed in the specifications for this type of application is no longer available and manufacturing has been discontinued.</t>
  </si>
  <si>
    <t>Please provide an alternate sealant to install the dryer duct system.</t>
  </si>
  <si>
    <t>Please provide a sealant that has been used in this application on other projects. If this is a new application, please reach out to your supplier and get his recommendation. Then I will need you to fill out the Equal Product Approval Request Form. For your convenience I have copied a link to it bellow.
https://studio.bluebeam.com/share/j24an3</t>
  </si>
  <si>
    <t>265100</t>
  </si>
  <si>
    <t>EL100C, EL101B, EL101D</t>
  </si>
  <si>
    <t>LS4C Lights in Rest Rooms</t>
  </si>
  <si>
    <t>Restrooms 070, 080, 134, and 152 show a type LS4C light fixture which is a 1x4 wrap-around. They are shown located close to the wall, almost in the corner. How far from the wall should these be mounted? And please confirm this is the correct light fixture.</t>
  </si>
  <si>
    <t>That is the correct fixture type. They should be mounted 2’ from the wall.</t>
  </si>
  <si>
    <t>4th Floor Ceiling North/South Wings</t>
  </si>
  <si>
    <t>Please confirm what is going to happen with the joint between the historical crown molding and the new ceiling that will be installed on the wings.
I have drawn up my understanding of that it is going to consist of but the items we are specifically looking for are:
1.      Specific location of where the Crown is to be cut.
2.      Attachment method of the Drywall to the Crown Molding.
3.      Size of gap from the Drywall to the existing Crown Molding</t>
  </si>
  <si>
    <t>Rebar Around Buttress A7 / AH</t>
  </si>
  <si>
    <t>The typical buttress rebar wont work for the buttress near A7 / AH. Please advise (note see the attached suggestion).</t>
  </si>
  <si>
    <t>The suggested detail for this is acceptable.  Judd Bundy and Brent White spoke about this on site this morning and discussed the same detail.</t>
  </si>
  <si>
    <t>Annex / Addition Bldg - Interior Windows Types AA &amp; BB</t>
  </si>
  <si>
    <t>During the H2 window mock-up review and subsequent meeting on Tuesday, July 14, we (Scott Gilberg, Ryan Thomas, Re-View) discussed the potential of changing the wood species of the interior window types (AA and BB) at the Annex. We discussed changing from Accoya to Sapele Mahogany to provide a finish substrate that is more in line with other interior elements.
Please confirm that this is the direction that we need to proceed. We consider this to be a no cost change.</t>
  </si>
  <si>
    <t>Addition level 1 Floor Boxes</t>
  </si>
  <si>
    <t>Dimension floor outlet plan shows 4 additional floor boxes 2 at the recommend desk and 2 in room 132a . the electrical drawing shows standard outlets. Which is correct? 
Matron office 120  We need wall dimensions or the floor box dimensions to be taken off grid line.</t>
  </si>
  <si>
    <t>1a - The 2 locations show at the recommend desk can just be conduit stub ups as the wiring will be routed inside the millwork to their final locations. Follow Envisions drawings. 
1b - The 2 locations at room 132a can be omitted, follow Envisions drawings to run wiring in walls and put the power/data just under the countertop for the point of sale.
2 - Matrons Office, 3' - 2 1/2" South of Grid A7, 16' - 3" East of Grid AH |  |</t>
  </si>
  <si>
    <t>Jeff Adams</t>
  </si>
  <si>
    <t>Clear &amp; Grub Sod Areas</t>
  </si>
  <si>
    <t>After digging in some sod areas with existing trees we have become more aware of the extensive root systems of the trees.  We believe removing six inches of topsoil and replacing it in this area would be very detrimental to the existing trees because it would damage many roots.  We think the minimal impact we could have on the trees while still providing a great product for the customer would be to only sod cut the top one inch of soil and remove the sod.  Then just topcoat the area with about one inch of topsoil as needed and lay new sod.</t>
  </si>
  <si>
    <t>Jayson Christensen</t>
  </si>
  <si>
    <t>Mainline PSI</t>
  </si>
  <si>
    <t>The pressure in the mainline is very high at up to 130 psi and fairly steady at 113 psi.  Most parts in the irrigation system have a manufacturers warranty that states the pressures should be between 35 and 90 PSI.  We believe a pressure reducing valve at the point of connection may be needed to reduce pressures to 90 psi.  Currently on the project there are a Netafim drip valves that make a high pitched noise because of the high pressure.  Two of the valves have also had to be replaced and frequently tightened to resolve leaks that are developing.  We believe the noise and leaks are as a result of the high pressure.  A pressure reducing valve could be installed by the point of connection and should likely be 2" or larger.  Please advise on a possible solution.</t>
  </si>
  <si>
    <t>4th floor lighting on lower ceilings</t>
  </si>
  <si>
    <t xml:space="preserve">Confirm lighting layout modification on 4th floor (as shown on attachment) per conversation with Scott Gilberg,  Ben Rogers, and Kyle Welch on July 28 2020.  </t>
  </si>
  <si>
    <t>Adjust can light layout to avoid clashes with joists and plumbing .</t>
  </si>
  <si>
    <t>Detail 2/ES503 shows a 12" housekeeping pad for generator 6" above grade 6" below grade. this generator is located on a suspended slab is the 12" pad necessary or could we use a 4" slab doweled into the suspended slab? The original generator at this location was on a 4" pad, Does the additional weight of the larger pad and generator need to be considered? please advise</t>
  </si>
  <si>
    <t>The housekeeping pad for the generator at this specific location should be no more than 4" thick and should be reinforced similar to those pads in the basement of the north addition. |</t>
  </si>
  <si>
    <t>Cut Columns on North Wall of Stair</t>
  </si>
  <si>
    <t>Please confirm that, per conversations held while preforming site walks, that the stone column as shown in the attached drawing are to be cut flush with the adjacent wall. This column does not have any weight bearing on it from above.</t>
  </si>
  <si>
    <t>Confirmed.  Please see ARW Report #28, Item 28-7</t>
  </si>
  <si>
    <t>LVL Spacing 2nd and 0.5 Levels</t>
  </si>
  <si>
    <t>Please advise if we are going to need to add additional backing in the locations that are spaced further then 24” due to ducting that has been installed. For reference I have marked on a Drawing the locations this greater than 24” spacing is occurring. </t>
  </si>
  <si>
    <t>2” main irrigation line in area A</t>
  </si>
  <si>
    <t>(Marked in Blue)
The communication wires do not work. Currently the new communication wire is on top of the ground that connects the clock to the valves. New wire needs to be installed to these valves underground.   With the issues of the main irrigation line around the Visitor Center, there is a concern there are issues with this main line.
(Marked in Red)
The 2” main irrigation line crosses under the fire lane into the planter area next to the historical temple. Is there a need for the main line to extend under the fire lane? Or can it be located further away from the temple? The concern is having the main irrigation too close to the temple and the damage that may happen if a main irrigation line break. Irrigation lines have been broke with maintenance work and equipment in the past.</t>
  </si>
  <si>
    <t>Relocate the drip line valves to the opposite side of the fire lane and have a drip supply line sleeved under the fire lane</t>
  </si>
  <si>
    <t>Sewer, Landscaper shed sewer elevation and sewer line connec</t>
  </si>
  <si>
    <t>(#1 Blue cloud)
The 6” line connecting to the 400 South from the dock area is showing that it connects directly to the 8” that runs along 400 South. Is the intent for the 6” sewer line connects to the 8” or should it be connected to SSMH#04?
 (#2 Blue cloud)
The clouded area #2 is missing elevations. These elevations are needed for the work to proceed.</t>
  </si>
  <si>
    <t>#1. 
One of the comments from the JUC was that they didn't want laterals connecting at the manhole. They want it to connect in the mainline.
#2. 
Attached is the pdf that has the sewer elevations for the landscaper's shed. |</t>
  </si>
  <si>
    <t>AE 660,  thru AE 662</t>
  </si>
  <si>
    <t>CCD 040 Floor Finish Schedule</t>
  </si>
  <si>
    <t xml:space="preserve">Change to the finish schedule show contradictions in the base type. A few examples are. Rm. 011, 019, 023A, 023B, 024, 044, 049, 050, 051, 052,  call for wall base type C1/AE570 wood base  cap on top of stone and the Base Finish calls for BR3 which is rubber base. I have not reviewed all the finish schedule to see if other errors occur. Clarify which is the correct wall base type.
  </t>
  </si>
  <si>
    <t>Concrete sidewalk dowels needed for the 2 part pour</t>
  </si>
  <si>
    <t>To accomplish the banding design on the sidewalks, the sidewalk banding is poured first and the middle section is poured later. This approach has been discussed and approved by the architects. In field discussions between Westland and CRSA, CRSA has requested that the sidewalks from now on have a rebar hook poured in between the banding pour and center pour. Please confirm and describe type of J hook or dowel needed for the sidewalks. Costs may be associated with this work.</t>
  </si>
  <si>
    <t>Historic East Tower Crawl Space Slab and Penetrations</t>
  </si>
  <si>
    <t>Please reference the attached notations to sheet S100A.
1) Please confirm that we are to install a 12” concrete slab at the crawlspaces beneath confirmation rooms 063 and 064 as noted in yellow in the attached S100A. 
2) Please confirm that we are to widen the duct openings through the foundations as shown in the attached S100A. 
(BIM coordinated shop drawings from US Mechanical have also been included for reference).</t>
  </si>
  <si>
    <t>Brides exit drinking fountain drain</t>
  </si>
  <si>
    <t>C.9 has a drinking fountain in the brides exit area. The drain for this drinking fountain connects to the sewer line on 300 East. Is it beneficial for the drinking fountain drain to connect to SSCO #03 that is north of the drinking fountain? If the drinking fountain needs to stay connected to 300 east please confirm?</t>
  </si>
  <si>
    <t>Door schedule question resulting from CCD54.4R2 revised door</t>
  </si>
  <si>
    <t xml:space="preserve">Missing from door schedule Door 015D room 012, Door 060A room 060 was on previous schedule, Door 065B is listed as type 4 per meeting notes this was to be type 6 elevation C4/AE4023  to match door 060A with type C4 C1 casing, Door 0190A list door type 31 which does not exist should be type 8 see elevation C1/AE47124 </t>
  </si>
  <si>
    <t>Furniture Drawings, RFI 361</t>
  </si>
  <si>
    <t>Floor Box Furniture Coordination</t>
  </si>
  <si>
    <t>As we are laying out the floor boxes as dimensioned in RFI 361, it appears there will be furniture directly above the floor boxes in several location. See furniture drawings. Will there be enough clearance between the floor boxes and the furniture called for in these areas? This is a general question for all floor box locations. Please advise.</t>
  </si>
  <si>
    <t>Fabric for altars</t>
  </si>
  <si>
    <t>Column Top of Pier Elevation</t>
  </si>
  <si>
    <t>The 3 columns at gridline AB in the slab on grade area are shown to be bearing on top of a pier which is to terminate at 99'-4".  GSW has buit these columns to bear at elevation 98'-4".  Is it possible to terminate these piers at 98'-4"?</t>
  </si>
  <si>
    <t>Structurally it is possible to have the columns bear at 98'-4" but several trades may be effected by this decision.  This needs to be coordinated with the general contractor please advise on decision that is made.</t>
  </si>
  <si>
    <t>East Tower Dry Sprinkler system</t>
  </si>
  <si>
    <t>The fire protection contractor is installing a dry system for the East Tower there will be an air compressor that needs power and several different switches that need to be monitored by the fire alarm system these are not on our drawings see attached for location of equipment please advise</t>
  </si>
  <si>
    <t>Flat screen rm 042</t>
  </si>
  <si>
    <t>EP100 keyed note P4 refers to wall mounted tv in room 042 see markups in attachment.  We need mounting height and location of flat screen AE4013 Detail B4 shows a dry erase board in this location. Please Advise.</t>
  </si>
  <si>
    <t>AE140 - Annex Basement Dimensions</t>
  </si>
  <si>
    <t>There are multiple dimensions and wall types missing on AE140 (see attached drawing). Please provide provide dimensions/wall-types.</t>
  </si>
  <si>
    <t>Dome Ceiling Finish Thickness Inquiry</t>
  </si>
  <si>
    <t>Currently the ceiling design of Instruction room A-3 (210) and B (211) shows 1-layer of 5/8" gypsum board with a veneer plaster finish (ceiling type C2). The radius for the barreled &amp; dome ceilings is too tight for 5/8" gypsum board. Please advise what size gypsum board  will work with the tight radius of these ceilings. Please advise the thickness of the veneer plaster.</t>
  </si>
  <si>
    <t>Westland to inquire with their Fireproofing contractor to verify what is acceptable. |</t>
  </si>
  <si>
    <t>See comment from ARW. | See comment | We originally requested these to be 9 ½” to allow for tile, grout beds and sloping to the drain. Can we use the 9 ½” 12” O.C. | see ARW's response. | A facemount hanger HU9 is appropriate. | Due to the concern with wood dowel interference.  Please use 1-3/4" x 11-7/8" LVL joist spaced at 12"o.c.  at the infill areas for the bathrooms instead of the currently specified 9-1/2" LVL's.  Install the new LVL joist into the existing joist pockets and then install a top flange hanger similar to what is shown in detail 5/S246.  This change will be made in a forthcoming clarification. | Correction.  In the bathroom areas a 1-3/4" x 9-1/2" LVL @ 12"o.c. can be for the joist.  | A top Flange hanger is designed for a joist being attached to a equal size member.  We are attaching a 9 1/2" LVL to a 12" rough sawn member. Would like to substitute top flange hanger with facemount hanger HU9 that has an allowable floor load of 2680lbs.</t>
  </si>
  <si>
    <t>See attached marked up drawing. | We will close this RFI upon receipt of CCD 45-R1 for level 5 ceiling. On the other floors we will proceed as directed.  | close. | See upcoming CCD-045 R2. |  |  | Good to hear, let us know when you are able to get it completed.</t>
  </si>
  <si>
    <t>MGB+A RESPONSE: Based on the information provided from the contractor in the RFI-551 we recommend providing new 4" mainline of the same type as the current new 4" mainline that has been installed. The Landscape contractor is to provide additional information on cost to replace the existing mainline in question. Costs to be reviewed and approved prior to proceeding. 
MGB+A: Brandon Ruiz 7-7-2020 | This was responded to July 7, 2020. It is still showing up as 'outstanding'.  |  |  | July 31 there was a PDF attached about a different route for the 4" irr. main line.  Stratton and Bratt are putting costs together for this second option.  Please review this PDF for rerouting the main line.  This route would be less costly and would not impact the site outside of the fence.</t>
  </si>
  <si>
    <t>It needs to match our trim, however it is a custom munsell color. We are waiting on paint submittals still for the paint. This is the first time I have heard about 0C-13 Chamois.</t>
  </si>
  <si>
    <t>After discussion with the owner and contractor, the decision has been made to stay with what is specified in the drawings.</t>
  </si>
  <si>
    <t>In lieu of cutting the leg down to 5" please drill a hole in the leg to accommodate the interfering bolt?  This hole could be oversized to allow for in-field adjustment. | Partial Answer: The I-Beam will be installed in the current location of the wood beam, so we will need the 24” long seat. 
Remaining Question: It conflicts with an existing bolt - can the seat be cut down to a 5" leg on the vertical face in order to accommodate? See attached screen shot for clarification.</t>
  </si>
  <si>
    <t>Please discard the detail that was provided with this RFI.  Please see the newly attached detail.
The historic plaster crown moldings on the far north and south walls have been demolished and will be replaced with a like GFRG crown molding.  The historic plaster crown at the column line and entablature is to remain, and be repaired as needed.  as discussed on-site with sub contractors, the new suspended gyp ceiling will be hung at a height as to provide the minimum space required for MEP items.  at the transition of the gyp ceiling and the crown molding(s) please provide a 'mudded L-bead' and a 3/16" gap between the two.  Please fill gap with paintable caulking.</t>
  </si>
  <si>
    <t>this proposal to move to mahogany for the windows mentioned is acceptable |</t>
  </si>
  <si>
    <t>Please see our response in the attached document.  |</t>
  </si>
  <si>
    <t>the proposed direction provided on the sketch is acceptable. |</t>
  </si>
  <si>
    <t>Please refer to ARW Report #28 Item 28-5 for information on this matter. | Please see forthcoming CCD #080.  (wall type will be changing to add a layer of plywood in lieu of a layer of sheet rock)  this to handle the large spans between studs  | Field report 028-5 says "Westland asked if the sheetrock needs additional backing where the studs are spaced further apart than 24” o.c. This has been discussed previously and it is our understanding that CRSA will issue an ASI outlining how this should be handled."</t>
  </si>
  <si>
    <t>see response from structural engineer |  | 1) This is the direction given by the owner during the site walk on August 30, 2020.  This revision will be shown in CCD 45-R.4
2)  It is acceptable to widen the duct openings as shown.  This is consistent with the conversation between Matt McBride and the team during his site visit.</t>
  </si>
  <si>
    <t>Install 2 layers of 1/4" in locations with the tight radius restrictions.</t>
  </si>
  <si>
    <t>the suggested (2 layers of 1/4" gyp) is acceptable. | the same thickness as the plaster veneer being applied elsewhere.   |  | What size thickness does the plaster need to be?</t>
  </si>
  <si>
    <t>Delete north roof drain solid pipe and correlating RDCO's</t>
  </si>
  <si>
    <t xml:space="preserve">Per field conversation with Eric Jamison. The roof drain lines that are marked with pink line are to be deleted. These roof drain connections and clean outs are to be returned to what the original design showed and will be connected to the storm drain line.
Please reference the attached drawing for additional information. </t>
  </si>
  <si>
    <t>roof drain for lanscaper shed</t>
  </si>
  <si>
    <t>The roof drain connection for the landscaper shed is shown to connect to the storm drain that has already been installed and is 18 feet deep.  Instead of digging that deep to connect to the storm drain system, is it possible to connect the roof drain clean out at the landscaper shed to SDCO #01?</t>
  </si>
  <si>
    <t>Basement Layout</t>
  </si>
  <si>
    <t>Please see attached sketch noting existing conditions in relation to grids H3 &amp; HD.  During our meeting this morning it was noted that the new LVL walls were to be aligned with the existing stone columns (those wrapped with carbon fiber).  This represents the columns related to the grids.  It appears that the thinnest area occurs at grid HE and that the LVL walls will need to follow this line unless directed otherwise.  Please clarify where these walls will align as this will affect our steel in the font level.  We have also located the new WF beams supporting level 2 in reference to grids for the LVL walls running north to south along grids HE &amp; HC.  Please clarify that the intent along these walls is to match the opening created at level 2.</t>
  </si>
  <si>
    <t>Fire protection site supply line.</t>
  </si>
  <si>
    <t>Related Scope: Civil/Fire suppression
Related Documents: C.15/FP100/PS100
Description: Per FP100 note 10  and PS 100 note 2  states to “See civil plans for continuation.” C.15 Fire &amp; life safety plan shows the line supplying the temple, but it has no note indicating that it is to be replaced as a new line. Is it the intended to replace this line? If it is to be replaced to what extant is it to be replaced (ie. From post indicator to building)? Costs are anticipated with this work. Please advise.</t>
  </si>
  <si>
    <t>Historic jacket wall epoxy dowel spacing clarification</t>
  </si>
  <si>
    <t>The typical jacket wall detail 1/S241 calls out the "#4 hooked dowel at 24" O.C. @ each layer of foundation stone". Does this mean at every horizontal stone transition layer the #4 dowel needs to be installed at 24" spacing or is a horizontal and vertical grid pattern of 24" in both directions acceptable? The way we submitted this in the rebar shops we anticipated 24" grid pattern because the stone sizes/layers vary significantly. Please clarify intent.
This issue has arisen from the special inspector.</t>
  </si>
  <si>
    <t>A 24"o.c. grid spacing was intended similar to what was shown in the shop drawings. |</t>
  </si>
  <si>
    <t>Stair 1 Floor Finish Details</t>
  </si>
  <si>
    <t>The current detail at stair 1 (Annex) denotes a hardwood tread configuration.  The latest floor finishes have changed this finish to carpet on the treads with Hardwood at level 1 and LVT at level 0.  Currently there is no detail for carpet at the stairs.  Please provide a detail containing substrate information, etc for this condition as well as the carpet to wood transition at level 1.  We know the carpet is 3/8" thick, but will need thickness of substrate as well as offset dimensions for tread nosing in order to configure our steel pan system.</t>
  </si>
  <si>
    <t>Annex High Entrance Roof Steel</t>
  </si>
  <si>
    <t>There are 3 columns on the South of the High Entrance Roof Tower that appear in details and in the architect's model to extend without a termination detail.  The top of steel elevations are also not apparent for the remainder of the steel in elevations E, F, G on Sheet S107A.  Please clarify</t>
  </si>
  <si>
    <t>Can Location in Ceiling of 3rd Level East Room</t>
  </si>
  <si>
    <t>Can light layout has the can lights landing in the bottom flange of the I-beam in the ceiling. They can be moved 5 5/8 closer to the wall in RED or 10 1/2" to the center of the room BLUE. The original location is shown in BLACK.
Please refer to the attachment for clarification.</t>
  </si>
  <si>
    <t>PLEASE MOVE THE LIGHTS TOWARD THE WEST WALL AND FOLLOW THE INSTRUCTIONS ON THE ATTACHED SHEET FOR LOCATING THE REMAINDER OF THE FIXTURES IN ROOM 318. |</t>
  </si>
  <si>
    <t>Duct vs. Structural Pier at Basement Historic</t>
  </si>
  <si>
    <t xml:space="preserve">See attached M100A drawing depicting conflict with Return Air duct and structural pier located at grid line HB and H4.  </t>
  </si>
  <si>
    <t>Possible solution is to split the 32x44 RA duct into to different segments to reduce overall size.  See attached drawing indicating duct shown in PURPLE with dashed lines may be able to fit west of the pier and pick up this RA ducts</t>
  </si>
  <si>
    <t>M101, GI201A</t>
  </si>
  <si>
    <t>Fire Rated assemblies at Level 1 Annex</t>
  </si>
  <si>
    <t>Drawing M101, Annex Bldg indicates multiple mechanical shafts, elevator shafts and shear walls with mechanical duct penetrations.  Drawing GI201A indicates these areas to be 1hr rated assembly at all walls.  Please confirm if fire or fire smoke dampers are required at these mechanical duct penetrations.  See attached highlighted drawing for clarification.</t>
  </si>
  <si>
    <t>Clarify if SD or FSD are required at the highlighted locations shown per the attached.</t>
  </si>
  <si>
    <t>Annex Wall Heights</t>
  </si>
  <si>
    <t>Please confirm the wall heights in the Annex are to be full as outlined in the attached document. These heights have been derived from the BIM file. We are planning on framing the wall to the deck above with the Drywall coming up to the Elevation that is out lined in the attachment. For clarity the attached drawing has gone through as a submittal already. We just want to make sure everyone is on the same page because this could change some of the mechanical in this area.</t>
  </si>
  <si>
    <t>All framed walls to be framed and drywalled to bottom of deck above.  Typical details to frame out duct work penetrations or bracing walls where needed are found on sheets SS09 and SS10.</t>
  </si>
  <si>
    <t>Area Wells at Annex</t>
  </si>
  <si>
    <t>Sheet AE100 denotes (2) Area Wells along the East wall of the Annex between grids A3 &amp; A4.  There appears to be no information as to how these are capped (assuming grating is needed here for safety).  Please clarify what is to be used for these wells.</t>
  </si>
  <si>
    <t>Data Rm. 039 power</t>
  </si>
  <si>
    <t>EP100/5 shows one circuit powering outlets on each wall is it the intent for this circuit to power all wall mounted equipment except fire alarm in this room? 
EC501/3 shows the outlets refered to in question 1 mounted 72" to center. Is this correct?</t>
  </si>
  <si>
    <t>S104, EL104B</t>
  </si>
  <si>
    <t>1” Electrical Lines Ran Through I Beam</t>
  </si>
  <si>
    <t>After the placement of the I-Beams in the ceiling of the East room on level 3 that we need to penetrate the I-Beams twice to allow for electrical lighting conduits. Please see attachment for clarification.</t>
  </si>
  <si>
    <t>Allow for 1” penetrations in center 3rd of I-Beam.</t>
  </si>
  <si>
    <t>P100A</t>
  </si>
  <si>
    <t>Basement Gravel Base Under Slab</t>
  </si>
  <si>
    <t>Per discussion on site it has been discussed the option of changing the gravel under the basement slab to 6” in leu of the 24” as called out in the soils report or should we go to 18” needed for plumbing drainage. Please confirm if this is the case. 
The dewatering lines would be running flat to their drain and won’t have the slope called for in the plans. This may be a nil point but the plumbing lines below 6” will be below the dewatering system.  </t>
  </si>
  <si>
    <t>Install 18" of gravel allowing for the plumbing drainage.</t>
  </si>
  <si>
    <t>RFI Num</t>
  </si>
  <si>
    <t>Date Sent</t>
  </si>
  <si>
    <t>Ball in Court</t>
  </si>
  <si>
    <t>Days Open</t>
  </si>
  <si>
    <t>The Civil revisions for the waterline replacement will be on upcoming CCD-059. | CCD-059 was signed and sent out 6-15-20.  | Attached is a drawing that should reflect the work to be desired for this. 
On the west side are two 2" water meters. There are two 2" poly lines that come from the water meters into an existing concrete vault. In that vault one of the 2" lines turns into a 4" line and connects to the building. The other 2" line turns into a 4" line and runs north to an irrigation backflow preventer.
On the east side, the existing 1.5" water meter will be relocated. It will be placed approximately mid-block on 300 East. The 1.5" water meter will connect to a 3" line that will connect to an irrigation backflow preventer that is on the temple property. |  |  | we can review this with the other RFIs. I think we really just need to know why it wont fit and by how much, but I could be wrong. | We will leave this open until we receive CCD- 059.Thanks, | Civil Page C.11 on CCD 59 only shows replacing a 2-inch water line to the Mechanical Room domestic. The main line for the temple is 4 inch in the mechanical room. The vault on the west side of the grounds has TWO 2 INCH POLY lines joining into one 4-inch ductile iron, that needs to be replaced. see attached</t>
  </si>
  <si>
    <t>Please provide a price to replace RCP-01, CWP-01 and CHWP-2. | Please provide final pricing for acceptance. | I have attached the pricing that was requested. | The drawings will be updated as part of CCD-028 R.3 to show these pumps as being replaced. |  |  | I will close this with the issuance of the CCD.</t>
  </si>
  <si>
    <t>We need to finalize the fabrics. However it will be a 54" wide mohair or velvet. No pattern. Will check with owner on attic stock needs.  |  | When you get the attic stock information from the owner please provide the requirements. Then I will be able to close this item.</t>
  </si>
  <si>
    <t>Average</t>
  </si>
  <si>
    <t>18.4 days</t>
  </si>
  <si>
    <t>response:</t>
  </si>
  <si>
    <t>See Response from ARW. | Brian please confirm the sizes below are the actual out side to out side dimensions. | 1.      See M100A for modified ductwork sizes. There will be LVL studs through which to run the ductwork. 
2.      See CCD 28.
3.      We suggest using the duct size shown in the drawing plus 3” on all sides, but this should be coordinated via the shop drawing process.     | This response will also need to be reviewed and additional information provided by mechanical and arch. 
1)     See mechanical and arch for dimensions of the area well. Structurally, we are anticipating the following and take no exception to the dimensional requirements of the area well provided they meet the following requirements
a.      Bottom of the penetration opening is anticipated to be at elevation 90’-0” with the opening being no taller than 36”. 
b.      Shaft opening width is no larger than 5’-0” as shown in detail 9/S240 and the top of the shaft does not interfere with slab on metal deck construction.
2)     See mechanical and arch for required dimensions of the shaft. Structurally we are anticipating the following based on detail 2/S242:
a.      East of the stone wall the top of the shaft opening will be the bottom side of the mat slab in the baptistry level. This puts top of shaft opening at approximately 86’-0”.
b.      West of the stone wall the top of the shaft opening will be the bottom side of the mat slab in the corridor. This puts top of shaft opening at approximately 86’-7”.
c.      Shaft opening width is no larger than 5’-0” as shown in 2/S242.
3)     See mechanical and arch for required dimensions of the shaft. Meet shaft size requirements shown in details 9/S241 and 9/S240. It is anticipated that the bottom of the shaft opening is at elevation 90’-0”.</t>
  </si>
  <si>
    <t>Please see response from Mechanical engineer.  | If this is not acceptable will you, please provide an alternate. |</t>
  </si>
  <si>
    <t>Please see our attached response.  |  |</t>
  </si>
  <si>
    <t>This can connect to SSCO#3. The sewer line in 300 East will be abandoned. |  | This RFI concerns the sewer line from the exterior drinking fountain in the Bride's plaza. The plumbing drawings indicate an invert for the sewer but that is it. I am assuming that the sewer line routing is shown on the civil plans.</t>
  </si>
  <si>
    <t>This connection can work. I have a bit of hesitancy with it because the line almost does a 180 degrees.. Normally you don't like to bend more than 90 degrees. However, with the low flows and the cleanout available right there. This connection can be made. |</t>
  </si>
  <si>
    <t>It is acceptable to drill the holes at the locations shown in the attachments.   |</t>
  </si>
  <si>
    <t>Micro-pile Rod is Short and to the Side</t>
  </si>
  <si>
    <t>We have a few all threads inside the micro pile that are below the jacket sleeve. Some of the all threads are far side of the sleeve and adding a coupling then extending the rod up is the fix.
Adding a coupling is not an option in one location. as discussed on site please confirm we can wield a piece of all thread to a plate and set it inside aligned with the other all thread and grout it in. this way the load should transfer through.</t>
  </si>
  <si>
    <t>Please see attached sketch for extending the micropile.</t>
  </si>
  <si>
    <t>Fire Protection in Landscaper's Shed</t>
  </si>
  <si>
    <t>As far as I can tell there is no fire protection in the landscaper’s shed.  Should there be fire protection in that little building?</t>
  </si>
  <si>
    <t>CCD_66</t>
  </si>
  <si>
    <t>S248</t>
  </si>
  <si>
    <t>Interior Column Sequencing</t>
  </si>
  <si>
    <t>1. Core/install strong pipe
2. Cut Micro-Piles to fit column structure
3. Install shims under Flat Jacks
4. Install Flat Jacks 
5. Install wide flange beam
6. Install C Channel/wield washers
7. Raise Column Assembly so strong pipe is touching the top of the core.
8. Wield washer to C Channel 
9. use come-along straps to hold C Channels tight for wielding 
10. Wield washer to strong pipe 
12. Install pretension rods tighten rods to 100 kips
13. Grout cure time - Anticipate 4 days
14. Transfer load through Flat Jack
       - Preload Flat Jacks max 75 kips
       - Monitor for 30 mins for possible setting.
15. Transfer from water to grout.
16. Give grout cure time.
17. Transfer complete
18. Install reinforcing jacket wall.
19. Inspect reinforcing.
20. Form for 2nd jacket wall.
21. Pour second jacket wall, including around the C Channel.
22. Excavate/grade basement
23. Install plumbing/dewatering
24. Install gravel.
25. Place/inspect re-bar. 
26. Place concrete slab on grade.</t>
  </si>
  <si>
    <t>ASI 39 clarification of opening headers</t>
  </si>
  <si>
    <t xml:space="preserve">1)Attached is a section cut from our approved rebar shop drawings that show the header beam extending to the face of the jacket walls. Section A in ASI 39 leads me to believe we only need to have the beam span the length of the stone wall.  Either way our rebar ties will work they will just be splice at a different location. If we can follow the ASI direction it would be preferable. Please clarify. 
2) The epoxy dowels in the head on ASI 39 section A show #4 bar at 12".  Detail 9/S241 shows #3 dowels. Please clarify. We also assume based on previous discussions these dowels are only on the edge of the openings and not at a 12" o.c. pattern if the #4 detail. </t>
  </si>
  <si>
    <t>Please use ASI 39 for the detailing and construction of the headers.  Detail 9/S241 is going to be superceeded by the information shown in ASI 39. |</t>
  </si>
  <si>
    <t>Room 410 Floor box relocation</t>
  </si>
  <si>
    <t>The  floor boxes in room 410 need to be relocated due to floor joist clashes.  The floor joists need to be where they are due to can lights being moved out towards walls.  Can we either move the floor boxes from 1' - 10" from the wall to 1' - 7", or cut channels in the plaster walls and install them in the walls?  See attached drawing for details.</t>
  </si>
  <si>
    <t>Dimensional Lumber Price Increase</t>
  </si>
  <si>
    <t>Due to the increase (300%) in dimensional lumber costs while the cost of LVLs are staying constant. Would it be acceptable to purchase LVLs as replacements for the dimensional lumber?</t>
  </si>
  <si>
    <t>Please Confirm</t>
  </si>
  <si>
    <t>North and west jacket wall tie rod elevations and questions</t>
  </si>
  <si>
    <t>Please verify the following regarding tie rod locations at the north and west jacket walls (reference details 1,3/S242, 1/S243)
1) Top row of tie rods will be spaced at 24" at elevation 93'-6 1/2" based on detail showing the row 12" below top of interior jacket wall
2) Second row of tie rods will be spaced at 24" at elevation 91'-6 1/2" (2' below top row)
3) Contractor please verify that the 1" tie rod holes will be core drilled after the jacket wall is placed. 1/4" max oversize (reference RFI 69) 
4) EOR in RFI 69 we asked to use epoxy grout for the tie rods. In researching options we feel a epoxy resin would be the best product for this application as it could be pumped into the deep rod holes and the viscosity of the epoxy resin would fill voids in the stone. Please verify if acceptable option and we will submit a product for use. </t>
  </si>
  <si>
    <t>Reinforcing Requirements for Cooling Tower Housekeeping Pad</t>
  </si>
  <si>
    <t>If a house keeping pad is desired under the Chiller.  Please advise what the reinforcing requirements are for the cooling tower CT-3 housekeeping pad.</t>
  </si>
  <si>
    <t>Ladder at Cooling Tower Enclosure</t>
  </si>
  <si>
    <t>If housekeeping pad is desired under the Chiller. Should we shift the stairs over to the wall so it will line up with the walkway below? If this is desired, we will follow the 2" free space as outlined in detail C4 on sheet AE509. This will result in additional cost to re-manufacture the guardrails where the guardrails connect to the ladder handrail.</t>
  </si>
  <si>
    <t>This question was resolved in the deco lighting design meeting.   |</t>
  </si>
  <si>
    <t>Omit these Roof Drains. 
It does not appear that these drains are going to work as drawn. The fiberglass is not structured / sloped to accommodate these drains, therefore they are to be omitted from the project. East tower will continue to drain via existing scupper onto the main roof of the Temple.  | Brain, can you confirm if these drains are new adds or just replacement of existing drains. To our recollection, these roofs just sheet flow to the edge.  |</t>
  </si>
  <si>
    <t>The sequencing of this and when Malcolm proceeds with work is at the discretion of the general contractor.  We ask that the written approval and test results be submitted to the design team for reference and documentation. | See ARW's response.</t>
  </si>
  <si>
    <t>We have already addressed everything in recent meeting in St. George.  | Questions were resolved in a deco lighting design meeting.  |  |  | Please provide what the resolutions where that resulted from the St. George Meeting</t>
  </si>
  <si>
    <t>See attached for ARW markups in GREEN. | Please see response from ARW. |</t>
  </si>
  <si>
    <t>AV design for priesthood room to remain as shown. It has been confirmed with Church AV and ceiling speakers will not be acceptable”. Please provide additional details on why conduits and wiring cannot be concealed. Other than possibly short sections of concealed speaker whip cabling by the speaker, the main run of conduit and wiring will need to be concealed. | Please refer to CCD-082 for the revised speaker locations and details. |  | This has been reopened as a way for Trask to provide some suggestions to Scott. Resulting from a conversation that happened on site.</t>
  </si>
  <si>
    <t>See comment from VBFA on 18-Jun-2020 | Please see CCD-067 showing revised FSD locations. |  |</t>
  </si>
  <si>
    <t>See the attached sheets for FDC location. We will want to use Croker 65332 Four-Way Square Freestanding Inlet FDC Model 6532 for the FDC. | Do you guys know anything about this? Can you help me resolve this? I wasn't aware of an FDC line. Where does this leave the building and where is it supposed to go?</t>
  </si>
  <si>
    <t>Duct Smoke Detectors are required to meet code. Are photoelectric type duct smoke detectors or ionization type detectors being used? Photoelectric type may reduce the issue. Locate them as far from humidifier equipment as possible and still meet code requirements. Can they be located at least 10ft or more from humidifiers? Can the levels of humidity be reduced or humidifier connection made downstream of detector? What solutions/changes were made on the past projects mentioned to resolve these similar issues as was noted? Does the mech/fire alarm installer have any additional recommendations for the design team to meet code yet reduce the issues noted? | See comment from Brian Oswald, VBFA dated 25-August-2020 |  | Please see this RFI regarding the duct smoke detectors. | The duct smoke detectors on this project are photoelectric type. We will put as much separation as we can between them and the humidifiers. As far as reducing humidity levels or locating the connection downstream of the detector, that would be a question for US Mechanical/VBFA. Both US Mechanical and AAA Fire said previous solutions were to eliminate the duct smoke detectors and provide smoke detection throughout the entire building, which would be pretty extensive on this project.</t>
  </si>
  <si>
    <t>Door 015D is not in the project
Door 060A has been removed, no closet in room 060
Door 065B is now Type 4 (supersedes meeting notes to be type 6)
Door 190A should be Type 8, this has been corrected |</t>
  </si>
  <si>
    <t>Please see CCD-050 revisions 1, 2 and 3 for revised floor box locations.</t>
  </si>
  <si>
    <t>It would be our recommendation to keep both pipes.  |</t>
  </si>
  <si>
    <t>Replace this line with a 6" PVC C-900 (DR-18) Line. See the 2 attached sheets. |</t>
  </si>
  <si>
    <t>See comment from Brian Oswald, VBFA dated 26-August-2020. |</t>
  </si>
  <si>
    <t>Refer to CCD-084 for added area well grate covers notes and details. |</t>
  </si>
  <si>
    <t>Scott said the suggestion of 18" is approved. |  | This is inside the building and would be best handled by the Mechanical Engineers (VBFA).</t>
  </si>
  <si>
    <t>This information should be presented in a submittal rather than an RFI.    We were expecting this sequencing procedure to be more detailed.  Can you please provide more detailed information regarding the following items:
1-When/how will the steel frame be connected to the micro piles?
2- How will the pretension be accomplished in the dwi dag bars inside the strong pipes? i.e. What method will be used to get the pretension?
3-Will the strong pipe be grouted solid during step #13?
4- Please provide more specific details and procedures as to how the load will be transferred through flat jacks.  Similar to what Chris Robins spoke about several weeks ago during a meeting between ARW, Westland and the owner. The following are examples of what we would like to see considered.
		a. How will a max load of 75 kips be determined?
		b. How will movement of the stone columns be monitored?
		c. How will initial micro-pile settlement be monitored?
		d. What grout is going to be used to for permanent placement in the flat jacks? |</t>
  </si>
  <si>
    <t>We see no issue in shifting the floor boxes closer to the wall as noted with the 1'-7" dimension.  Architect to confirm if they prefer this or moving to the walls. | Moving the floor boxes 1'-7" from the wall is acceptable and preferred.  |  | Please advise if this is acceptable.</t>
  </si>
  <si>
    <t>Confirmed by Zach H (ARW) in our OAC today.</t>
  </si>
  <si>
    <t>As a structural engineer, we do not have control over this requirement.  Please consult with architect and mechanical engineer if a housekeeping pad is needed for this chiller.  
If a pad is desired, then it will be reinforced per the typical housekeeping pad detail 4/S211. | Scott confirmed that we do want a pad under these cooling towers to match the rest. OAC today.</t>
  </si>
  <si>
    <t>Move the pad to the West as needed to clear the stairs. - OAC Meeting</t>
  </si>
  <si>
    <t>AE4305, AE123</t>
  </si>
  <si>
    <t>Lower Ceiling in Room 318</t>
  </si>
  <si>
    <t>Would it be acceptable to lower the Ceiling in room 318 2" - 1 1/2". This would allow for the Electrical in this ceiling to be installed.</t>
  </si>
  <si>
    <t>Lower Ceiling</t>
  </si>
  <si>
    <t>Please see RFI 652 for acceptable hole locations.  If drilling new holes in the beams is problematic then it will be acceptable to remove every 3rd 3/4" dia bolt that is attaching the LVL's to the beam webs.  These holes can be made larger to accommodate the electrical lines. | See comments below.</t>
  </si>
  <si>
    <t>Replacement trees for the Mimosa trees</t>
  </si>
  <si>
    <t xml:space="preserve">Direction has been given to replace the two Mimosa trees located at the brides photo radius in the south west corner.  Provide direction for the replacement trees to use.  </t>
  </si>
  <si>
    <t>Response is attached |</t>
  </si>
  <si>
    <t>CCD 45R4 4" slab reinforcement</t>
  </si>
  <si>
    <t xml:space="preserve">Sheet S100A
The call out for east tower rooms between grid HA and HB and H4, H2 calls out #4 rebar at 16" o.c. top and bottom each way. Please confirm this is a single mat of rebar not a double mat. </t>
  </si>
  <si>
    <t>Yes.  The reinforcing for the 4" slabs is only a single mat. |</t>
  </si>
  <si>
    <t>Transfer Air requirements at Annex</t>
  </si>
  <si>
    <t>RFI #649 response indicates wall height requirements at Annex level 0 and 1.  It appears that due these clarifications, transfer air pathways and ducts could be required in various locations throughout level 0 and 1 of the Annex.</t>
  </si>
  <si>
    <t>Please have VBFA review level 0 and 1 of the Annex Building and provide location, sizing and quantities of any transfer air ducts required.</t>
  </si>
  <si>
    <t>New Light Fixture "LT1A" in CCD-069</t>
  </si>
  <si>
    <t>Please provide information for the new back-lit light panels referenced in CCD-069, baptistry font room. Catalog number, description, size, etc.
Or provide an updated light fixture schedule with this fixture.</t>
  </si>
  <si>
    <t>Column Jacket Interface with Mat Slab</t>
  </si>
  <si>
    <t>1/S248 calls for the column concrete jacket to be installed first and then the mat slab to be poured into it. Would it be acceptable to pour the mat slab first then pour the column jackets on top of the mat slab. </t>
  </si>
  <si>
    <t xml:space="preserve">It is acceptable. </t>
  </si>
  <si>
    <t>Our intention was not to have the mat slab below the jacket walls to help prevent any unwanted cracking due to differential movement between the jacket walls and the slab.  The mat slab could be placed before the jacket walls, but we recommend the slab be blocked out around the column locations large enough to allow the jacket walls to run past as shown in the current structural details. |</t>
  </si>
  <si>
    <t>Existing Soil Below Stone Columns</t>
  </si>
  <si>
    <t>Please advise if we are to remove the soil underneath the stone columns once the load has been transferred to the micro-piles and then infill the void with concrete when the column jacket is poured. </t>
  </si>
  <si>
    <t>Per previous discussions there is no compelling reason to remove the soil below the stone columns and the current details in the drawing show it as such.  (See detail 1/S249).  It was discussed that removing the soil would result in added cost due to labor and materials.   |</t>
  </si>
  <si>
    <t>FP104</t>
  </si>
  <si>
    <t>FP104 VBFA has specified Extended Coverage - NOT FM Approved</t>
  </si>
  <si>
    <t>On VBFA’s construction document on FP104 it states to use an “Extended Coverage” Sprinkler, which has already been installed, however, FM does NOT approve any EC sprinklers. In some cases the church can give the approval to FM Global, especially in this case due to the historic nature. Or, does VBFA give us the direction to change the sprinklers to standard coverage sprinklers in which case, will require re-piping and more sprinklers for the protected area.</t>
  </si>
  <si>
    <t>4th Floor GFRG Crown Molding and Drywall Seam</t>
  </si>
  <si>
    <t>Per RFI 615, there will be new crown molding on the 4th floor north and south walls/ceilings. We are currently framing these ceilings. The ceilings tie into the GFRG covering the curved portion of the GFRG (see attached drawing markup). This creates an issue because we will not be able to install hat channel within the curve to secure the drywall at the seam which will cause cracking in the future. Please advise if it would be acceptable to delete a majority of the curved portion as shown in the markup.</t>
  </si>
  <si>
    <t>Lighting Sheet for CCD-054.4 R3</t>
  </si>
  <si>
    <t>Are there any lighting revisions associated with CCD-054.4 R3? With the creation of storage room 012 is there a separate switch/sensor? Revised lighting layout?
No lighting sheet or electrical narrative is included with this directive.</t>
  </si>
  <si>
    <t>Level 0.5 Beam and Bent Plate Dimensions</t>
  </si>
  <si>
    <t>During a coordination meeting today it was noted that there are multiple issues with the dimensions regarding the floor beams at level 0.5. Please see attached sketch for descriptions of the issues.
1.     Shifting the opening has caused the angle connection to run off the embeds. Please advise
2.     Dimensions do not allow for enough room for dampers. This beam has maxed out the detail dimensions at 18" from center of beam. Moving much further will result in over-running the embeds. Please advise.
3.     Embed is misplaced – please provide remedy for connection 
4.     Angle outlookers are provided and can possibly be in the way of dampers. What is the max spacing possible for them?
5.     Dimensions do not allow for enough room for dampers. Moving much further will result in over-running the embeds. Please advise.</t>
  </si>
  <si>
    <t>Column2</t>
  </si>
  <si>
    <t>| Refer to upcoming CCD-19 for clarifications.</t>
  </si>
  <si>
    <t>Casework door profile sketch showing 1/8" step is acceptable. GHD group will provide stain finish and p-lam samples.  | Stain Finish was provided with wood floor sample. P-lam to be: 
Wilsonart, 
Premium laminate
Columbian Walnut
7943k-07 Textured gloss finish
AEON scratch resistance.  |</t>
  </si>
  <si>
    <t>This detail is still in the works as we progress through design with the lighting designer.  more information to be provided asap. | Please see CCD - 019R.5 showing revised details.</t>
  </si>
  <si>
    <t>| The return duct will be moved  additional 12” towards the center of the room away from the transom window.
See forthcoming ASI #12 for more infomation. |</t>
  </si>
  <si>
    <t>See CCD-101 - Door and Window clarifications. |</t>
  </si>
  <si>
    <t>Tile cap will but into mirror. Mirror will go over general wall tile and mount to wall. Add a mounting system to back to allow for gap. See attached drawing.</t>
  </si>
  <si>
    <t>It is our understanding that Chris Robbins requested the remaining wood beams be upgraded with channels.  These are not required structurally, but were requested for sake of consistency across the floor.  Please verify with owner this is indeed what they want. | Per direction of the owner as of 05-07-20, the additional channels are NOT to be added.</t>
  </si>
  <si>
    <t>Per meeting with Westland, CRSA, Fetzers, Allegion, &amp; TFM, door hardware was discussed and revised. See CCD 104 for revised Door Hardware</t>
  </si>
  <si>
    <t>Please refer to ASI #10 showing dimensions to the typ. layouts for level 3 and level 5.
Contractor needs to verify existing rough openings and refer to door schedules and door details along with other information that has been previously given in CCD-19.
Architect will be providing dimensions to the LVL walls in an upcoming ASI.
Refer to sheet AE553 for gold leafing locations. | See the attached revised LVL dimensioned layout at baptistry. |</t>
  </si>
  <si>
    <t>|  | This approach sounds reasonable and we would support it. You'll need to submit pricing for review and it will need owner approval prior to starting work. Additionally you'll need to coordinate with the Temple Engineering as they may already have that in their maintenance plans. We do not want to duplicate work if possible. It may also be something they are able to do themselves. Please coordinate with them prior to submitting any costs to the owner for review. Thanks.</t>
  </si>
  <si>
    <t>The Cove mold is to be stained the same color as the tread.</t>
  </si>
  <si>
    <t>We are waiting on sample of wood floor. Railing will match the wood floor.  | Please provide the finished sample of the wood flooring. This is impacting the shop Drawing for the wood trim which has a concerning amount of lead time tied to it.</t>
  </si>
  <si>
    <t>See response from VBFA dated 30-June-2020 | Please see comments from VBFA and refer to CCD-069 reflecting the revised Baptistry  restroom layouts. | The mechanical plan referenced is outdated. Please refer to CCD-067 and CCD 069 for the revised layouts. |</t>
  </si>
  <si>
    <t>As a general Rule, the hardware is to be centered on the lock rail. For the majority of the doors this will be at 3'-2". On the round top wood doors this will be at 2'-10". Existing doors will have the new hardware placed in the same location as the old hardware. Dimensions will be provided in CCD 101
Type 2 = 3'-2"
Type 4 = 2'-10"
Type 14 = 3'-2"
Type 19 = 3'-2" |</t>
  </si>
  <si>
    <t>See attached response | Reposting the attachment - see comments.</t>
  </si>
  <si>
    <t>Need clarification on two room names. Response will also be issued in upcoming CCD | Please the names of the two rooms in question.</t>
  </si>
  <si>
    <t>Tile colors pending wood floor submittal to coordinate colors. Answered other questions. This is to be issued in an upcoming CCD | I have attached the sample submittal for the flooring submittal as file 096400.02.00 - WOOD FLOORING (Selection Samples).</t>
  </si>
  <si>
    <t>See updated details issued in CCD-077 | After discussion with ARW yesterday, epoxy coated rebar is not required at the stairs. | For question #3 please clarify if stair detail 8/LL502 is epoxy coated rebar or black rebar. Based on note 10 on 7/LL502 we assume it is epoxy coated only at the stone stairs. All other questions are clear in CCD 77.</t>
  </si>
  <si>
    <t>Please provide room names on some questions | Please see CCD 040r1 and PR7 |  |  | will you please provided the room numbers associated with the questions in this RFI. | 1. Please clarify room name. Rooms Office 008, Worker Lounge 009, Worker Training 015, TFM Dressing 017, TFM Womens 018, Laundry Supervisor 031, TFM Office 045, TFM Mens 046, and TFM Dressing 047.
2. Please clarify room name. Custodial Supply Office 007.
3. Please clarify room name. Rooms Vestibule 005, Break Room 010, Grab-N-Go 011, Hall 019, Hall 023A, Hall 023B, Vestibule 024, Stair 1 Lobby 024B, Vestibule 025, Laundry 028, Hall 044, Vestibule 049, Vestibule 050, Hallway 051, Stair Lobby 052, Stairwell 068, Electrical 183, Electrical 302, Electrical 315, Data/Telecom 402, Elevator Control Room 502, and Electrical 515.
4. Answered in RFI 596. - Answer in upcoming CCD, according to RFI 596.
5. Answered in RFI 596. No answer found on RFI 596.
6. Answered in RFI 596. No answer found on RFI 596.</t>
  </si>
  <si>
    <t>Please see answer on finish and edge profile. CRSA to update drawings for clarification</t>
  </si>
  <si>
    <t>See attached response from 8/11 | Please refer back to our original answer from 8-11-2020 which was uploaded as a PDF document.  |  | I believe the question of adding a PRV for the irrigation lines would fall to the court of the landscape architects (or possibly the civil engineer).</t>
  </si>
  <si>
    <t>The drip valves and mainline in question have not been shown on that side for quite some time. The contractors must not have the correct set of plans. Please verify that the contractors (both general and irrigation) have the most recent plan set. The CCD-006R2 is the most recent official drawing set prior to the 400 south Permit Set. Please refer to CCD-006R2 as the most recent approved set for irrigation. These were issued in February of 2020.   | New responses have been added. Please review the new descriptions and markups.  | Valves located in this area previously are to be installed in this same general area (blue box). If tree roots are found to interfere with this location please adjust the valves to avoid tree roots to the red box areas. The contractor is to adjust location(s) as needed in field to avoid roots as necessary. If lateral line excavations can be reduced by relocating to the red boxes this is also acceptable. Follow all previously released precautions included in the tree preservation notes and specifications. Provide as-built drawings of final valve locations upon completion. |  | The 2" irrigation main line (marked in blue) is existing and is not to be replaced.   But the communication lines are not functioning and will not communicate with the clock.  New wires are connected but are ran on the surface.  Connecting these wires underground may be additional work and if these wires are to be connected underground Should the old main line and valves be replaced?</t>
  </si>
  <si>
    <t>Please reference CCD 040r1 and PR7 |  |</t>
  </si>
  <si>
    <t>Provide the specs for the fabric at the altars on level 2 and level 5. provide color, brand, width of fabric and patter if any. I sow the owner is purchasing this material. How much extra to they wish to purchase so I can include in my takeoff.</t>
  </si>
  <si>
    <t>Provide 120v circuit from L3S3 to air compressor, provide fire alarm monitor connections for the pressure switch, flow and tamper switches per manufacturer's instructions for system being installed.  Plan changes to be issued as part of upcoming CCD. | See CCD-081 that was issued 9/11/20.</t>
  </si>
  <si>
    <t>Please provide electrical items (conduit, boxes and power) as noted on sheet EP 100.  This is for future use, should there be desire for a wall mounted TV.  For now the j-boxes to have cover plates.  the dry erase board to be installed as shown on sheet 4013. | Box needs to be 60" high. | EP100 is calling for a specialized box behind the flat screen could you give us an elevation for this box.</t>
  </si>
  <si>
    <t>Structurally we take no exception to what is being proposed as long as architect is okay with the layout dimensionaly. | Please refer to ASI 28, 28R.1 and CCD 87R.1 for the new LVL layouts.  | If the column on grid line HE is the furthest column inward that will be the control line of where the face of baptistry LVL walls will be placed. Field verify beam lengths and adjust them accordingly. The LVL walls at level 2 shift and are not intended to line up with the lower LVL walls in the baptistry. |</t>
  </si>
  <si>
    <t>Transition details can not be provided until a wood floor substrate is submitted. We are waiting on that submittal from GC.  | Scott, it sounds like you have come to a resolution regarding this onsite with Ryan and Brett Glassy. 
Please provide your resolution.</t>
  </si>
  <si>
    <t>Please see attached sketch form ARW and the attached entry tower section C2/AE369 and details D3/AE503 and E3/AE503 showing height of parapet and HSS tube steel at railing posts.  | See attached sketch for response information.</t>
  </si>
  <si>
    <t>Please see the attached pdf "RFI_648_Fire Rated assemblies at Level 1 Annex_VBFA" and the comment from VBFA dated 03-Sept-2020.</t>
  </si>
  <si>
    <t>Fire alarm and rack mounted equipment is on separate circuits. Three outlets are on a single circuit. If it is determined that additional equipment will be wall mounted and exceed a typical 20A circuit capacity, then additional separate circuit will be required to split up those three outlets. Please confirm in writing after coordinating with security installers if that is the case and a separate circuit will be noted.
Yes, mounting height is accurate as noted. It is intended to facilitate power to wall mounted equipment. Outlets to be flush with plywood as noted. |</t>
  </si>
  <si>
    <t>See response from Brian Oswald, VBFA dated 28-August-2020 | Sprinklers are not required.</t>
  </si>
  <si>
    <t>2. Please install according to RFI 69 Where the direction was given to core drill 1/4 “ bigger then the 1” tie rods. | See responses below:
1) We take no exception to this elevation.
2) We take no exception to this elevation.
4) Epoxy resin is a possible acceptable solution.  Please submit product information for review. | Please provide a 3rd row of tie rods on the West wall at elevation 89'-6 1/2".</t>
  </si>
  <si>
    <t>See response from Brian Oswald, VBFA dated 28-Aug-2020 | these items have been taken care of in CCD 28R.3</t>
  </si>
  <si>
    <t>See attached revised light fixture schedule and lighting cut sheets.</t>
  </si>
  <si>
    <t>Please see the attached mark-up detail.</t>
  </si>
  <si>
    <t>See attached EL100B.</t>
  </si>
  <si>
    <t>Please see attached response from ARW on the various connection solutions. |</t>
  </si>
  <si>
    <t>S249</t>
  </si>
  <si>
    <t>Hist. West Wall Load Transfer</t>
  </si>
  <si>
    <t>Please confirm that we are able to transfer the load on the West wall before the jacket wall is installed?
In order to achieve this we will: 
   1. Lengthen out the pipe sleeve to be just short of the flat jacks and shim plates thus minimizing the load impacts on the Needle Beam.
   2. Cut the Micro-piles lower on one side then the other to allow for the Pipe Sleeve to pass through.</t>
  </si>
  <si>
    <t>We confirm, except lengthening the pipe sleeve is not necessary.  The pipe sleeve is only required in the stone wall, it does not need to protrude out of the stone wall. |</t>
  </si>
  <si>
    <t>RG-4A Grills Level 5 Corridor</t>
  </si>
  <si>
    <t>On M105 in the North and South Corridors, there are (2) Return Grill callouts. One is a RG-3A 10" ROUND and the other is a RG-4A 8" ROUND. According to the schedule on M603 an RG-3A is a 20"x 20" and a RG-4A is a 12"x 12" is this correct or should they all be a RG-4A so they match aesthetically? Also if the RG-3A grills change to a RG-4A is the quantity correct or will an extra grill be required in each corridor? Please advise. See attached clouded drawings for clarification.</t>
  </si>
  <si>
    <t>See response from Brian Oswald, VBFA on 11-Sept-2020</t>
  </si>
  <si>
    <t>Cobe Holmstead</t>
  </si>
  <si>
    <t>Clarifications to RCP Layout ASI 10</t>
  </si>
  <si>
    <t>Per discussions between CRSA and Jason on 8-27-2020. Please confirm the corridor RCP layouts on levels 5 and 3 are to be per the attached notations to ASI 10. </t>
  </si>
  <si>
    <t>The ceiling layouts on the attachment are outdated. Please refer to CCD-019 showing the medallions being omitted. CRSA has reviewed and confirmed the mock-up ceilings on-site along with centering the pendant lighting with the doors.</t>
  </si>
  <si>
    <t>Roof Drains at East Historic Spiral Stairs</t>
  </si>
  <si>
    <t>Per a conversation between VBFA, Jason, and US Mechanical on 8-27-2020. 
Refence attached sheet P110A. Please confirm it is acceptable to slope the 4” roof drain line from the north spiral staircase toward the south spiral staircase at the at 1/16” per foot. The routing would be per the original layout of P110A. Please confirm. </t>
  </si>
  <si>
    <t>See response from VBFA.</t>
  </si>
  <si>
    <t>S101 / AE100</t>
  </si>
  <si>
    <t>Missing Laundry Drop Slab Openings</t>
  </si>
  <si>
    <t>The openings in the suspended slab for the laundry to fall through from the dressing rooms down to the laundry drop rooms are missing in both the Brother's and Sister's dressing rooms.
How would you like them to look?  Since they need to be cut into the existing suspended slab, how do we need to handle that structurally?</t>
  </si>
  <si>
    <t>Please provide a angle frame around the outside perimeter of the laundry drops per detail 12/S202. | ARW, Refer to Architectural sheets AE4007 and AE523 for sections and details of the clothing drops.</t>
  </si>
  <si>
    <t>RE: CCD_54.4 - Wall Insulation Around the Training Room</t>
  </si>
  <si>
    <t>On the conformed set of drawings, the concrete wall on AE100 column line A7 has metal studs/furring. It is a wall type 13 &amp; 09, which is an insulated wall. On CCD_54.4, the furring has been removed, thus removing the insulation. 
My concern is the new walls around the training room. These walls are type 32, which does not get insulation. Wall type 32 is used throughout the project. However, because its a training room, I’m thinking they should be insulated. If so, then the removing of the insulation at the concrete wall, and adding insulation around the training room would be a wash.
Please advise</t>
  </si>
  <si>
    <t>Yes, Please insulate north and west walls of the training room (wall type 32).</t>
  </si>
  <si>
    <t>Gary Tonks</t>
  </si>
  <si>
    <t>Tonks Insulation, Inc.</t>
  </si>
  <si>
    <t>Annex above ceiling duct clashes</t>
  </si>
  <si>
    <t>Drawing M101.  Currently, modeling of the MEP systems within the overall Annex building model is indicating various locations where overhead HVAC duct is clashing with walls above ceiling.  See attached drawing for clarification of these three locations.</t>
  </si>
  <si>
    <t>Please advise if the walls at these clash locations could be lowered to accommodate the HVAC duct.</t>
  </si>
  <si>
    <t>Lowering the walls below the ductwork in the areas shown is acceptable. Lowered walls need to continue a min. 6" above ceiling and braced to floor frame above per structural recommendations.</t>
  </si>
  <si>
    <t>Historic Pews</t>
  </si>
  <si>
    <t>Can we get a finalized pew layout for the 4th floor assembly hall with the new pews and the reused pews labeled? There was discussion about possibly needing to anchor the pews to each other to make sections longer than the 12'4" we will need to know that before we attach the legs. We also need to know if these will be anchored to the floor or free-standing.</t>
  </si>
  <si>
    <t>See comment and Attached drawing dated 9/8/20. Please provide recommended attachment for review.</t>
  </si>
  <si>
    <t>Gary Ramos</t>
  </si>
  <si>
    <t>AW Carter LLC</t>
  </si>
  <si>
    <t>EL104A, EL104B</t>
  </si>
  <si>
    <t>Room 408 LV switch relocation, Room 410 switch removal</t>
  </si>
  <si>
    <t>Due to the installation of finish trim, the LV switches on the east end of room 408 on either side of the East Pulpits are not able to be installed as shown.
Also, there is a switch shown in room 410 (GA lounge) at the top of the short staircase on the West side of the room. This is not actually an entrance/exit into this room, and installation in this location would be inordinately difficult.</t>
  </si>
  <si>
    <t>Move the LV switches on the east end of room 408 to the other sides of the doors as shown on attached drawing.
Remove the LV switch above short staircase landing in room 410 from the plans as shown on the same drawing.</t>
  </si>
  <si>
    <t>The proposed changes are acceptable.</t>
  </si>
  <si>
    <t>Lighting under Font witness stand</t>
  </si>
  <si>
    <t xml:space="preserve">There is a question on how to install lighting under the Baptistry Font Witness Stand.  The information we have so far indicates that the underside where the lighting will be installed is open and not conducive to installing recessed can lighting. </t>
  </si>
  <si>
    <t>There needs to be some sort of enclosed box incorporated into the structure to install the can light into, or we could install LED tape lighting that could conform to the shape of the structure.  See attachment for further clarification and LED tape light possibilities.</t>
  </si>
  <si>
    <t>In the attached update drawing please go to page 5 of 13 detail C. It sows the install of a 1/8" Removable Bronze Soffit Panel</t>
  </si>
  <si>
    <t>PIV (post indicator valve)</t>
  </si>
  <si>
    <t>Drawing C.15 is calling for a PIV and referanced in a detail on drawing C.13 asking for it to be monitored by the fire alarm panel. The EY drawings do not refrence a PIV anywhere Please advise see attachments</t>
  </si>
  <si>
    <t>Provide the monitor module(s) as required back to fire alarm panel. |</t>
  </si>
  <si>
    <t>Channel Interfering with Angle</t>
  </si>
  <si>
    <t>Upon further investigation we noticed the angle called out to support the wide flange beam is interfering with 2 bolts installed in the saddle. We have attached some pictures for reference. </t>
  </si>
  <si>
    <t>Install Angle under the wide flange and use shims to get the wide flange beam to the correct height.</t>
  </si>
  <si>
    <t>Brent White confirmed on site with Dion and Dave that this was an acceptable solution. | Brent, 
This is the attachment I talked to you about in the basement.</t>
  </si>
  <si>
    <t>4th Floor Crown Molding Tying to Flat Ceiling</t>
  </si>
  <si>
    <t>While doing the layout for the North and South ceilings on level 4 it was discovered that the inner crown moldings on the wings very in height. I have attached some photos for review showing the variances in elevation from the new ceiling (Flat) to the Existing Crown Molding (Varies).</t>
  </si>
  <si>
    <t>Match the new ceiling elevation to the existing crown molding.</t>
  </si>
  <si>
    <t>Yes, match the new ceiling to the existing crown molding to keep same reveal.</t>
  </si>
  <si>
    <t>5Th Floor Lighting Hallway 516, 520 and 4Th floor Priesthood</t>
  </si>
  <si>
    <t xml:space="preserve">Due to multiple building restraints IE. duct work, framing, j-boxes, mech. and sprinkler piping. We are asking for an exception to use MC to supply lighting in the 5th floor hallway 516,520 and 4th floor North and South side of priesthood room we would run .75 EMT home runs to a J-Box located at access doors and then MC from there. This will also allow future side to side and height adjustment. </t>
  </si>
  <si>
    <t>Locations noted are acceptable.</t>
  </si>
  <si>
    <t>Skylight Framing</t>
  </si>
  <si>
    <t>Skylight framing seems to require the curb to be directly mounted to the steel beams.  There is not a specific structural detail for the openings as it relates to the ability to have decking bear on the beams as well.  Please provide direction.</t>
  </si>
  <si>
    <t>See attached for possible solution.</t>
  </si>
  <si>
    <t>Roof Frames smaller than 18"</t>
  </si>
  <si>
    <t>GSW is utilizing detail 17/S201 (attached) for all roof openings greater than 18", but we are unable to locate a detail for opening smaller than 18". Please provide direction if members are required for these openings (ie: roof drain frames, etc).</t>
  </si>
  <si>
    <t>Please see detail 14/S202.</t>
  </si>
  <si>
    <t>CCD 49R2 Duct Routing conflict</t>
  </si>
  <si>
    <t>Following review of CCD#049R2 and the indicated routing of the duct work as shown,  the duct has been implemented into the BIM model and is showing conflicts in various locations.  See attached marked up drawing for your review and response.</t>
  </si>
  <si>
    <t>Following review of the attached proposed duct sizing and routing to CCD#049R2, please advise if these changes to sizing and routing are acceptable.</t>
  </si>
  <si>
    <t>Please see comment from Brian Oswald (VBFA) dated 15-Sept-2020</t>
  </si>
  <si>
    <t>AE4007</t>
  </si>
  <si>
    <t>Added casework Laundry Rm 028</t>
  </si>
  <si>
    <t>Submittal 064023.07.00, Fetzers submittal #3 drw 409.1,  Architect added 3 ea. tall cabinets to the laundry room.  Will this change be coming forth in a CCD or is Fetzers to submit pricing to the GC based off the redline comments?</t>
  </si>
  <si>
    <t>See CCD 054.4r5, Sheet AE4007 shows updated cabinetry in Laundry Room  |</t>
  </si>
  <si>
    <t>Redline door schedule/ door jambs questions</t>
  </si>
  <si>
    <t>Questions from submittal 064023.02.00, Fetzers submittal # 1 drw. 310.1 
1.     Door 125A is metal door, not in Fetzers scope
2.     Door 147B glass transom should be insulated glass. All transoms on exterior doors should be insulated
3.     Door 191 and 194 are metal doors
4.     Doors 191, 193, 193B, 194, 195, indicate where these doors are located. Do not see these doors on the floor plan.
5.     Door 184C Hardware schedule or drawings do not indicate an astragal between double doors. Clarify if this astragal will be wood or metal. This same comment for all double doors. Is astragal needed and will the astragal be wood or metal? </t>
  </si>
  <si>
    <t>1.       Correct
          a.       Door 125D has been changed to Hollow Metal (See CCD 101)
2.       Yes, Insulated glass transoms at all exterior doors 
3.       Door 191 – Hollow Metal Door and Frame at Gardener Restroom
          Door 194 – Hollow Metal Door and Frame at Grounds Keeper Storage
4.       Door 191 – Hollow Metal Door and Frame at Gardener Restroom
          Door 193 – Dumpster Gate, Use Existing 
          Door 193B – Dumpster Gate, Use Existing 
          Door 194 – Hollow metal Door and Frame at Grounds Keeper Storage
          Door 195 – Metal Gate into Cooling Towers, Use Existing 
5.       Door 184C - On a temple, I would only use an astragal if the door was rated. The doors should be in the correct tolerances (1/8” at the meeting edge of the pairs). I have used a surface mounted astragal at back of house exterior doors 194, 034, and 034A. A set of meeting stile astragals has been used on door 030. If an astragal other than the meeting stile astragal is used, the door needs to be coordinated to close correctly. I don’t believe the added hardware is something the Owner will want to entertain. There may have been some wood astragals used on the historic doors? If so, and if the Owner feels there is a need for the astragal, then we should look at this opening x opening and make a determination. |</t>
  </si>
  <si>
    <t>Brides Exit Door 147B</t>
  </si>
  <si>
    <t>Brides exit door 147B calls for a jamb head with panel trim D1/AE631. Depth of the jamb is wall type 74 which is 14 ¼”. By the time you build the outside bevel in the wall the jamb is aprox. 7 ½” deep. The jamb is not wide enough for a panel jamb. The jamb should be a simple jamb, no panel and trim. Please clarify the details of this door jamb.</t>
  </si>
  <si>
    <t>Proceed with Simple Jamb. Details similar to E1/AE633, with the exception the interior casing will be flush will the wall (similar to E2/AE633) |</t>
  </si>
  <si>
    <t>5th East Tower Ceiling Beams</t>
  </si>
  <si>
    <t>We have been working on the new plan for beefing up the tower. The wall picture shows where the beams go in relation to the mechanical cut outs that are laid out, we only have 10” of space from bottom of Beam. On the two outside beams we will not have solid wall underneath it to carry the load of the beam and tower. The other factor is that the duct cutout rises 4 inches a foot which allows for even less pillow block. Please let us know what you think and how we should proceed. </t>
  </si>
  <si>
    <t>This has been discussed with Josh Nay through email and conference calls.  The pillow block for the beams and the concrete for the mechanical openings will be poured together and built integral rather than separate.  Please get with Josh for more detailed information if needed.</t>
  </si>
  <si>
    <t>CCD 089 New fireline connection point</t>
  </si>
  <si>
    <t>On CCD 089, it shows the new 6" fireline is to be connected to the 8" mainline in 200 E.  The existing fireline is 6" so can the connection for the new replacement line be made at the location of the post indicator valve instead of in the road?  If we have to replace the section from the post indicator valve to the 8" mainline it also would involve the fire hydrant and culinary water connections as well as a lot of restoration of asphalt, concrete, fence, traffic control, encroachment permits, ect.  Please advise.</t>
  </si>
  <si>
    <t>Yes the 6" fireline can start from the post indicator valve.</t>
  </si>
  <si>
    <t>Cored holes existing foundation wall at grid AH</t>
  </si>
  <si>
    <t>Attached is proposed locations of 6-4" holes thru foundation wall at grid AH 8' north of A2 (holes are for electrical feeder conduits)</t>
  </si>
  <si>
    <t>Please locate the existing rebar in the wall and core the holes where they miss the rebar.  Please keep holes no closer than 6" to the adjacent hole.</t>
  </si>
  <si>
    <t>MI 105</t>
  </si>
  <si>
    <t>T-stat locations at Historic Level 5</t>
  </si>
  <si>
    <t xml:space="preserve">Fifth Level Hallway 520 shows the T-stat for V 5-09 at the West end mounted flush in a Solid Sandstone Block Wall that appears to not include furring. We would like to move it to the perpendicular wall that is to the North, and place it flush in the wall 12" out from the corner. This is a framed plaster wall and can accept the Stat Location without the removal of sandstone structure.  It moves the T-Stat away from the supply vent (this eliminates false readings). It remains on an interior wall in the area being conditioned. The elevation of that wall shows no obstructions. Its placement would be to the left of the access door serving level 4 ceiling and to the right of the West end sandstone wall near grid HF and H2. </t>
  </si>
  <si>
    <t>Please advise if this t-stat relocation is acceptable.</t>
  </si>
  <si>
    <t>Please see comment from Brian Oswald (VBFA) on 18-Sept-2020</t>
  </si>
  <si>
    <t>T-stat location at Historic Level 5, serving V 5-04</t>
  </si>
  <si>
    <t>Fifth Level Hallway 516 shows the T-stat for V 5-04 at the West end mounted flush in a Solid Sandstone Block Wall that appears to not include furring. We would like to move it to the perpendicular wall that is to the South and place it flush in the wall 12" out from the corner. This is a framed plaster wall and can accept the Stat Location without the removal of sandstone structure.  It moves the T-Stat away from the supply vent (this eliminates false readings). It remains on an interior wall in the area being conditioned. The elevation of that wall shows no obstructions. Its placement would be to the right of the access door for level 4 ceiling and to the left of the West end sandstone wall near grid lines HF and H4.</t>
  </si>
  <si>
    <t>Please advise if this t-stat relocation will be allowed.</t>
  </si>
  <si>
    <t>Please see comment from Brian Oswald (VBFA) on 18-Sept-2020 |</t>
  </si>
  <si>
    <t>CCD#038 Revisions</t>
  </si>
  <si>
    <t>T-stat locations at Historic Level 5 stairwells</t>
  </si>
  <si>
    <t xml:space="preserve">CCD 38 added T-Stats in Stairwells S-7 and S-6 on the fifth level are shown on Solid Sandstone Block Walls that appear to receive no furring. If we move them 24" further into the stairwells we would be able to flush them in the pipe chase that goes between the 5th and 4th levels. This would allow the placement of the T-Stat without the removal of Sandstone Structure. </t>
  </si>
  <si>
    <t>Please advise if these t-stat relocations are acceptable.</t>
  </si>
  <si>
    <t>See comment from Brian Oswald (VBFA) on 18-Sept-2020</t>
  </si>
  <si>
    <t>Visitor center roof drain</t>
  </si>
  <si>
    <t>During the subgrading around the visitors center the roof drain was exposed.  The current roof drain elevation is 8" below the stucco.  This will interfere with the landscaping work around the visitors center.  Please advise.</t>
  </si>
  <si>
    <t>Per direction from Chris Robbins, this is a civil/landscape issue. No work is to be done inside the visitor center. | The attached drawing shows bringing the roof drains from the visitor's center into #10-SDMH. 
Cap off the existing roof drain pipes where they are detached to prevent a backflow of water. |  |</t>
  </si>
  <si>
    <t>Dock Dimension Clarifications</t>
  </si>
  <si>
    <t>While laying out the dock, the south wall of the existing dock was found to be 4 to 5 inches to far to the North. The elevation of the dock floor is also approximately 1 1/2 to 2 inches low of elevation 100. 
It is proposed that we thicken the south wall of the dock the needed amount which would require a detail of required rebar and information to attach to the existing wall. (See attached sketch). 
It is also proposed to use a self leveling concrete mix (Rapid Set) to bring the existing dock up to elevation 100. (See attached material info)</t>
  </si>
  <si>
    <t>Please see CCD87-0R.1 for details on thickening the concrete walls around the dock.
Also, in review of the Concrete Leveler product by Rapid Set, it appears that this particular product is not intended to be used as the finished floor surface so we advise against using this.  We would recommend using  TRU Self-Leveling by Rapid Set instead.  This particular product is meant to be the finished surface.  See attached for the data sheet on this application.  | See CCD-087 thru CCD-087R.3 along with comments below from ARW. Also see the TRU self-leveling product data sheet attached from ARW to be used.</t>
  </si>
  <si>
    <t>B1/AE 630</t>
  </si>
  <si>
    <t>AV cut out at doors 209 210 208</t>
  </si>
  <si>
    <t>Provide the cut out sizes of the holes for the AV projector lens in the transom, room side of door 208, 209, 210. In previous temples this has been 6".  Please verify the AV equipment will fit with the location of these holes as shown. Detail B1/ AE 630 shows the camera lens to be at a slightly different position that the location of the cut our in the transom.</t>
  </si>
  <si>
    <t>Only one projector per room as directed by Brad Justensen (Owner's AV rep). 
6" hole centered in transom and between decorative muntins. See attached PDF's |  | CRSA will need to review and reply to this RFI regarding architectural details. 
Envision AV can assist with coordination with Brad Justensen with Owner AV group if needed for any questions.</t>
  </si>
  <si>
    <t>Jacket wall slope slab dowels</t>
  </si>
  <si>
    <t>On sheet S100A there is a section cut on the east wall referencing 4/S247. On this detail there is a #4 dowel that is shown at 12" o.c. tying into the jacket wall from the slope slab. On the same detail it says to reference detail 5/S249 which does not show this dowel. The other typical sloped slab details 4/S249, 1/S243, 1/S241 are similar to 5/S249. Please verify if the #4 dowel is needed at the location shown on detail 4/S247. With the way the jacket walls are being formed it was our understanding this was not needed based on the other details. 
If the dowel is needed on the east wall as shown it will need to be drilled and epoxied later. </t>
  </si>
  <si>
    <t>Please provide the #4 dowels per detail 4/S247.  It is acceptable to drill and epoxy the dowels in after the wall is constructed.  Please use 6" embedment for the dowels.</t>
  </si>
  <si>
    <t>Wall mounted electrical devices</t>
  </si>
  <si>
    <t>A. Confirming that as per. Scott Gilberg and Jason Fullmer discussion 9/16/2020 we are to proceed forward overlaying electrical and furniture drawings to determine the best location for devices, if no furniture is present scale drawings with blue beam.
B. We request a typical detail providing location of switches,outlets, thermostats, speaker strobe,and etc. from edge of door rough opening. Please confirm</t>
  </si>
  <si>
    <t>East confirmation room 063 jacket wall</t>
  </si>
  <si>
    <t>Please confirm that the adjustments shown in the attachment are the ones we talked about 09-23-2020. They are in the middle of forming this up so a quick response would be appreciated.</t>
  </si>
  <si>
    <t>Angle Iron Over Doors</t>
  </si>
  <si>
    <t>We have core drilled for the C Channel and on the West historic wall. That is when we realized the Interior portion of the C Channel is interfering with the Joist for the Floor above. This is occurring at the 2nd and the 3rd floors please see the attached pictures for reference.
This condition was worked through on site and it was decided that an Angle Iron can be used to help support the stone in place. The size for the Angle Iron is 6”x6”x3/8” with holes drilled to match the C Channel. This will be installed with the same through bolts as the C Channel with 4”X4”X1/4” plate washers.</t>
  </si>
  <si>
    <t>Confirm the above for install.</t>
  </si>
  <si>
    <t>This is acceptable and was addressed in ARW's construction observation report #29, item 29-2.  Please see this report for additional information. |</t>
  </si>
  <si>
    <t>Font wall coordination questions</t>
  </si>
  <si>
    <t>1) Attached are the formwork plans for the radius font walls. They have been coordinated with Historical Arts dimension plans. Please confirm architecturally these will work?
2) During onsite coordination it was discovered that the CC3 columns will need to be extended 8" in order for the embeds to fit. We have not seen this adjusted on the structural plans. Please confirm this is correct? (See S100A and attached Glassey embed drawing EP12)
3) Due to the tight tolerances and forming limitations with the radius walls and what Historical Arts will require for the font we would like to propose that the CC3 columns be poured after the concrete radius walls. See attached sketch of proposed method and verify if this will work with post installed dowel epoxied with 6" embedment for the CC3 column?</t>
  </si>
  <si>
    <t>CRSA has verified dimensions with HACI plans. 
See CCD 097 - Access under Font, for locations of blockouts in both radius foundation walls and added CW-2 walls.  |  | ARW Response:
1)  Please verify with architect
2)  It is acceptable to extend the CC3 column as shown.
3)  It is acceptable to pour the CC3 column after the radius wall and dowel into radius wall as shown in the provided attachment.</t>
  </si>
  <si>
    <t>4th Floor Vestibule 409 and 411 lighting</t>
  </si>
  <si>
    <t xml:space="preserve">The recessed cans in both of these areas go thru LCP-T3 we would like to relocate them to LCP-T5 as recommended by our lighting control vendor. See attachment </t>
  </si>
  <si>
    <t>Envision approves this recommendation.</t>
  </si>
  <si>
    <t>East Tower Lighting at all Levels</t>
  </si>
  <si>
    <t>Due to multiple building restraints IE. duct work, Framing, J-Boxes, Mech. and Sprinkler piping we are asking for an exception to use MC. to supply lighting at all rooms of the east tower floors 2-5 circular stairs, center room and vestibules. MC from can to can not to exceed 15' we would run .75 EMT conduit home runs to j boxes in accessible areas and then MC from there. This will also allow future side to side and height adjustment .</t>
  </si>
  <si>
    <t>Acceptable as noted.</t>
  </si>
  <si>
    <t>ADA Restroom Stall Layout</t>
  </si>
  <si>
    <t>Reference sheets P401, P402, AE100, AE101. At restrooms 027, 028, and 134 the ADA water closet WC-1 is shown close to the toilet partition with the grab bar mounted to the toilet partition. See attached. Would it be acceptable to move the WC-1 toward the framed wall and mount the grab bar to the wall?</t>
  </si>
  <si>
    <t>Reinforcing Steel at Remaining Suspended Floors</t>
  </si>
  <si>
    <t>Westland proposes to install a rebar mat in the suspended floor at the Baptistry Level 0.5 AND Hall 190 AND Hall 145 &amp; 146 - #3 at 12” or 16” on center. Please advise.</t>
  </si>
  <si>
    <t>This is acceptable.  If reinforcing is desired, then we recommend #3 bar @ 12"o.c. pattern for the reinforcing. |</t>
  </si>
  <si>
    <t>A2/AE4109</t>
  </si>
  <si>
    <t>Door 115A</t>
  </si>
  <si>
    <t>Current door schedule cased opening 115A calls for door type 8, with a 4’ opening. This was change to match the other radius jambs in the family file and administration area. Originally this door was and type 11 ellipse shape jamb. If we make this a type 8 and a 4’ opening the top of the casing will be 120”. Current ceiling height is 120” and there is a 6” crown molding in this room. See attached sketches. Provide direction for this opening</t>
  </si>
  <si>
    <t>Suggestion: make the opening to the work space 36” or leave the casing a ellipse shape as previously design.</t>
  </si>
  <si>
    <t>We are going to keep this opening as Type 12 (elliptical). Updated Door schedule in CCD 101r1 |  | We will close this when we receive CCD 101 R1</t>
  </si>
  <si>
    <t>265600</t>
  </si>
  <si>
    <t>Exterior Light Poles</t>
  </si>
  <si>
    <t>Quantum lighting originally had these poles in their package, but was told they needed to pull this out and have Rocky Mountain Lighting (RMLC) provide them to match existing poles. We just received correspondence that RMLC will not be able to meet the specs as per Envision Engineering. 
For additional information please see the attached document.</t>
  </si>
  <si>
    <t>see comments from David Tibbitts dated 9-24-2020</t>
  </si>
  <si>
    <t>AE101</t>
  </si>
  <si>
    <t>Admin 113 Wall Thickness Changes</t>
  </si>
  <si>
    <t>In CCD_62 the West wall of Administration 113 doubled in thickness.  This change wasn't clouded so we are not sure if it was intentional or not. I believe it was intentional because it would make all the cased openings in that room the same thickness.  Please see the attachment and advise.</t>
  </si>
  <si>
    <t>Advise whether we should price this as part of CCD_62 or if this will be released officially in a future CCD.
OR
Provide direction to omit the change.</t>
  </si>
  <si>
    <t>Please see CCD-062R.1 showing the clouded wall type/thickness change that should of been included in the previous CCD-062.</t>
  </si>
  <si>
    <t>Rebar Layout 0.5 Level</t>
  </si>
  <si>
    <t>Please confirm that we are to order and install the rebar in accordance with the attached plan.</t>
  </si>
  <si>
    <t>The attached plan is an acceptable solution to the slab reinforcing for the Level 0.5 slab.</t>
  </si>
  <si>
    <t>Pile Cap Stitch Weld Confirmation</t>
  </si>
  <si>
    <t>Please confirm the following;
“The pile cap needs to be stitch welded to the pile sleeves with a 2” long x ¼” fillet weld all around the sleeve. Any shim plates should be attached to the pile cap with 2” of ¼” weld on all 4 sides of the shim plate.”
The above was taken from an email Sent 9/28/2020 between Zach, Creg, Dion, Josh and David. For reference I have attached the email to this RFI.</t>
  </si>
  <si>
    <t>Confirm |</t>
  </si>
  <si>
    <t>Casework detail Grab and Go</t>
  </si>
  <si>
    <t>See attached sketch. Provide details of casework below computer screen. Provide cross section of cabinets. Are there drawers or false drawer fronts. What is depth of cabinet and height</t>
  </si>
  <si>
    <t>Please see CCD-054.4R.4 for Added dimensions and detail callouts.</t>
  </si>
  <si>
    <t>Metal site fence</t>
  </si>
  <si>
    <t>This is a confirming RFI due to a field conversation with Chris Robbins that the site fence material can be salvaged and reused.  The fence material is to be labeled or tagged for tracking.  The old fence is to be stripped of old paint, fix any flaws, and primed.  It needs to be in good shape similar to the new fence that is to be provided.</t>
  </si>
  <si>
    <t>This is correct, fence material will salvaged, stripped, repaired and painted to the same quality and the new fence sections that will be installed. Both old and new fence material will be painted with "Quaker Bronze" Sherwin Williams paint as shown on the mockups. |</t>
  </si>
  <si>
    <t>CCD 077 Fountain Basin</t>
  </si>
  <si>
    <t>In the fountain basin CCD 077 changes the grid at the false floor to Duragrid cut into 18” x 18” squares with the 2 x 2 tile adhered. Are all of the grids expected to be removable for fountain maintenance or will there be a certain amount removable? Please clarify details here. </t>
  </si>
  <si>
    <t>All of the 18"x18" grids are desired to be removable to provide access to maintain the fountain.</t>
  </si>
  <si>
    <t>Elevator 5 footing and pit wall coordination</t>
  </si>
  <si>
    <t>In RFI 247 we anticipated the elevator pit to be at elevation 87' per the response. In CCD 62 sheet AE337 the pit elevation has been changed. In order to make the CW2 pit walls work we are proposing that a FC-2.0 footing be placed below the baptistery mat footing at elevation 86' (top of footing) and the CW2 walls placed above. This proposed method will also allow the continuation of the north and east jacket walls and retain the soil/concrete at the pit slab.
See attached sketches of the sequence that we are proposing. Please confirm this will work and confirm the proposed elevations are acceptable?</t>
  </si>
  <si>
    <t>Based on a conversation between the design team and Westland Construction, it is noted and determined that the elevator pit will be 5feet deep and will be constructed similar to what is shown in the attached drawing.  These modifications to the elevator pit will be made to details 3/S246 and 8/S241 in a forthcoming CCD 87-R.2. |</t>
  </si>
  <si>
    <t>EL102B</t>
  </si>
  <si>
    <t>2nd floor spiral staircase Exit Signage Locations</t>
  </si>
  <si>
    <t>The current location of the Exit Signs on the 2nd floor in the spiral staircases (S-6-2, S-7-2 into vestibules 221, 220) place the Exit Signs where they would be difficult to see.
These Exit Signs are in the path of the planned Emergency Evacuation Plan according to Ray Anderson (St. George Temple Head of Security) which makes them especially critical.</t>
  </si>
  <si>
    <t xml:space="preserve">It is proposed that we relocate the Exit Signs to the sides of the doorways at 8' above finished floor to center. They would be placed on the side of the door closest to the stairs going up where most of the evacuating people would be coming from.
Also it is proposed that the installed Exit Signs be the Wall Surface Mount style to accommodate installation on the curved surface of the spiral staircase walls. </t>
  </si>
  <si>
    <t>The general location shown is acceptable; however, the exact location needs to be coordinated in the field to make sure that it meets the visibility requirements in all National, State and Local Codes.  After this is done the Architect will need to provide the exact dimensional location. | Move the exit signs to the proposed locations beside the doors at 8'-0" A.F.F. and 8" from Edge of sign to edge of the scheduled door casework.  |  | Please coordinate and provide the exact locations for the exit signs</t>
  </si>
  <si>
    <t>New Sleeve for Tower Dome penetration for Dome Ext. Lighting</t>
  </si>
  <si>
    <t>The current sleeves that penetrate the dome from inside to outside (8 times) present at least 3 problems:  
1- They currently leak.
2- They don't allow for sealing around the SJ cord.
3- They present a trip hazard on the standing/walking platform inside of the dome.</t>
  </si>
  <si>
    <t>We propose that the old sleeves (8) feeding the dome exterior lighting be removed and replaced with different sleeves as shown in the attached details. The new penetrations would be sealed.
Is there a sealant that is recommended to be used? If not, we would use Sika PRO SELECT polyurethane construction sealant which we have used effectively in the past. It is paintable.</t>
  </si>
  <si>
    <t>David,
The proposed Penetration Detail appears well thought out and if executed properly should completely seal the openings; however, it is not clear if the existing dome openings will be reused, or if new openings are being proposed.  If new openings are being proposed how will the existing opens be sealed.  Please clarify.
Thank you,
David Tibbitts
Senior Lighting Designer
[cid:image001.png@01D69B12.731F0E20]
240 E. Morris Ave, Suite 200
Salt Lake City, Utah 84115
O. 801.534.1130 D. 801.924.5541 M. 702.523.2187
DTibbitts@envisioneng.com
www.envisioneng.com |  | Trask will you please respond the the question the Electrical Engineer.</t>
  </si>
  <si>
    <t>Drain at Dock Lever</t>
  </si>
  <si>
    <t>The dock leveler submittal 111319.01.01 shows a drain at the center of the dock leveler pit. (see attached from the submittal). Please advise if a drain line is to be installed at the dock leveler as shown in the submittal and provide requirements for the drain and the pipe routing.</t>
  </si>
  <si>
    <t>CCD 094 Furring Wall Attachment Clarification</t>
  </si>
  <si>
    <t>CCD 094 calls for furring at the existing perimeter historic stone walls. These walls flake quite easily and some of these furring walls span up to 19' high (level 2 perimeter walls). Please advise more direction of what type of attachment is needed to properly clip 1-5/8" metal stud furring to the historic stone (wall type A) or through the historic plaster to historic stone (wall type B).
Also, please advise what type of bridging is necessary for the furring (e.g. black iron every 4' o.c.).</t>
  </si>
  <si>
    <t>Our recommendation is to you use 1-5/8" 20ga studs with black iron every 4' starting at row 2. We propose installing clips to studs/black iron @ 4' o.c. where the black iron occurs midspan (i.e. row 10) and attaching the clips to the sandstone or through existing plaster with 3/4" x 6" screw anchors. | Aaron,
Please provide the options we talked about on the phone.</t>
  </si>
  <si>
    <t>Hose Bibs at Sump Pit Locations</t>
  </si>
  <si>
    <t xml:space="preserve">TFM is requesting that hose bibs be provided at all sump pit locations. Please advise if these are to be provided and provide design requirements. </t>
  </si>
  <si>
    <t>Hose-bibs will be added as requested as part of CCD-029R.5. |  |</t>
  </si>
  <si>
    <t>Stair Treads</t>
  </si>
  <si>
    <t>Please clarify notes on stair tread details in CCD 077.
Detail notes ask for sample of stair tread with carborundum. Please clarify if the carborundum are the groves that are being cut into the stair trend nosing. Another option would be to fill the grooving with a carborundum material.</t>
  </si>
  <si>
    <t>The intent is to see a mockup of the stair tread with the empty grooves, and also a mockup with the grooves filled with carborundum. | Typically what we have seen prepared for the abrasive strips is a mix of 1 part UV rated epoxy to 4 parts silicon carbide.  Please provide a mockup for review and approval. | After searching through options for carborundum stair nosing it is clear that there are thousands of different products on the market. The information provided is unclear as to what the architect would like to see for a sample. Please specify a product and model so that a sample can be prepared with what is desired.
Thanks, Bob</t>
  </si>
  <si>
    <t>Baptistery Floor Drains</t>
  </si>
  <si>
    <t xml:space="preserve">TFM is requesting that the baptistery floor drain sumps be stainless in lieu of the specified cast iron. Please advise if stainless floor drain sumps are to be provided and provide specifications. </t>
  </si>
  <si>
    <t>VBFA recommends that the owner decide whether to upgrade the type FD-1 floor drains inside the font room, shower areas and locker spaces of level 0.5. The upgrade would be from a cast iron body with nickel-bronze strainer to an all stainless steel product. Stainless steel is a more durable material but is also more expensive. 
There are currently (32) FD-1 type drains specified for the affected areas. Please see below for some approximate costs per drain.
• Cast iron body with nickel-bronze hinged grate (basis-of-design) - $400 each. 
• All stainless body with hinged grate - $870 each | The floor drains are to be installed as specified. In addition, the contractor is to verify that the procured floor drains satisfy all requirements from the project specifications. | Please advise if we should proceed with the stainless floor drains.</t>
  </si>
  <si>
    <t>Eric Jamison</t>
  </si>
  <si>
    <t>Clarification of Exit Sign type and locations</t>
  </si>
  <si>
    <t>In some locations exit signs are labeled 'X1' (single faced) where it appears they should be 'X2' (double faced).  Also, some exit signs may be drawn in the wrong location.</t>
  </si>
  <si>
    <t>Examples of 'X1' exit signs that should be 'X2' include but are not limited to:
EL101E Rm 184.  Exit sign with 2 arrows facing West.
EL100C between Rm 075 and Rm 077 is not clear which direction is the exit.
EL100A the exit sign in doorway (052) from Lobby 052 into West Staircase is labeled 'X2', while similarly located exit signs (EL102A Rm 201, EL103A Rm 301, EL104A Rm 401, and EL105A Rm 501) are labeled 'X1'.
On page EL100B the South West doorway (015A) between Worker Training Room 015-1 and the corridor to vestibule 005 has exit signs on both sides of the doorway, but none over the doorway (005) between said corridor and  stair lobby 024-B.</t>
  </si>
  <si>
    <t>EL101E Rm 184, exit sign should be double face.
EL100C Rm 075/077, in reference to the code plan, the exit is through the shower door to the right.
EL100A 052, in reference to the code plan, the exit shall be X1 as shown similarly on the upper floors.
EL100B vestibule 005, exit sign shall be placed over doorway to Stair 1 Lobby 024B. |</t>
  </si>
  <si>
    <t>Electrical run to SDMH #10</t>
  </si>
  <si>
    <t xml:space="preserve">Before the project started SDCO #11 had a pump that would pump ground water from SDCO #11 into the storm drain system.  There is no electrical in the plans to run power to this SDCO in the plans.  If this is the intent to have power ran to this man hole there may be accociated costs. </t>
  </si>
  <si>
    <t>Electrical was unaware of the existing pump.  Please provide electrical specs on existing pump, location of pump and detail of existing electrical circuit feeding pump so new electrical service can be determined. | We are fine with routing power from the landscapers shed.  Since the landscapers shed does not have a power panel, provide additional circuit from L1P0A for the pump. |  | I attached a picture of the old pump spects.  The old pump worked when it was removed but it is corroded and I am not confident that it will continue to work after sitting from being removed.  I would recommend a new pump be installed.</t>
  </si>
  <si>
    <t>LV switches and T-stat Typical Detail</t>
  </si>
  <si>
    <t>There is no typical detail with measurements for LV switches and T-stats in 4th floor rooms 409, 411 (East Vestibules), and 410 (GA Lounge).</t>
  </si>
  <si>
    <t>It is proposed that these devices be installed 6" on center from existing, historic door casework.  This would allow room for cutting and chipping into the plaster and stone wall without being too close to the wood casework risking damage, while at the same time being a comfortable distance from the casework for seeing and operating the switches from the doorway.  Heights of these devices would remain consistent with the general specifications of 48" on center AFF for switches, and 60" AFF for non-adjustable T-stats.  See attached detail.</t>
  </si>
  <si>
    <t>8" from outer edge of casing to light switch and t-stats is correct. See attached General Notes on AE4000 sheets. |</t>
  </si>
  <si>
    <t>St. George Temple Signage</t>
  </si>
  <si>
    <t>What is meant by the word “dimensional” in the phrase “Cast dimensional characters” in specification reference 101419-1-1.2-1(I don’t want to assume that it means one thing, when an architect or designer meant something else.) Knowing the answer to this question will also likely answer the desired thickness question too. A section through the character(s) would be helpful.
Material: Specs indicate “Cast Bronze"
Samples: specifications indicate that there needs to be a full-size sample of each type of dimensional character. There are 23 different characters required, some of those are required in 2 different sizes. There are a few ways to read and understand this requirement. Please advise. 
I have attached a break down of the sizes/quantities of each letter/numeral/symbol that are needed on this scope. In summary there are 87 castings required to be made from 32 patterns.</t>
  </si>
  <si>
    <t>Please refer to ASI 047 for response.</t>
  </si>
  <si>
    <t>Mounting to stone wall</t>
  </si>
  <si>
    <t>is there a typical detail for mounting items such as electrical panels to the stone wall? 
if not could we get one or product we need to be using? Please Advise.</t>
  </si>
  <si>
    <t>There are no particular details for mounting items to these walls.  However, we do recommend Hilti Re 500 V3 epoxy anchors be used for these applications.  All anchors should have 8" min. embedment when attached to the sand stone walls.   |</t>
  </si>
  <si>
    <t>Email Art Work and Mirror Backing</t>
  </si>
  <si>
    <t> We are prepping for plaster and finishing up any demo for Art work and mirrors. At this time on the 5th floor and 3rd floor. We are in need of backing placement for all rooms and hall way. The attic Access has been chanced from the original plan. They re now centered between the bulkheads in the hall way. Please call me if you need. I am happy to help with anything you need</t>
  </si>
  <si>
    <t>This has already been taken care of by Dave and can be closed out.</t>
  </si>
  <si>
    <t>Water Softener Valves</t>
  </si>
  <si>
    <t>The new Culligan water softeners were supplied with galvanized piping to a cast iron head valve. The TFM group is requesting the piping be replaced to Niron and the valve be replaced with a bronze type. Attached is the requested bronze valve information provided by the TFM group along with the pricing to supply the (2) valves and adapters. There will also be a cost from the subcontractor to install these valves and adapters as well as to provide and install the Niron piping. Please advise how you would like us to proceed. 
for reference we have attached the product data for the water softener.</t>
  </si>
  <si>
    <t>VBFA is in agreement with the TFM that the water softener valve and piping should be replaced given the history with the previous unit. However, please verify with the owner if it is acceptable to spend the money to upgrade the valve and piping for the water softener.</t>
  </si>
  <si>
    <t>Wall Dimension Conflict</t>
  </si>
  <si>
    <t>Please advise if we are to use the dimension off of Sheet AE4013 (10'-2 1/2") or Sheet AE140. This wall has already been framed in using the Dimension from sheet AE140 (11'-4").</t>
  </si>
  <si>
    <t>Please see the attached added revised sheet AE140 that was missing from CCD-96 showing the lengthening of the wall.</t>
  </si>
  <si>
    <t>VC remaining sidewalk on east side</t>
  </si>
  <si>
    <t>On the civil page C.5 the side walk on the east side of the VC is not marked for demo.  On landscaping page LP 101 the landscaping conflicts with the sidewalk.  There is also a door that meets up with the side walk but the sidewalk extends north past the door.  How much of the sidewalk if any needs to stay?</t>
  </si>
  <si>
    <t>Civil Sheet C.5 shows the correct location for the demo and retention of portions of the sidewalk on the east side of the Visitor's Center building. Please follow their plan. Updates to the planting plan and landscape site layout plan match with Civil's drawings. The updated site and planting plan are in CCD088 which will be issued soon. |</t>
  </si>
  <si>
    <t>East Historic Tower Wood Structure Condition</t>
  </si>
  <si>
    <t xml:space="preserve">At the base of the fiber glass dome at the east Historic Tower the existing wood framing is rotted at a few different locations. See attached photos. Please advise how to proceed. </t>
  </si>
  <si>
    <t>This was discussed while Matt McBride was on site and it was determined that all of the joists and the edge framing need to be removed to eliminate the rotting wood. Westland agreed to remove the flashing just below the dome to determine if the wood can be removed from the outside of the tower and allow access to replace the joists.   | this is time sensitive</t>
  </si>
  <si>
    <t>Exhaust Air at Laundry 056</t>
  </si>
  <si>
    <t xml:space="preserve">Drawing M100B, laundry room 056.  The exhaust air as currently shown to be installed will not fit into the vertical above ceiling space as designed.  See attached shop drawings showing this.  </t>
  </si>
  <si>
    <t>Per the attached drawings, we suggest a new routing of the exhaust air duct over the adjacent room as shown, with an additional request to lower the ceiling by 6" to allow the exhaust duct to clear the wood beam above.  Please advise.</t>
  </si>
  <si>
    <t>This item will be resolved as part of CCD-098.</t>
  </si>
  <si>
    <t>Transfer Air Duct Boots-Annex</t>
  </si>
  <si>
    <t>We are in receipt of and have reviewed RFI# 666 and CCD#028R3 scope clarifications and direction.  It appears that per these two directives it is acceptable to eliminate all of the transfer air boots at Annex Bldg, level 0 and 1.  Please confirm.</t>
  </si>
  <si>
    <t>If it is not the intent to eliminate the transfer air boots in their entirety at the Annex Bldg, please provide information clarifying which boots are to be eliminated and which are to remain.  See attached clouded drawings for clarification along with keynotes 14 and 15 indicating coordination to occur with design team to locate these transfer air locations.</t>
  </si>
  <si>
    <t>See comment from Brian Oswald, VBFA dated 13-Oct-2020 |</t>
  </si>
  <si>
    <t>Dryer Fan Information</t>
  </si>
  <si>
    <t>Per RFI# 273 response a dryer fan tagged EF-DB-1 is called to be provided at laundry 028.  This equipment is called for on current drawing M100.  The equipment schedule drawing M603 does not appear to have this fan shown.  Please provide a fan schedule, model, etc for equipment tagged EF-DB-1.</t>
  </si>
  <si>
    <t>The dryer booster fan EF-DB-1 information has been updated and will be issued with CCD-028 R.4. | Please disregard my last comment. I meant to reference to CCD-028R.4 not 024R.4.</t>
  </si>
  <si>
    <t>Aphid infestation in the pecan trees</t>
  </si>
  <si>
    <t>Description: Aphides have returned to the existing pecan trees on site. The aphid deposits are having an adverse effect and are glazing the new sidewalk, rock mulch, and trees/shrubs. This will be a consistent clean up and upkeep effort for the temple. In an effort to reduce the work load on the temple and protect the new plantings and hardscape and maximise the patron experience I have suggested three possible solutions below.
1.      Do nothing and plan for the temple to continued clean up and maintenance from 	    the aphid effects.
2.      Chemically treat the pecan trees to kill the aphides.
3.      Remove the pecan trees.</t>
  </si>
  <si>
    <t>Due to the historic nature of the trees, removal will not be an option. CRSA and MGB+A will find an systemic chemical treatment that will address the aphid problem and allow the fruit to remain safe for consumption. As soon as the appropriate application is identified treatment can begin.   |</t>
  </si>
  <si>
    <t>Dome Exterior Light Fixture Supporting</t>
  </si>
  <si>
    <t>The existing support for the dome exterior lighting creates some problems:
1- The feet used had 5 penetrations each (16 total feet) that created multiple potential leak points (see attachment "Dome, old feet for light fixture support")
2- The feet and deep Unistrut used were built to support much larger and heavier fixtures than the LED ones we are now using.  They were bulkier and larger than now needed, and were therefore more intrusive and visible from the ground.</t>
  </si>
  <si>
    <t>It is proposed that the dome be patched and fixed where the old feet were mounted, removing 80 holes.  
Then we would install a smaller, more streamlined fixture support that would work well with the new LED light fixtures.  They would be much less visible from the ground, and each would only entail (2) 3/8" diameter holes for mounting through the dome.  The new holes would be sealed inside and out with polyurethane sealant.  (see attachments "Dome light detail 1.0" and "Dome Exterior Light Mounting Detail 2.0"</t>
  </si>
  <si>
    <t>The recommended mounting sounds like it has been well thought out; however, the new mounting method must be able to secure the LED Light Fixtures to the Dome in whatever historically expected winds (sustained and gusts) may occur in the immediate area.
Has the Project Structural Engineer been consulted on the new mounting method? | We recommend increasing the diameter of the new fender washer above and below the dome to match the diameter of the old feet used in the previous attachment.   |  | Will you provide your input on what we are asking in this RFI</t>
  </si>
  <si>
    <t>Window Sill Flashing RFI</t>
  </si>
  <si>
    <t>Are the windows sill flashings shown in the attachment necessary?</t>
  </si>
  <si>
    <t>Please refer to the revised window flashing details recently sent in CCD 113.</t>
  </si>
  <si>
    <t>Site dock screen wall details</t>
  </si>
  <si>
    <t>Reference sheet AS401, AS501, AE148, C.6, S004 
1) Sheet AS401 references screen wall details A1,A2/AS501 which shows a footing/stem wall and CMU above. Civil plans C.6 note 8 show straight curb (6"x18") per detail C.13 detail F. Which is the correct detail?
2) If the CMU screen wall is required we assume it would be a type MW-1 per note 1 on S004. Please clarify footing size and reinforcing requirements if needed beyond what is shown on C.13 detail F
3) Please provide elevations and dimensions for gates/dumpster and wall/column popouts if required as shown on AE148. Per detail A2/AS501 the CMU appears to be on a stem wall that pop outs at the column locations. Dimensions needed for these columns. 
4) Please provide bollard base details if required or do they post install to the slab with anchors? Reference note 32.08 on AS401.</t>
  </si>
  <si>
    <t>See attached for screen wall and footing requirements.  For all other questions, refer to Architectural. | Refer to ASI #54 for additional information in response to this RFI. | Please provide final direction on what we need to plan for. Will this be issued as a CCD? Please clarify screen wall dimensions, elevations, buttress details at stem wall and CMU architectural details.  | Looks like ARW got their portion now it's with CRSA.</t>
  </si>
  <si>
    <t>Outlets Laundry Rm. 028</t>
  </si>
  <si>
    <t>Sewing machine cabinets are in a different location on the electrical plans than the architectural plans (see attachments)
outlets behind commercial washing machines don't have circuit call out. do these outlets need to be a specific elevation (see attachments)
outlets on west wall are located at shelving, should they be moved to the sides? (see attachments)</t>
  </si>
  <si>
    <t>Move outlets for sewing machines to match up with architectural locations.
mount outlets behind washers at +48" for soap dispensers. Coordinate exact locations with architect prior to rough in.  Circuit is L1P0A-14
 Yes move outlets to the side of shelves. | See response from Envision. Outlet locations for the soap dispensers TBD. | Plans to be updated as part of CCD-054.4R1. |  | 1.      Please confirm the Arch. layout that is to be used. The ones on Sheet AE4007, and Cabinetry Submittal 064023.07.01 or Sheet EP100 and AE100. (see attached RFI 747_Outlets Laundry Rm. 028)
2.      Electrician can follow the direction given. (see attached RFI 747_Outlets Laundry Rm. 028)
3.      When reviewing the cabinet drawings, we noticed that the wall in question has had a cabinet box added. This is removing the wall space needed for the install of the Outlets on the side of the cabinets. (see attached RFI 747_Outlets Laundry Rm. 028)</t>
  </si>
  <si>
    <t>Historic mat slab pour sequence</t>
  </si>
  <si>
    <t>Please advise if the attached sequencing and locations of the construction joints in the historic basement will be acceptable. </t>
  </si>
  <si>
    <t>The proposed sequencing is acceptable.  Please see attached sketchs for comments and construction joint detail requirements. |</t>
  </si>
  <si>
    <t>AE4203</t>
  </si>
  <si>
    <t>Mirror Backing</t>
  </si>
  <si>
    <t>Please confirm that we are to have TID remove the plaster behind the mirrors in the historic bathrooms. This will allow us to install the backing required to support the mirrors. For reference we have included sheet AE4203. A prompt response on this will be appreciated.</t>
  </si>
  <si>
    <t>The sheet referenced is AE4503 not AE4203. The restrooms are to have new framed walls behind the Lavs and mirrors on the 3rd and 5th floors That blocking can be added. The existing plaster is to remain behind the new wall framing (where occurs) and was not intending to be removed. See the attached plan images.  | See previous comment regarding the restrooms. 
In the Instruction rooms, the plaster is to be minimally removed at locations from stud to stud where mirrors/ artwork are located to provide access to install new blocking. | please revise response</t>
  </si>
  <si>
    <t>E. tower Ext. Lighting Support 1st level down from dome</t>
  </si>
  <si>
    <t xml:space="preserve">The current direction is to remove and re-install the existing light fixtures on the existing supports.  The first level down from the dome has lighting supports that are corroded, create dubious roof penetrations (see attachment "Exterior lighting support 1st level below dome").  Could these supports be removed and replaced? </t>
  </si>
  <si>
    <t>It is proposed that the existing light fixture supports be removed on this level and replaced with supports similar to those on the 2nd level down from the dome (see attachment "Exterior lighting support 2nd level below dome").  This support method eliminates penetrations through the roof, is much less prone to leaking, and makes it much easier to re-roof, and maintain roofing.</t>
  </si>
  <si>
    <t>The recommended mounting sounds and appears to have been well thought out, and we do not have any problems with the recommendations, but as with the previous tower light mounting recommendation the new mounting method must be able to secure the LED Light Fixtures to the Dome in whatever historically expected winds (sustained and gusts) may occur in the immediate area.
We would again recommend that the Project Structural Engineer been consulted on the new mounting method. | We take no issue with what is being proposed.  We recommend attaching the angle to the post using a minimum of (2) 1/4"x4" long lag screws. |  |</t>
  </si>
  <si>
    <t>Relief Air Plenum at Mech RM 001_020A_and 032</t>
  </si>
  <si>
    <t>The mechanical contractor brought up the concern that Mechanical Rooms 001, 020A, and 032 are designed to serve as a relief air plenum and wanted to ensure they were air tight to meet the design intent. Please advise if any modification is needed at these spaces to meet the air tight assembly design intent. 
At north Mechanical Room 001, door opening 002 is called out as an concrete opening with no door. Since MEP piping and conduit are routing through that door way, please advise how to proceed to provide the air tight space at this location. </t>
  </si>
  <si>
    <t>Provide a framed wall assembly at storage 003 starting east of door 003A and running north to just east of door opening 002. </t>
  </si>
  <si>
    <t>Please refer to the attached pdf "20201120_SGT_RFI-751_Mechanical". Doors are to be provided where indicated between North Mechanical [001], Electrical [002] and Storage [003]. The doors will officially be added in a forthcoming CCD. 
In addition, the drywall around the mechanical rooms shall extend to the bottom of deck as indicated in the attached pdf "20201120_SGT_RFI-751_Mechanical". | Please refer to CCD 101 showing new doors that were added. |  |  |</t>
  </si>
  <si>
    <t>Russ Farley</t>
  </si>
  <si>
    <t>Architectural Building Sup</t>
  </si>
  <si>
    <t>Confirm Lighting Dimensions Rms under East Tower Flrs 2-4</t>
  </si>
  <si>
    <t>As per walkthrough and conversation with Kyle Welch and Scott Gilberg with CRSA we modified the Lighting dimensions in rooms 219, 318, and 410 which are all located under the East tower.  Adjustments were made to center the lights on windows, doors and chandeliers, miss steel 'I' beams, and to make dimensions consistent and equidistant.  These dimensions were made to conform with the expressed intent of the Architect concerning the lighting layout. Can we confirm that our adjusted lighting dimensions are acceptable?</t>
  </si>
  <si>
    <t>See attached drawings for our adjusted lighting dimensioned layouts.</t>
  </si>
  <si>
    <t>Looks correct. Some lighting in the GA Lounge were not dimensioned from the walls at the corner locations. When installing verify that the dimensions are equal off both walls. |</t>
  </si>
  <si>
    <t>Elevator 5 shaft layout error</t>
  </si>
  <si>
    <t xml:space="preserve">See mark up sheets AE141A and AE142. As discussed onsite with Kyle (CRSA) and Zach (ARW) we have an layout error with the north side of elevator shaft 5. The attached sheets provide the actual dimensions. 
1) As reviewed please verify if the shaft can remain as is or if it needs to be re poured?
2) ARW if the wall needs to be adjusted please review the attached sketch and advise if this proposed fix is acceptable? </t>
  </si>
  <si>
    <t>The proposed sketch is acceptable.  Please provide #3 hooked dowels into the cut face of the wall in a manner similar to detail 18/S221 that was used at the loading dock area.</t>
  </si>
  <si>
    <t>Jacket wall dimensions grid H5 stair</t>
  </si>
  <si>
    <t xml:space="preserve">As reviewed onsite please reference RFI 605 and mark up from sheet S101B. 
1)Please provide end of wall dimension for the 8" jacket wall that supports the slab on metal deck. Top of wall is at elevation 99'-5 1/2" per RFI 605 response. </t>
  </si>
  <si>
    <t>See attached mark-up for the end of wall location. |</t>
  </si>
  <si>
    <t>1/P702</t>
  </si>
  <si>
    <t>Gas Meter</t>
  </si>
  <si>
    <t xml:space="preserve">US Mechanical reached out to Dominion Energy to coordinate resizing the gas meter (see note in detail 1/P720). Based our the current Gas Schematic 1/P702, Dominion is requiring an 18 to 20 foot meter set. 
1) Please advise where the new meter is to be located.
2) Will the line sizes in the building need to be redesigned due to any added length between the main regulator and any sub regulators? Please advise and provide any modifications to the gas schematic 1/P702.
3) There is currently no call out for an earthquake valve on the main service before it enters the building. Will this be required?
Please advise and provide plans and specifications. </t>
  </si>
  <si>
    <t>It has been proposed to move the gas meter to the south side of the Annex along grid A2 and between grids AG and AH. The meter location is currently being updated with landscaping and will be issued formally as part of CCD-029R.6.  | We will issue this to the Subcontractor when we receive CCD-029 R.6</t>
  </si>
  <si>
    <t>EP100</t>
  </si>
  <si>
    <t>Annex Basement outlet locations</t>
  </si>
  <si>
    <t>Sheet EP 100 shows plugmold and above counter outlet at room 042 are both needed? location/elevation? length of plugmold?
Sheet EP 100 Breekroom 010 has a counter/w sink it shows no backsplash we need elevation of outlets above this counter. it also shows microwaves at both 60" and 24" is this correct? 
Sheet EP 100 Grab and go 011 at POS 1 outlet above counter 1 outlet and data below, at south end of same counter 1 outlet and data bellow counter 1 outlet above is this correct?
Sheet EP 100 Lav sinks show a Jbox for sensor power (P13) we need a typ location for these.
(see attachment for all of these questions)</t>
  </si>
  <si>
    <t>See attached shop elevation image for location of outlets/plugmold on east wall of shop.
  Refer to detail 1/EP501 for mounting heights of all devices including those above counters.  Microwave locations have been adjusted, please move all (3) microwave outlets to be at +60".
 Yes outlets are provided below counter for additional equipment connections.
  Faucet sensor heights should be coordinated with plumbing installer.  We typically see the outlets mounted at +20".  In a location not readily visible to patrons. | 
2- Breakroom countertops will have a 4" backsplash. Outlet heights will need to be
	installed as specified on EP501.
3- We will need to add an additional Data outlet above the POS counter next to the
	outlet.
See response and attachment from Jessica with Envision as well. | Please clarify power data locations from note 3 (above counter, in cabinet and below counter).</t>
  </si>
  <si>
    <t>126700</t>
  </si>
  <si>
    <t>Arm Rest Attic Stock</t>
  </si>
  <si>
    <t>Please advise the required attic stock for the opera seating.</t>
  </si>
  <si>
    <t>The TFM has requested that we have enough attic stock to replace all the arm rests in a room plus 10 additional. They have also requested that the arm rest material be changed from hardwood to Corian.</t>
  </si>
  <si>
    <t>AE 124, GA005</t>
  </si>
  <si>
    <t>Ceiling Framing RM 410 Study</t>
  </si>
  <si>
    <t>Sheet AE124 calls for a ceiling type C2 finishing out at 17'-6". From floor to LVL framing we have 17'6" already. Should the C2 ceiling be provided, lowering the ceiling height or should the gyp and plaster be applied directly to the LVL framing? Please advise.
This would lower the ceiling to 17'-2" if C2 ceiling is to be installed.</t>
  </si>
  <si>
    <t>Lowering the ceiling would help accommodate the MEP rough in.</t>
  </si>
  <si>
    <t>Please use 1/2" resilient channels between the LVL joists and 5/8" Gypsum board ceiling in Room 410. This is to provide an additional STC sound rating. CRSA is aware that the ceiling will be a few inches lower than what is reflected in the current drawings. | Per conversation with Scott and Kyle we are to use the 7/8" hat channel and sound batts between Ceiling Joists.</t>
  </si>
  <si>
    <t>M411</t>
  </si>
  <si>
    <t>Remote Supply Lines for Chemical Treatment Station</t>
  </si>
  <si>
    <t>TFM is requesting remote supply lines be provided from the mechanical courtyard down to the existing chemical treatment station in the boiler room to allow for the chemicals to pumped down to the station rather than barrels being transported to the station.</t>
  </si>
  <si>
    <t>A possible solution would be to route (2) 3/4 inch Niron pipe lines, one for bio and one for phosphonate, as shown in the attached. Please advise and provide direction as needed.</t>
  </si>
  <si>
    <t>Please see the response in the markups of the attached pdf "M411 - MECHANICAL ENLARGED PLANS &amp; SECTIONS_VBFA". |</t>
  </si>
  <si>
    <t>Font Pit New Design - Las Vegas Rock Material</t>
  </si>
  <si>
    <t>During the last Stone Committee meeting on October 13-14, it was brought up that a new design would be issued for the Font Pit.
Please provide us the new design so we can price the stone on this Font Pit.
Thank you,</t>
  </si>
  <si>
    <t>PLease reference CCD #105- the new tile patterns/details are issued here</t>
  </si>
  <si>
    <t>Ashlar Pattern Dimensions</t>
  </si>
  <si>
    <t>Please confirm the dimensions of the FS1 - Sierra Smoke Ashlar Pattern from Las Vegas Rock.
Assuming a 1/8" joint, the stone sizes would be:
7-7/8" x 7-7/8"
7-7/8" x 15-7/8"
15-7/8" x 15-7/8"
15-7/8" x 23-7/8"
Please confirm if this is correct.
Thank you,</t>
  </si>
  <si>
    <t>These sizes are in the acceptable range. Contractor to install with 1/8" grout joints.</t>
  </si>
  <si>
    <t>Ceilings Replaced in Rooms 409, 410 and 411</t>
  </si>
  <si>
    <t>Please confirm that due to the ceiling in rooms 409, 410 and 411 being demoed along with the crown that we are to replace the historic crown with new GFRC crown matching the historic crown.</t>
  </si>
  <si>
    <t>The crown in rooms 410 and 411 are to be preserved and not removed. Crown in room 410 should of been scanned prior to removal. It will be replaced with GFRG crown that will match the historic one that was removed. The GFRG medallions for these 3 rooms will be covered in a future CCD. | Correction, The crown in rooms 409 and 411 are to be preserved and not removed. Not room 410 per my previous response. | We will close this when the future CCD is issued.</t>
  </si>
  <si>
    <t>AE143, AE102</t>
  </si>
  <si>
    <t>Lobby 218 Support High Walls</t>
  </si>
  <si>
    <t>On Levels 2 and 3. please provide direction regarding the support required for the wall running along grid lines H2 and H4. The wall assembly is type 55 as shown on the attached pages.
As presently designed we are to install this wall above the existing historical wood flooring that is being cantilevered over the next adjacent joist some 6" to 8" away.</t>
  </si>
  <si>
    <t>See attached sketch for requirements.  These clarifications will be issued in a forthcoming CCD 87-R.4. | See CCD87-R.4, Sheet S103 and detail 2/S246 |  | I cant find the sketch you said you attached and I cant find it in CCD 087.R4.
When you have a second will you give me a call so we can discuss.</t>
  </si>
  <si>
    <t>AE503</t>
  </si>
  <si>
    <t>Tilt Wall to Concrete Base Connection</t>
  </si>
  <si>
    <t>Please provide direction as to how the connection between the tilt up wall and the concrete wall are to be done, and the material to be used.</t>
  </si>
  <si>
    <t>Please refer to CCD 34- Buttress Plinth clarifications @ Annex for revised details. | Refer to CCD- 34 revised details showing the portion of concrete to be removed and replaced with new shaped High impact foam EIFS. This also covers filling in the large gaps under the precast panels and concrete walls.   | We will close this RFI when we get CCD 034.</t>
  </si>
  <si>
    <t>Historic Anchor Bolt Layout</t>
  </si>
  <si>
    <t>Due to scheduling conflicts and In the interest of keeping the schedule would it be acceptable to post install the embeds in the clouded area above?</t>
  </si>
  <si>
    <t>This is a possible option, but please keep in mind the embed plate sizes will likely be larger and there may be more epoxy bolts required than headed studs.  This will need to be redesigned if it is desired to use a post installed option.</t>
  </si>
  <si>
    <t>Dock gate details</t>
  </si>
  <si>
    <t>Related Scope: Site fence and gate
Related Documents: AS401, LL510
Description: On AS401 has a gate 32.05. There are no details on this gate like the other gates listed on LL510.  Please provide detail with measurements and dimensions for gate 32.05 on AS401. Also, there is no detail for the rolling system and how it should attach to the wall. Does the size and weight of gate 32.05 need a mechanical opening system? And if so power and controls need to be considered. </t>
  </si>
  <si>
    <t>See upcoming CCD 116 for plans and details regarding the sliding gate. | We will close this when we receive the CCD |</t>
  </si>
  <si>
    <t>Site rebar details modified in submittal</t>
  </si>
  <si>
    <t xml:space="preserve">Reference attached submittal 03 2000.08.00 site concrete reinforcing.  
To avoid questions and issues during special inspections, engineer please verify that the following details are correct as noted in the site rebar submittal:
1) 6" walls at north fountain per detail 2/LL507 are single curtain of rebar as noted in the submittal sheet S-1 
2) The site wall footings on detail 3/LL510 were changed in the submittal sheet S-1 and are now 4'-0" wide with #5 @ 12" T&amp;B and 8 #5 cont (4 T&amp;B) 
3) Monument wall section on 4/LL510 will be a single curtain of rebar not a double as shown on submittal sheet S-2 </t>
  </si>
  <si>
    <t>Confirmed |</t>
  </si>
  <si>
    <t>Control Joints</t>
  </si>
  <si>
    <t>From past experience on other temples, we have not installed control joints in walls that run greater than 30'. Please confirm we are not installing control joints in walls spanning longer than 30' for this temple.
In the specification is referenced ASTM C840 for reference I have attached the ASTM to this RFI.</t>
  </si>
  <si>
    <t>No control joints. |</t>
  </si>
  <si>
    <t>Traning room AV</t>
  </si>
  <si>
    <t>Drawing XE110 show a MA and TS box located in cabinet we need a location, and type of box see attachment</t>
  </si>
  <si>
    <t>TS is a touch panel, which sits in the cabinet. No back box is required for it.  t that sits between the two monitors. 
MA is the junction box for the mixer/amplifier. It is a 3” deep, 4” square box with a double gang plaster ring, and it is mounted flat at the floor underneath the cabinet.
Below is direction from the Church AV department.
The Touch Screen is free standing and is intended to sit on top of the 30” cabinet.  
The computer and audio amplifier will be in the cabinet underneath. The junction box in the cabinet should be in the wall at around outlet height and though it may have been originally specified as a 4-square box, it might be best to enlarge it to a 12” x 12” box to accommodate the conduits and cable that should be coming into it. There should be a conduit from this cabinet backbox to each monitor backbox and should perhaps be up-sized to a 1-1/4” conduit. There should be a power outlet in each monitor backbox and in the cabinet. The data ports for the training system should be located in the backbox located in the cabinet. Some of this may constitute a change that will need to be run through proper channels, but it will make installation of the training system much easier. |</t>
  </si>
  <si>
    <t>XE110, EP100</t>
  </si>
  <si>
    <t>Annex Basement Electrical</t>
  </si>
  <si>
    <t xml:space="preserve">XE110  can we relocate session clock from furred CMU wall to location where laundry workers will be able to see it better (see Attachment)
EP100 Can we relocate outlet and wall phone from furred CMU wall that will not accommodate the depth of the box to another location in the room (see attachment)
EP100 Panel L1K0A has a S.S. 4X enclosure which is surface mount (for the kitchen) this would protrude into the hallway. we would suggest using a nema 1 enclosure with a flush cover or relocating panel to storage room 003-1 (see attachment) </t>
  </si>
  <si>
    <t>We see no issue with the proposed location.
 We see no issue with moving devices to the proposed location.
We have no issue with relocating the panel into the storage room.  Since the panel is already on site with the stainless steel finish we see no reason to change the finish.  It is not required but we see no reason to order a new enclosure. |</t>
  </si>
  <si>
    <t>Fiberglass Tower Exterior Paint Clarifications</t>
  </si>
  <si>
    <t>I need to know which paint we are using on the lower portion of the Fiberglass Tower.  Wednesday 10/28/2020 we received ASI 051 which clarifies all primers, tie coats and paints and delineates the areas each are to be applied (See attached ASI 051).
Today (Thursday) 10/29/2020 we received a revise and resubmit stating that one of the materials Benjamin Moore Moorgard W103 does not meet spec.  However in the ASI, it was laid out as the material to use.
We have already purchased materials for this, and started applying it to the building.  We need information on how to proceed.  URGENT.
Thank you</t>
  </si>
  <si>
    <t>Please refer to ASI 51 Exterior Paint Clarification.  | Submittal stamped 11/2/2020 had approved the Moorguard. | Please revisit the Question. 
The ASI is saying to use Moorguard, but Moorguard was rejected in the submittal. they are wanting some Clarification on if they are to use the Moorguard or if something else needs to be provided. 
As a side not they have already purchased the Moorguard for this area.</t>
  </si>
  <si>
    <t>Ader Sanchez</t>
  </si>
  <si>
    <t>Unlimited Designs Inc.</t>
  </si>
  <si>
    <t>Wood Base Level .05</t>
  </si>
  <si>
    <t>West tower rooms 051, 052,  053,  051,  S-3, level .05,  finish schedule call for wood base type B1, (stone with wood cap) detail C1/AE570.  Our shop drawings are approved showing base B1 in these rooms. CCD 40 changed the finish floor in these rooms to be LVT flooring. I do not think you still want stone base where there is LVT flooring. Please clarify wood base type in these locations.</t>
  </si>
  <si>
    <t>Please see CCD40 R.1, R.2 and R.3 showing revised finish plans and finish schedule changes.</t>
  </si>
  <si>
    <t>Interior windows Annex and West Tower type A, AA, D, G</t>
  </si>
  <si>
    <t>CCD 085 deleted the wood trim around the windows, however CCD 85 did not address how the vertical and horizontal structure post are to be covered or trimmed out at window type A, AA, D, G. </t>
  </si>
  <si>
    <t>These windows have integrated structure and will be trimmed bout my Re-view Windows. See attached Window Shop drawing.</t>
  </si>
  <si>
    <t>Radio Antenna on Annex Roof Location</t>
  </si>
  <si>
    <t>Where should the roof penetration for the radio antenna be located, and where should the antenna be installed?</t>
  </si>
  <si>
    <t>As per conversation with Kyle Welch it was determined to penetrate the lower roof on the West side of the Annex roof, close to the wall of the raised center section. The conduit penetration through the roof would have a weatherhead installed, and the antenna would mount to the wall with unistrut. The top of the antenna would either be at or below the center roof level, or possibly be slightly higher.
This location provides ample coverage for the temple, grounds, and ancillary buildings. It will be virtually unseen from the West side of the temple, even from the West side of 200 E in front of the temple president's house.
Cory - TFM would like to have it just above the roof line to insure that it will be able to broadcast on to the east side of the Temple Grounds.</t>
  </si>
  <si>
    <t>We are Ok with the proposed location.  It sounds like thought has been put into this not being visible as much as possible from major Temple entrances.</t>
  </si>
  <si>
    <t>Exit Sign Confirming RFI</t>
  </si>
  <si>
    <t>Please confirm attached plans with notes for all of the exit signs. These were reviewed with CRSA on Monday, October, 26th.
Locations.
X1/X2 = single or double face. 
Recessed wall or ceiling mount, and surface mount options.
Directional arrows: NA = no arrows, LA = left arrow, RA = right arrow, etc.</t>
  </si>
  <si>
    <t>Please refer to CCD-044 R3 confirming exit signs. | Please refer to CCD-044R.3. | We will close this RFI when we get CCD 044R3</t>
  </si>
  <si>
    <t>Baptistry trench drain</t>
  </si>
  <si>
    <t>Related Scope: Civil/Landscaping            
Related Documents: LL106, C.8
Description: The trench drain in LL106 at the baptistry plaza does not show any connections to the storm drain system. How does the trench drain connect to the storm drain? Does the trench drain wrap the entire planter wall? Provide direction how the trench drains are to connect to the storm drain system and to what extent/length and locations do the trench drain need to be installed.</t>
  </si>
  <si>
    <t>Sheet C.8 has been updated to show the trench drain connection to the storm drain. See attachment. |</t>
  </si>
  <si>
    <t>Multiple Irrigation questions</t>
  </si>
  <si>
    <t>Various irrigation questions that corrilate with attached plan page.
Orange, does this sod stay in this area? There are currently four valves feeding the irrigation for the park strip sod (in red). These valves are to be used for other irrigation areas, so if the sod remains valves will need to be added. 
Purple line is the new main irrigation line form RFI 551. Blue line is a proposed lateral line to feed the one valve on the east side of the VC if the valve stays in the same location. Please advise.
Red cloud, is a concern that the amount of valves and boxes in this tight area. 
Green, S&amp;B says that this route will cost less and will have less of an impact on the new plants.</t>
  </si>
  <si>
    <t>Please see our responses in the attached pdf.</t>
  </si>
  <si>
    <t>VC site lighting</t>
  </si>
  <si>
    <t>Related Scope: Electrical/Landscaping   
Related Documents: ES200
Description: Per plan page ES200-Site Lighting, in the VC area there is no site lighting located along the sidewalk leading from the east plaza to the VC plaza and there are also no lights in the planter walls. Confirm that there are no wall lights in the VC plaza area? Confirm that there are no light poles intended for the sidewalk between the east plaza and VC plaza?</t>
  </si>
  <si>
    <t>During the design phase we discussed having steplights in the Visitor’s Center Plaza Wall, but many on the Design Team felt that the existing steplights were distracting when looking toward the Temple out of the Northwest windows of the Visitor’s Center.  Bollards on the lawn between the East Plaza and the Visitor’s Center Plaza were also thought to be distracting.
Additionally, the Sidewalk between the East Plaza and the Visitor’s Center Plaza will be sufficiently lighted with just the light reflected from the Temple, and since this sidewalk is not intended to be used as an emergency egress path no additional lighting is necessary. | See response from David Tibbitts</t>
  </si>
  <si>
    <t>Large sidewalk to paver detail</t>
  </si>
  <si>
    <t>Related Scope: Landscaping      
Related Documents: LL100 / LL501
Description: Per plan page LL100 the detail designated with purple dashes calls out 2 5/8” lugged paver. But on LL501 detail #3 only shows concrete.  Confirm that a paver is intended?  If it is the intent to have a paver on the edge of the larger sidewalks designated with the purple dash. Please provide a detail that shows the lugged paver and how it ties into the concrete?  </t>
  </si>
  <si>
    <t>See updated details on sheet LL501.  The purple dashed line indicate where vehicular rated pavers and/or concrete would need to be located.</t>
  </si>
  <si>
    <t>Training Rm 015 confirming RFI</t>
  </si>
  <si>
    <t xml:space="preserve">In training room 015 the box behind the equipment cabinet that receives the conduits for speaker wire, data, and outputs to the monitors is shown as being a 4" square box.  
The data runs are shown at the monitors, and nothing in the equipment cabinet.
There is no dimensioned detail for the outlet location or LV back box behind the equipment cabinet. </t>
  </si>
  <si>
    <t xml:space="preserve">In conversations with Brad Justensen and Cole Duke from the church A/V department the following was requested:
1- Replace the 4" square box with a flush mount 12x12x4 J-box.
2-  Run both data runs into the 12x12x4 J-box behind the equipment cabinet.
3-  In scaling off the plans, including the keyed note 2 on XE110,  we settled on the following dimensions (which are shown on the attached drawing):
-Install the power outlet at 18" AFF to center, and 11' off of the north wall to center.
-Install the 12x12x4 J-box at 18"AFF to center, and 12' 8" off of the north wall to center.
Please confirm that this will work with the furniture shown.
4- Due to the amount of cables, including  HDMI cables that need to be pulled from the 12x12x4 J-box behind the equipment cabinet up to the boxes behind the 80" monitors, Brad is requesting that those two conduits be upsized from 1" to 1 1/4" EMT.  This will likely incur a materials cost as well as an increase in labor. </t>
  </si>
  <si>
    <t>Design team is in the process of completing a change for the training room.  These box and conduit sizes will be included into that change and device locations adjusted for the floorplan changes.</t>
  </si>
  <si>
    <t>Custodial Supply Office 007 add outlet</t>
  </si>
  <si>
    <t>Should there be an outlet added in the custodial supply office 007 on the east wall next to the data outlet shown?
Should the data outlet (and power outlet if added) be installed above the counter top, or at 18" AFF to center?  If they are to be installed above the counter top backsplash, what is the height?</t>
  </si>
  <si>
    <t>Move standard outlet on north wall to be adjacent to the data outlet.  Mount both above counter, at mounting heights shown in detail1/EP501.  Coordinate height of counter and backsplash with architect prior to rough-in. | Install outlets 4" O.C. above 4" wide backsplash. | Please advise as to the installation location of the outlet in the Custodial Office.</t>
  </si>
  <si>
    <t>131213</t>
  </si>
  <si>
    <t>FP-0801-NORTH-FOUNTAIN.dxf &amp; FP-0161-EAST-FOUNTAIN.dxf</t>
  </si>
  <si>
    <t>NORTH &amp; EAST FOUNTAIN PRODUCTION DRAWINGS</t>
  </si>
  <si>
    <t>Please review the included North (FP-0801-WESTLAND) and EAST (FP-0161-WESTLAND) FOUNTAIN production drawings.</t>
  </si>
  <si>
    <t>See Other</t>
  </si>
  <si>
    <t>Fire protection supply line</t>
  </si>
  <si>
    <t>Related Scope: Civil / Fire Protection
Related Documents: CCD 089 / C.11
Description: The attached document shows a dashed red line showing a proposed route of the fire suppression supply line. The new proposed route for the fire supply line, is to install it as close to the building as possible. It also needs to be supported with brackets and reinforced for the portion that will be suspended when the west stair tower is excavated. Please provide direction on the location of the fire supply line, support bracket design and spacing, and the material for the pipe and 90 elbow that goes into the building. </t>
  </si>
  <si>
    <t>See response from Paul Mogle |</t>
  </si>
  <si>
    <t>Monument signs elevation</t>
  </si>
  <si>
    <t>Related Scope: Civil / Landscaping
Related Documents: LG201, LG202, &amp; LL510
Description:  The monument signs located on LG201 and LG202 have elevations that are unclear.  Please clarify the elevation for the top of curb these two signs. On page LL510 there are no dimensions from the top of footing to top of grade. How deep should the footing be place?  </t>
  </si>
  <si>
    <t>Please place the top of the footings 12" below grade. |</t>
  </si>
  <si>
    <t>Backing on 3rd &amp; 5th Floor</t>
  </si>
  <si>
    <t>Couple of backing questions: 
Backing clarifications for the sealing room mirrors.  (See the attachemnt)
Plywood infill in the hallways for the access doors to be replaced with 5/8" or 1/4" gyp to create 1/4" to 1/8" reveal for plaster.</t>
  </si>
  <si>
    <t>This was confirmed per site visit on 11-4 with Creg Norton.</t>
  </si>
  <si>
    <t>East Tower Basement Beams</t>
  </si>
  <si>
    <t>Is it necessary to galvanize the beams in the East tower Beams?  This can cut down on approximately 10 days of time before installation.</t>
  </si>
  <si>
    <t>Galvanizing of the beams in this area isn't critical as it is out of the way of direct water potential from the font.  However, this decision to not galvanized should be brought up with the arch and owner for direction.  We assume a credit would be provided back to the owner if these beams are not galvanized. |  | Scott/Kyle/Jeff,
Please provide some input on changing the structural steel in the Basement needs to be galvanized or if it can be simple steel with the red iron steel paint?</t>
  </si>
  <si>
    <t>East Tower Floor boxes level 2,3,4,5</t>
  </si>
  <si>
    <t>With all of the additional plaster having to be removed or cut into in the East Tower rooms floors 2,3,4,5, we propose replacing the floor boxes with flush mounted wall boxes channeled into the plaster which will make them much better to access as discussed with Scott Hardy and Kyle Welch on 10/05/2020. Also there are 4 locations on the 4th floor at the rostrums at both ends of the priesthood room that would be better suited with floor boxes because the walls are solid wood and would not accommodate a flush mount box.(see attachments please advise)</t>
  </si>
  <si>
    <t>We have no issue with the changes noted in this RFI as long as Architect approves of the changes. | After further review and with the new floors being open and exposed, CRSA would like to keep the floor box outlets in the east rooms the way they are shown in the construction drawings. Floor boxes at the rostrum are acceptable. Place floor boxes at rostrum where they are out of traffic areas and out of the way as much as possible while sitting. |  | Please review and advise if you concur with the adjustments outlined in this RFI.</t>
  </si>
  <si>
    <t>Duct Openings in Floor - East Tower Basement</t>
  </si>
  <si>
    <t>We have been able to pull all applicable dimensions for the beams added to the level 0.5 in the East Tower and, as we are preparing shop drawings, we are noting floor openings that need to be coordinated.  Please see attached sketch with openings clouded.  The green clouds appear to show floor openings, but these areas are hallways that require foot traffic.  Are these openings required?  If so - what is the size requirement?  There are 2 clouds in blue that appear to be for duct passage (1 appears to be a wall plenum, the other appears to be a duct "closet").  Please provide size requirement for these as well.</t>
  </si>
  <si>
    <t>Please provide direction that the concrete on deck is to pass through what appears to be block outs on the structural plans.</t>
  </si>
  <si>
    <t>Those areas marked has concrete floors covering them.  They are meant to indicate a horizontal penetration through the wall and not a vertical penetration up through the floor. |</t>
  </si>
  <si>
    <t>Exit light elevations</t>
  </si>
  <si>
    <t>we need an elevation for bottom of exit lights in relation to trim work around doors this would probably need to be a dimension from the largest trim so all of the exit lights would be the same elevation and not staggered. Also we would need some direction for nontypical doors such as arched openings etc. (please advise)</t>
  </si>
  <si>
    <t>Please refer to ASI #67- Exit Signage Dimensions. |  | Kyle per our email conversation you were working through this one on site.  I will leave it up to you to determine the final mounting heights in relation to the finished trims, etc.</t>
  </si>
  <si>
    <t>Wood Base Historical Bldg</t>
  </si>
  <si>
    <t>CCD40R1  Item A, General note states Historical Bldg. has wood base type C2 or C3, however Finish Schedule states rm 060, 061, 062, 063, 064, 065, 066, 067, 067B, 067C, 068,  to be base type C1 which is stone with wood trim on top and stair 3 to be C4 stone base with wood trim on top. Please clarify which is correct the General note wood base or finish schedule stone base with wood trim on top.</t>
  </si>
  <si>
    <t>All of these bases shall be a wood base. We will update our finish schedule in 040r.2 reflecting this. See attached Response.  | See previous comment November 2020 |  | We will leave this open until the updated CCD040 R2 is issued.</t>
  </si>
  <si>
    <t>4/S211, 4/P401</t>
  </si>
  <si>
    <t>House Keeping Pad for Font Equipment</t>
  </si>
  <si>
    <t>Please advise if housekeeping pads are wanted for font equipment FF-1 and UVF-1 and if typical detail 4/S211 is to be followed. Since font filter UVF-1 is owner provided (note 4/P401), please provide the cut sheet for this equipment or the size of pad to be provided.</t>
  </si>
  <si>
    <t>See attached response from VBFA. 
Yes, provide a housekeeping pad for the font skid and pump per the attached dimensions. A pad is not required for the UV filter because it comes on its own stand. |  |</t>
  </si>
  <si>
    <t>Dedication Lines for Data and AV</t>
  </si>
  <si>
    <t>In past temples that Westland has completed there has been some Conduit/Raceways for Data and AV installed for dedication purposes. We can’t find anything on the drawings and would appreciate some direction on this. With us doing the wall rough ins right now it would be a good time for this to be installed. Otherwise this temp system will prove to be much more difficult to install in the future.</t>
  </si>
  <si>
    <t>DS and DE box location and conduit requirements are located in the XE - Av sheets in the drawings.  Refer to theses sheets for locations and requirements. | see coment | Will you please review the XE and AV drawings and let me know if you can find any COMM lines that mention being used for the dedication. I checked and I couldn’t see them. 
Thanks,</t>
  </si>
  <si>
    <t>AD125, AE4508</t>
  </si>
  <si>
    <t>East Stair Tower Ceilings</t>
  </si>
  <si>
    <t>Per direction given on AD 125 the stair tower ceilings have been removed but the drawings haven't been updated to show the reinstall (unless I'm missing it).
1.      These ceilings have been removed to allow for the mechanical and structural upgrades above the ceiling. Please provide the ceiling height for reinstall and how it is to be constructed. Marked on attached drawings.
2.      Please adjust note 2.64 on sheet AE4508 to show the ceiling has been removed and will need to be reinstalled. Marked on attached drawings.</t>
  </si>
  <si>
    <t>Dave, this was already done in CCD 15 - (Gyp. plaster ceiling at historic) that was sent  back in February. Let me know if you can find it or have any additional questions. | Please see ASI #59 showing the added keynote on sheet AE4508. 
CCD 50 does supersede CCD 15. Ceilings at the 5th floor stairs shall be 8'-11" high.  | I see it now sorry about that. 
Will you please confirm that CCD #50 showing the ceiling height 8’-11” and ceiling type C2 supersedes CCD #15 showing the ceiling height 14’-5” and ceiling type C6.
If you would change note 2.64 on sheet AE4508 to read that the ceiling is going to be removed it would be appreciated.</t>
  </si>
  <si>
    <t>South wall shop 042</t>
  </si>
  <si>
    <t>Does the south wall of shop 042 fur out? there are several electrical devices between the upper and lower cabinets that would need to be fed horizontally across wall if surface mount. (please advise see attachment)</t>
  </si>
  <si>
    <t>Please refer to CCD 114- Wall furring change. |  | This item is asking about the wall finish along the south wall of the shop.  We have devices mounted above the counter in this area that will need to be surface mounted with surface mounted conduit if the wall is not to be fur out.  Please advise.</t>
  </si>
  <si>
    <t>Intercom Door 125A</t>
  </si>
  <si>
    <t xml:space="preserve">could we be provided with info. (shop drawings, cut sheets) for owner furnished intercom/camera at door 125A we will need backbox that will be mounted 48" to center per. reviewed precast penetrations. (please advise see attachment) </t>
  </si>
  <si>
    <t>See Jessica Blundell's comment below for a response to this RFI. |  |</t>
  </si>
  <si>
    <t>Trye Hatch</t>
  </si>
  <si>
    <t>ENVISION ENGINEERING</t>
  </si>
  <si>
    <t>P401</t>
  </si>
  <si>
    <t>Piping serving Laundry Steam Boiler</t>
  </si>
  <si>
    <t>Drawing P401, detail 5 indicates low pressure steam(LPS), condensate(D) and vacuum (V) to serve the Steam Boiler (SB-1) and the owner provided steam press and spotting board.  Specifications and/or piping schedule provided within the contract drawings do not appear to provide material type for the above listed piping systems.</t>
  </si>
  <si>
    <t>Please provide a specification and/or piping schedule indicating required material for the LPS, D and V piping systems.</t>
  </si>
  <si>
    <t>Provide the following materials for the piping connected to the laundry steam boiler:
    • Low-Pressure Steam - Schedule 40 black steel pipe
    • Condensate - Schedule 80 black steel pipe
    • Vacuum - 304 stainless steel tubes conforming to ASTM A312/A312M or ASTM A790/A790M and rated for 2000 PSI or greater. |</t>
  </si>
  <si>
    <t>East Site Lighting</t>
  </si>
  <si>
    <t>There are a group of bollard light at the east fountain/plaza that don't have a circuit or relay callout (see attachment please advise), as well as two that are adjacent to the East of the Historical Temple?</t>
  </si>
  <si>
    <t>The bollards referenced are circuited together to Panel H2L1-23 and Relay Panel LCPA1-5. |</t>
  </si>
  <si>
    <t>Monument elevations</t>
  </si>
  <si>
    <t>Provide monument sign elevations for  the column and wall section for the concrete footing, grade skirt,  of top of concrete</t>
  </si>
  <si>
    <t>See attached detail for updated dimensions. |  |</t>
  </si>
  <si>
    <t>Crawlspace Finishes</t>
  </si>
  <si>
    <t>Finish schedule does not included Historic crawlspace, brides corridor crawlspace, east tower crawlspace, west tower crawlspace. Is epoxy coated flooring or any other type of finishes required in these spaces? </t>
  </si>
  <si>
    <t>CCD 104 Door Hardware Revisions</t>
  </si>
  <si>
    <t xml:space="preserve">There are multiple Doors with electrified hardware IE. Surf. Auto Operator, Actuator wall mount, Electric Hinge, Panic W/ Alarm ETC. we need to be provided circuitry for the operators and Door specific Details for rough in.  We need Answers for the Annex Basement Doors ASAP Drywall is scheduled for early December (please advise)  </t>
  </si>
  <si>
    <t>I just got a peace hardware schedule from the Hardware supplier. Please review and let me need anything else. | I have reviewed this and found that it is missing sheet EP100B which would add power for the ADA operator for door 060B, it was originally a pneumatic operator with an air compressor in the baptistry crawl space which has been removed in this CCD on page 15 EP100A the architectural drawings show this door having an ADA operator. | See attached sheet EP100B with power changes for ADA door. | Per Trask - I have reviewed this and found that it is missing sheet EP100B which would add power for the ADA operator for door 060B, it was originally a pneumatic operator with an air compressor in the baptistry crawl space which has been removed in this CCD on page 15 EP100A the architectural drawings show this door having an ADA operator. | David, the submittal attached only has part and catalog numbers we will need actual shop drawings of each door and how they rough in</t>
  </si>
  <si>
    <t>confirming outlet deletion</t>
  </si>
  <si>
    <t xml:space="preserve">Confirming that as per OAC on 11/12/2020 we are directed to delete exterior GFCI outlet north of dock door (see attachment) </t>
  </si>
  <si>
    <t>Envision is OK with removing this outlet. |  |  | Please provide any further information given by Brian, so this item can be resolved.  | Yesterday 11/18 we were asked about relocating said outlet we gave some suggestions to Brian Chandler about where it could be relocated and are waiting further direction</t>
  </si>
  <si>
    <t>Planter footings</t>
  </si>
  <si>
    <t xml:space="preserve">Per page LL501 hardscape details.  
  Confirm the detail # 8 is suppose to be labeled as detail #7.  
  The same detail is lacking stabilizing connections and footings.  The concern is that the 4" curb wall will be unstable and unsecure.  
Possible solutions
 pour a footing for the 4" curb wall 
 Pour the 4" curb monolythicly
 In addition to pouring additional concrete is there a dowel needed to secure the curb to the sidewalk </t>
  </si>
  <si>
    <t>See attached sheet for revised detail 7 per field discussion. |</t>
  </si>
  <si>
    <t>EIFS Instead of Plaster on Annex</t>
  </si>
  <si>
    <t xml:space="preserve">Please confirm that we are to install an EIFS system instead of the Plaster systems on all of the clear story walls, the North upper entry and return walls.  EIFS submittals forthcoming. </t>
  </si>
  <si>
    <t>As was discussed on 11-16-2020 EIFS to be used in lieu of stucco plaster system.  this for the areas mentioned in the RFI.  Sub-Contractor to provide any cost savings or schedules benefits to general contractor.</t>
  </si>
  <si>
    <t>4th floor speaker wire path confirming RFI</t>
  </si>
  <si>
    <t>Per conversation and job walk-through with Brad Justensen with the church A/V department, it was decided to run the speaker wiring to the speakers in the lowered ceilings of the main room of the 4th floor.  4" square boxes are able to be roughed in the ceiling within 1' or less from the speakers, so minimal wiring would be visible.  This is a much shorter and more viable path, and it allows better mounting of the speakers' support brackets.   (See attached drawing) 
Please confirm that we are good to move ahead with the installation according to this method.</t>
  </si>
  <si>
    <t>Follow direction per Brad, verify that all conduit in ceiling is concealed with the exception of the cable from box to speaker.   |</t>
  </si>
  <si>
    <t>M101, M603, M502</t>
  </si>
  <si>
    <t>CD-7 Plenum</t>
  </si>
  <si>
    <t xml:space="preserve">Drawing M101, Foyer 103, waiting 105, 109, hall 106, chapel 110, and instruction 111 calls for installation of HVAC register CD-7 to include plenums.  Drawing M603 air device schedule for CD-7 refers to drawing M502, detail 4 indicating a plenum for CD-7 to be 20" tall plenum.  The approved manufacturer for the CD-7 register is Titus.  Titus only makes the plenum in 18" tall size.  </t>
  </si>
  <si>
    <t>Please confirm that the manufactured plenum size of 18" tall is acceptable.</t>
  </si>
  <si>
    <t>The 18" tall plenums from the manufacturer are acceptable for the diffusers serving Foyer [103], Waiting [105], and Hall [106]. The plenums for the supply diffusers serving Waiting [109], Chapel [110], and Instruction 1 [111] may also be 18" but will need to be customized for the 18/8 rectangular duct connections as shown on the drawings. |</t>
  </si>
  <si>
    <t>Hedge curb</t>
  </si>
  <si>
    <t>Per field discussion 11.18.20 please confirm the concrete curbs around the east plaza hedges are not needed and are to be removed.</t>
  </si>
  <si>
    <t>Correct, the curbs are no longer needed.  Take care during removal to avoid damage to the hedges or roots. |</t>
  </si>
  <si>
    <t>Removal of the two Mimosa tree's</t>
  </si>
  <si>
    <t>Please confirm, the two mimosa tree's in area A are to be removed only. The redbud trees will not be planted in their place anymore.</t>
  </si>
  <si>
    <t>This is correct. After reviewing the site with the Owner's Landscape Architect it was decided there is sufficient shade and would prefer to have the Mimosa trees removed and not replaced. The Redbud that is currently in the holding area may be used elsewhere on the site where Redbud's are being called for, such as the Visitor's Center, East Plaza, or Bride's Exit Plaza. The attached PDFs now include the removal of these trees from the planting plan. |</t>
  </si>
  <si>
    <t>AE 125</t>
  </si>
  <si>
    <t>Historic Spiral Stair-Ceiling Layout</t>
  </si>
  <si>
    <t>Drawing AE125, North and South spiral staircase, above ceiling layout includes lights and HVAC fan coils.  Dimensions for locations to install these are not provided.</t>
  </si>
  <si>
    <t>Please provide dimensions for layout of lights and HVAC equipment at these ceiling locations.</t>
  </si>
  <si>
    <t>Please refer to ASI #69. Thanks. |</t>
  </si>
  <si>
    <t>MP100</t>
  </si>
  <si>
    <t>Font Skid heating water supply and return piping</t>
  </si>
  <si>
    <t>Drawing MP100, font skid package, during the design changes moving the font skid from the Annex to the Historic and then back to the Annex Bldg, it appears that the heating water supply and return piping serving the font skid heat exchanger have been omitted.  See attached screen shot of the font equipment room for the approximate location of the 2" heating hot water taps that appear to have been omitted.</t>
  </si>
  <si>
    <t>Please confirm that it is acceptable to connect to the 6" main hot water piping with 2" supply and return to serve the font skid package heat exchanger.</t>
  </si>
  <si>
    <t>The proposed solution is acceptable. An alternative would be to connect the piping to the 3" heating water pipes that route directly above the font equipment and continue on to the historic temple crawlspace.  |</t>
  </si>
  <si>
    <t>Vanity light placement dimensions</t>
  </si>
  <si>
    <t>Please provide placement dimensions for vanity lights in the following rooms 016, 026, 027 and 048 we also need a outlet location in room 017 (see attachment)</t>
  </si>
  <si>
    <t>See ASI #70 for response. |</t>
  </si>
  <si>
    <t>P110B</t>
  </si>
  <si>
    <t>Dewatering sump-Vent</t>
  </si>
  <si>
    <t>Drawing P110B, Room 021, dewatering sump.  It appears there is a missing vent line that needs to serve this sump.  See attached.</t>
  </si>
  <si>
    <t>Is it acceptable to tie the sump vent into the existing 3" vent located in the adjacent mechanical room?  Note that both sumps located in room 020A have 2" vents serving them.</t>
  </si>
  <si>
    <t>The proposed vent line is acceptable as long as the routing avoids running above any electrical panels in East Mechanical [020A]. |</t>
  </si>
  <si>
    <t>CCD 104 Hardware Finishes</t>
  </si>
  <si>
    <t>Please confirm hardware finishes. Transmittal letter for custom hardware 087100-2 reference a two tone and different finishes per location. All Hardware in CCD 
104, with exception of the basement, call for the hardware to be a dark bronze.</t>
  </si>
  <si>
    <t>Door hardware finish locations were provided via a color coded floor plan, and sent to CRSA a few weeks ago. Locations were decided from a team meeting.  | Door Hardware Finish was added to the door schedules in CCD 101R.1 |  |</t>
  </si>
  <si>
    <t>Wall Vinyl 2 Manufacture TBD - CCD_40R1</t>
  </si>
  <si>
    <t xml:space="preserve">CCD_40R1 added a Wall Vinyl Type 2 without a manufacturer. Please provide manufacturer information for WV2 as soon as possible to mitigate lead time concerns. </t>
  </si>
  <si>
    <t>EC103</t>
  </si>
  <si>
    <t>3rd floor sealing room floor WAP relocate or eliminate.</t>
  </si>
  <si>
    <t>We have been informed by Scott Hardy and others that the ceiling mounted Wireless Access Point (WAP) shown (and already installed) in the 3rd floor sealing room 4, room 318 ceiling will not be desirable as it will be highly visible and obtrusive.  
Should we relocate it or simply eliminate it?</t>
  </si>
  <si>
    <t>It has been determined that the ceiling mount WAP in this room will be removed and replaced with a wall mounted device at outlet height.  Revised drawings will be issued as part of CCD-118 to reflect this change.</t>
  </si>
  <si>
    <t>Brass deco lighting overall heights</t>
  </si>
  <si>
    <t>What are the requested overall heights for all hanging ceiling fixtures? All type A Chandeliers, type G pendant, type I pendant. Gloria Hayley ID and team have an existing spreadsheet that needs to be filled out. Thank you!</t>
  </si>
  <si>
    <t>Leeann Latsch</t>
  </si>
  <si>
    <t>Remains Lighting</t>
  </si>
  <si>
    <t>Visitor Center sod irrigation</t>
  </si>
  <si>
    <t>Per CCD 088 on sheet LI 109 note stating to use the existing irrigation to remain to irrigate the sod areas in front of the VC and park strip.  Provide details for valves that control the irrigation for these sod areas.</t>
  </si>
  <si>
    <t>Please see our attached comments to this RFI |</t>
  </si>
  <si>
    <t>Ceilings in Spiral Stair Shafts</t>
  </si>
  <si>
    <t>The existing ceiling support structure in both the north and south side of the east tower and need to be removed and replaced to accommodate the HVAC and other BIM needs. With the preexisting supports in the way, and moving the piping and HVAC is not an option. With removing the preexisting ceiling structure and replacing it as we did for the floors, should help to improve the in integrity of the stairs. 
Please change Note C6 on sheet AE123 to indicate that the Ceiling is to be reframed and reinstalled.
For reference I have included a sheet showing how the ducts are going to be installed in the shafts.</t>
  </si>
  <si>
    <t>This was RFI was discussed with CRSA.  It was agreed that they would provide an answer to this RFI. | Ceilings and historic bracing at center chase in the stair towers can be removed and replaced under the existing floor joists to provide HVAC the required access to be accessible.</t>
  </si>
  <si>
    <t>HVAC Crawl Space at Spiral Stairs</t>
  </si>
  <si>
    <t>Please confirm the W14x30 below the conformation rooms running North/South can shift to the East as indicated in the attached. Also, that the W14x30 at the heading from the conformation room into the Spiral stair crawl space can be eliminated. Please provide a post install embed detail. </t>
  </si>
  <si>
    <t xml:space="preserve">Conformation </t>
  </si>
  <si>
    <t>This is acceptable.  Please ensure that the beam is moved so it is no further than 11'-0" from the furthest stone wall.  See attached sketch for connection plate information |</t>
  </si>
  <si>
    <t>Missing Ledger Embeds</t>
  </si>
  <si>
    <t>There are no embeds for the metal decking ledger angle in this location. The shop drawings from Glassey don’t show any. The two edited drawings with the red line are the locations of the needed embed and decking ledger. Will has asked if we can use a section of ledger angle with a ¾ titan anchor every 4 feet on center.  </t>
  </si>
  <si>
    <t>Attached the ledger angle to the wall using a 3/4" x 8-1/2" Simpson Titen HD screw anchor spaced at 18"o.c.</t>
  </si>
  <si>
    <t>Custom Hardware Adjustments</t>
  </si>
  <si>
    <t>We’re not able to relocate the lever to 3-1/2” above the bottom of the plate as the cylinder will come into contact with the bead detail. I’ve located the lever 3-1/4” from the bottom instead. If you need the 3-1/2” spacing, we can increase the overall height of the escutcheon to make room for the cylinder. Let me know which route you’d like to take. For reference we have attached some shop drawings showing how the hardware will appear. </t>
  </si>
  <si>
    <t>The 3-1/4" dimension is acceptable. This was also reviewed and approved in the shop drawings.  |</t>
  </si>
  <si>
    <t>CCD104 Door Actuator locations</t>
  </si>
  <si>
    <t>We need locations of door actuators for doors associated with CCD104 
Door# 003A, 006A, 019, 028, 028A, 033B and 125 (this may not be all of them) We also need circuiting information from Envision</t>
  </si>
  <si>
    <t>These changes were issued by Envision as part of CCD-095R.1.  CRSA should be sending those revised drawings to contractor. | See response sent by Jessica Blundell on 12-21-20 |</t>
  </si>
  <si>
    <t>Scott Hardy</t>
  </si>
  <si>
    <t>XE530</t>
  </si>
  <si>
    <t>T-stat and Clock Display Mounting Heights</t>
  </si>
  <si>
    <t xml:space="preserve">Please see the attached drawings/cutsheets for the T-stats and clock displays. XE530 calls for Clock Display to be mounted at 66" AFF on center and RFI 426 calls for the T-stats to be mounted at 60" AFF on center. The attached clock display detail is from Church AV and shows a slightly large clock display than on XE530. In order to provide spacing between the Clock Display and T-stat devices, please advise if it is acceptable to mount the clock display at 68" AFF on center. This would allow for a 2-11/16" gap between the two. Please advise. </t>
  </si>
  <si>
    <t>Envision is OK with the new mounting height. Verify with owner that this mounting height is acceptable. | These heights are acceptable. Please proceed. |  |</t>
  </si>
  <si>
    <t>AE4317, AE4202, AE4302, AE4402, and AE4502</t>
  </si>
  <si>
    <t>West Stair Tower RR and Lobby RCPs</t>
  </si>
  <si>
    <t>The RCP's for the west stair tower lobby's and restrooms on levels 1 through 5 appear to vary from floor to floor and some have conflicts in the layout.  Reference sheets AE4317, AE4202, AE4302, AE4402, and AE4502. Please clarify layout where clashes exist and advise if a standard layout is wanted from floor to floor. If so, please provide standard layout.</t>
  </si>
  <si>
    <t>See the attached for ASI #72 in response to ceiling clarification |  |</t>
  </si>
  <si>
    <t>Annex 1st Floor Missing Panel and Circuit Designation</t>
  </si>
  <si>
    <t>Please advise as to the circuit and panel(s) the clouded outlets are to be ran on the attached page.</t>
  </si>
  <si>
    <t>See attached EP101 sheet with missing circuit and relay information turned on. |</t>
  </si>
  <si>
    <t>M100B, M409</t>
  </si>
  <si>
    <t>CCD#098-Return Duct Risers</t>
  </si>
  <si>
    <t xml:space="preserve">Per CCD#098 direction, drawing M100B, along gridline HF at laundry 055 and 056, return duct riser is shown to be 60x20.  Drawing M409 indicates this same return duct riser as 60x24.  </t>
  </si>
  <si>
    <t>Please advise which size is correct for the return duct risers.</t>
  </si>
  <si>
    <t>60/24 is preferred but 60/20 is acceptable if needed to pass between the west stone wall and the east walls of the chases at the back of Instruction A-3 [210] on level 2. If a reduction in size is needed, maintain 60/24 to the floor of level 2 and then neck down to 60/20 to pass from level 2 to the ceiling of level 0.5. |</t>
  </si>
  <si>
    <t>CCD 095 Missing Wall Types</t>
  </si>
  <si>
    <t>Please provide the wall types and dimensions for the wall that where adjusted on Level 0.5 in CCD 095.
For reference I have attached a snip from the drawings indicating the walls in question.</t>
  </si>
  <si>
    <t>Please refer to CCD #100 for wall type and dimensions.</t>
  </si>
  <si>
    <t>Lighting control panels circuit relocation- Historic Temple</t>
  </si>
  <si>
    <t>Can some of the Lighting Control circuits in the Historic Temple be changed to originate from different Lighting Control Panels, and in some cases different Panelboards?  This would accomplish the following things:
1-  It almost always simplifies the conduit runs and creates fewer of them. 
2-  It simplifies troubleshooting down the road.
3-  Per Rusty Hughes with Lyle W. Williams, having a room, hall, or common area be fed from one Lighting Control Panel (LCP) makes it so "the system runs a little quicker (response time) and there are less chances for errors...the more we minimize having to switch over the network the better the system is."
4-  It simplifies programming of the LCP's, which is beneficial to both the programmer and the end user.</t>
  </si>
  <si>
    <t>Make the adjustments to the lighting control circuits  in the Historic Temple as noted in the attachments.  
The proposed changes as to which LCP certain circuits are fed from in the Historic temple will modify the circuit/solenoid counts in the LCP’s as follows:
LCP-T5 +2
LCP-L3 +3
LCP-T3 -4
LCP-T3B -2
LCP-T1 +1</t>
  </si>
  <si>
    <t>The lighting control changes have been addressed on the phone call on 12/2 and also in the issued drawings ASI-071. |</t>
  </si>
  <si>
    <t>AV room 202 emergency circuit changes</t>
  </si>
  <si>
    <t>Can we feed 3 circuits in AV room 202 from Panel L3E3 - 10, 12, 14 instead of LE - 13, 15, and L2E1 - 5?</t>
  </si>
  <si>
    <t>Feed these dedicated, emergency circuits from L3E3.  Originally L3E3 only provided 12 breaker spaces which would have been insufficient, however an SPD was specified for the panelboard which required that spaces be added.  L3E3 now provides at least 18 (and possibly 24+) breaker spaces.  The load incurred by adding these 3 circuits is negligible;  1 Amp or less per circuit.  
This will shorten conduit and wire runs significantly, and will keep the circuits fed from a nearby panel instead of multiple panels scattered throughout the temple addition, making maintenance and troubleshooting easier.
Please see attachment.</t>
  </si>
  <si>
    <t>Since panel L3E3 now has available space and as long as it will not overload the upstream panel, we see no issue with changing these circuits. |</t>
  </si>
  <si>
    <t>Monument sign lettering</t>
  </si>
  <si>
    <t>Please supply information for carved lettering</t>
  </si>
  <si>
    <t>See attached for updated detail on the sign lettering.  Additional information will need to come from the Owner. | See response from Greg B. | Generally this is something that needs to be requested from the Owner. |  |  | In the past I have had to go through the Architect in order to get the font type from the Church. Is that not the case on this one?</t>
  </si>
  <si>
    <t>EAST &amp; NORTH FOUNTAINS: PRODUCTION DWGS REVISED 01-DEC-20</t>
  </si>
  <si>
    <t>Please review the revised production drawings for the NORTH &amp; EAST Temple Fountains</t>
  </si>
  <si>
    <t>Mark,
Will you please submit this as a submittal. If you are not sure how to do it please reach out to me 801-372-1574 or Camron Walker 801.875.2600.
Thanks | Hi David:
As it turns out the zipped .DXF file is only 14 MB so you should receive this … I will call to confirm with you.  I will send the NORTH fountain files in a moment.
Thanks David,
Mark Gabriele
Artisan Granite, LLC
20 Azalea Court
East Greenwich, RI  02818
Phone/SMS: (401) 219-1521
Web Address:    www.artisangranite.com</t>
  </si>
  <si>
    <t>Similar to C1/AE527</t>
  </si>
  <si>
    <t>3RD FLOOR BASE FINISH</t>
  </si>
  <si>
    <t>On the 3rd floor in the instruction rooms and corridors, 3/4" plywood is currently installed at the bottom of walls as backing for the baseboards. Thickness of the drywall is 5/8". That leaves a 1/8" difference between the drywall and the plywood. If plywood is left as is, there will be a gap between the baseboard and the finished drywall.
Please advise how to proceed with install of 5/8" drywall.</t>
  </si>
  <si>
    <t>Plywood be installed within the cavity of the walls and sheet rock run down to the floor.</t>
  </si>
  <si>
    <t>Please install the 5/8” Drywall as shown in the project documents and float the 1/8” gap at the base board backing to the drywall. The backing was installed in a way that allows for it to be used as a guide for the wall plain.  | This is not what is shown in the project documents. The project documents show drywall running to the floor.</t>
  </si>
  <si>
    <t>M103, S104</t>
  </si>
  <si>
    <t>Equipment V-3-18 and V-3-19B duct design proposed change</t>
  </si>
  <si>
    <t>Drawing M103, ducts serving equipment V-3-18 and V-3-19B are shown routing up through the lattice trusses and some of the floor joist spaces just below level 4.  Drawing S104 indicates new W14 beams at the same location of the ductwork on either side of the lattice trusses.  Due to the size of these new steel beams it appears we cannot route some of the duct per plan.  U.S. Mechanical has split these ducts and changed routing as needed to get them up through the joist.</t>
  </si>
  <si>
    <t>See attached proposed duct split and routing drawings for review and approval.  Please confirm that this design intent is acceptable.</t>
  </si>
  <si>
    <t>The proposed ductwork routing adjustments are acceptable. |</t>
  </si>
  <si>
    <t>Stair-5 Handrail Molding Conflict</t>
  </si>
  <si>
    <t>Please advise if this cantilevered portion (attached) of the floor can be cantilevered Further to the North to allow for the handrail to land on a flat section of wall adjacent to the door trim. </t>
  </si>
  <si>
    <t>This is acceptable structurally.  Please coord also with architect. | See response from ARW. Cantilever floor and adjust railing out an additional 6" for railing to clear casework at opening. |</t>
  </si>
  <si>
    <t>220719</t>
  </si>
  <si>
    <t>Domestic Plumbing Piping Insulation</t>
  </si>
  <si>
    <t>Insulation specification 220719-16, paragraph 3.10, part A 1, 2 and B 1, 2, schedule indicates pipe insulation wall thickness for copper pipe conducting domestic hot and cold water to be 1 1/2".  CCD# 29R3 changed the domestic water piping to NUPI Niron product which carries a higher R value insulating property than copper.  Due to the higher R value and the challenges to penetrate historic walls and conforming to space constraints for all piping, we would like to propose using 1" wall thickness on larger diameter domestic water piping and 1/2" wall thickness on smaller diameter piping.</t>
  </si>
  <si>
    <t xml:space="preserve">Please review the NUPI Niron R value and provide an insulation schedule indicating what wall thickness will be allowed for domestic piping insulation. </t>
  </si>
  <si>
    <t>Please provide pipe insulation thicknesses as described in the project specifications. 
Per tables 6.8.3-1 and 6.8.3-2 in ASHRAE 90.1-2016, the insulation thicknesses for non-metallic pipe may only be reduced for pipes with walls thicker than schedule 80 pipe. The Nupi Niron piping being installed is thinner than schedule 80 pipe and therefore must conform to the prescribed insulation thicknesses indicated in these tables.   |</t>
  </si>
  <si>
    <t>M101, M502, AE582</t>
  </si>
  <si>
    <t>CD-7 Plenum allowed width</t>
  </si>
  <si>
    <t>Drawing M101, rooms 103, 105, 106, 109, 110 and 111, indicates installation of CD-7 plenums at the millwork.  Drawing M502, detail 4 indicates the plenum to be 5" in width.  See attached drawing for detail.  Architectural drawing AE582 does not give a required plenum dimension.  Following a discussion with the manfacturer, Titus only offers the plenum in a 5.75" wide dimension to accomadate the CD-7 linear diffuser registers.</t>
  </si>
  <si>
    <t>Please advise if the 5.75" dimension fr the plenum will be acceptable for installation within the millwork as shown.</t>
  </si>
  <si>
    <t>An additional 0.75" for the diffuser plenum would leave a material thickness of exactly 1" for the GFRG entablatures in the Annex. Coordinate the exact dimensions for the diffuser plenums with the fabricator for the GFRG entablatures in the Annex and verify that 1" will provide enough material to construct the entablatures. If additional material thickness is required for the GFRG entablatures then do at least one of the following:
	1) Pull the diffusers closer to the wall while still leaving room for light fixtures on top of the entablatures.
	2) Provide custom sheet metal plenums that will meet the 5" width shown in detail 4/M502. |</t>
  </si>
  <si>
    <t>CCD-044, sheets EL105A and EL105B.</t>
  </si>
  <si>
    <t>Light Fixture Type WS-X</t>
  </si>
  <si>
    <t>Sixteen type WS-X light fixtures were added in CCD-044. These were not added to the fixture schedule and being a "WS" (wall sconce) type light fixture I assumed these were provided by Remains. Who provides these, and what type of light is it?</t>
  </si>
  <si>
    <t>The (16) Fixture Type: WS-X, Wall Sconces are located in the Attic Space above the Priesthood Room Ceiling so they are not being manufactured by Remains, and they shall be sourced by the Electrical Contractor.
They shall be manufactured by, or equal to, a Leviton Manufacturing Co., Inc., Model No. 49875, Medium Base, Keyless Porcelain Lampholder.
The Lamping for these Fixtures shall consist of:
(1) Osram/Sylvania
LED17A21/DIM/O/930/UB
(78118)
17-Watt, 120-Volt, 3,000K, 92 CRI, 1,600-Lumen, 25,000-Hour A21 Frosted LED Bulb w/Medium (E26) Screw Base
The complete specification for these fixtures shall be added to the Lighting Fixture Schedule and will then be issued with the next CCD. |</t>
  </si>
  <si>
    <t>Planter next to visitors center glass windows</t>
  </si>
  <si>
    <t>On page LL108 it shows pavers next to the visitors center. CCD 088 now shows a planter with irrigation and plants. There is no detail called out for a footing for this planter. 
Is it just a rat slab or curb wall and does it need a footing?  Please provide direction.
Per CCD 088 page LL108 it shows paver detail M (LL514 detail #1) for the border and Paver detail N (LL514 #2) for the field.  Please confirm this is correct.</t>
  </si>
  <si>
    <t>That new planter will be an at-grade plant bed, no walls or curbs will be necessary.  Refer to detail 5/LL501 for the transition between the pavers and the plant bed. |</t>
  </si>
  <si>
    <t>Winding Stair Ceiling Light and HVAC Conflict - ASI 69</t>
  </si>
  <si>
    <t>The lighting layout will need to be reconfigured there are multiple  clashes with beams and mechanical access panels (See Attachment Please Advise)</t>
  </si>
  <si>
    <t>Multiple VC questions</t>
  </si>
  <si>
    <t>Per page LL203 in CCD 088 it shows a trash can by the sidewalk-paver corner. (PDF)
1.     Does this need concrete to sit on?
2.     Before a base is poured please confirm the desired location. Red, green, or yellow
Red clouded area where the trench drain connects to the underground shows the pavers look like they are changing. Is this the case and if so, provide a detail for the pavers?
Per page ES200 there is a Light bollard in the raised planter. (PDF)
1.     Confirm this is the correct location of the bollard is to remain in the raised planter and the direction of the mow curb. 
There is no direction on how to treat some of the lose ends at the visitors center. (Pictures)
1.     There is a bollard base next to the mechanical room door on the east side. Brian has expressed that it would be good to have light in that area. If this is to remain provide direction to connect it.  
2.     There is also an electrical outlet it is not called out to demo or reuse. Provide direction
3.     Is it the desire that the visitors center site lighting be on the same automated system as the temple? If so, provide direction to accomplish this.
4.     There are wires in conduit that have been disconnected from the site but are now exposed. Please provide direction.</t>
  </si>
  <si>
    <t>See attached for responses.  Electrical questions will be responded to separately by David Tibbitts. | Per page LL203 in CCD 088 it shows a trash can by the sidewalk-paver corner. (PDF)
1.     Does this need concrete to sit on? Greg Boudrero responded
2.     Before a base is poured please confirm the desired location. Red, green, or yellow Greg Boudrero responded
Red clouded area where the trench drain connects to the underground shows the pavers look like they are changing. Is this the case and if so, provide a detail for the pavers? Greg Boudrero responded
Per page ES200 there is a Light bollard in the raised planter. (PDF)
1.     Confirm this is the correct location of the bollard is to remain in the raised planter and the direction of the mow curb. The Bollard will be relocated as indicated by Greg Boudrero… this change will be issued as part of CCD 121
There is no direction on how to treat some of the loose ends at the visitors center. (Pictures)
1.     There is a bollard base next to the mechanical room door on the east side. Brian has expressed that it would be good to have light in that area. If this is to remain provide direction to connect it.  We do not know what the base was used for previously, but it isn’t a Bolted Bollard Base. We do not currently have a Bollard in this location, but we can add one there if the owner directs. If a Bollard is desired at this location please advise us ASAP so we can issue the change as part of CCD 121
2.     There is also an electrical outlet it is not called out to demo or reuse. Provide direction. Please provide additional information. We will need to know more information about the specific locations of these items and where they are currently fed from and other details.
3.     Is it the desire that the visitors center site lighting be on the same automated system as the temple? If so, provide direction to accomplish this.
Please provide additional information. We will need to know more information about the specific locations of these items and where they are currently fed from and other details.
4.     There are wires in conduit that have been disconnected from the site but are now exposed. Please provide direction.
Please provide additional information. We will need to know more information about the specific locations of these items and where they are currently fed from and other details.
We can do a phone call to discuss if needed. |  |</t>
  </si>
  <si>
    <t>Door operator Actuator elevations</t>
  </si>
  <si>
    <t>CCD104R1 is showing an elevation of 2'8" to center of door actuators this is much lower than they are usually installed. electrical drawings have a detail showing actuators up to 48" to center this is the typical elevation we see. (see attachments please advise)</t>
  </si>
  <si>
    <t>Install all door operator actuators buttons at 42" o.c. |</t>
  </si>
  <si>
    <t>MP100A</t>
  </si>
  <si>
    <t>Hydronic pipe at historic west stair tower wall</t>
  </si>
  <si>
    <t xml:space="preserve">Drawing MP100A, sheet note 1 at west tower mechanical room indicates 3" hot water heating supply and return piping risers up to the upper levels.  Note that this piping is to include 2" insulation which adds up to 7" in total diameter for each pipe.  The drawings indicate this piping being installed within a 6" stud wall.  </t>
  </si>
  <si>
    <t>Please see attached drawing and markup.  Please advise how to proceed with 7" pipe installation within a 6" wall.</t>
  </si>
  <si>
    <t>I discussed this item with Scott Gilberg and Jeff Adams at CRSA. The walls in question will increase from 6" studs to 8" studs to accommodate the 3" HWS/HWR pipes with insulation. The walls will be updated in a forthcoming CCD from CRSA. |</t>
  </si>
  <si>
    <t>200 east asphalt demo</t>
  </si>
  <si>
    <t>Per CCD 088R1 page C.5 shows asphalt to be cut and removed on 200 east. Is the extant of asphalt cutting and removal determined by the purple shaded area (solid red line) or is it to follow the cut line (dashed red line)?</t>
  </si>
  <si>
    <t>It is the cut line (dashed red line). See the attachment. |</t>
  </si>
  <si>
    <t>CCD-110, ES101</t>
  </si>
  <si>
    <t>Site Security Camera Cable Lengths</t>
  </si>
  <si>
    <t>See attached, revised security camera drawing (CCD-111). 
Could we run cameras #8, 11, and 12 to the visitor's center to keep within 300'?
Camera runs for #9 and 10 are longer than 300'. Please advise.</t>
  </si>
  <si>
    <t>The church security/IT has confirmed that it is acceptable to feed these 3 cameras from the visitor center. | Any cable lengths over 300' shall be fiber and have a fiber box on the pole, per detail 2/EC503. |  | Camera runs #9 and #10 (east side) are longer than 300'. Please advise.</t>
  </si>
  <si>
    <t>GA005</t>
  </si>
  <si>
    <t>Wall Type 95 Unclouded Change in CCD_100</t>
  </si>
  <si>
    <t>Wall Type 95 changed in CCD_100, but the changes weren't clouded.  Please verify that these changes were intentional.</t>
  </si>
  <si>
    <t>If changes weren't intentional please update the sheet.</t>
  </si>
  <si>
    <t>This wall type 95 change actually happened in CCD 106 which was submitted before CCD 100 and was still missing the revision cloud. Please include the change to the wall type as part of either CCD 100 or 106 whichever works.</t>
  </si>
  <si>
    <t>Courtyard Screen wall</t>
  </si>
  <si>
    <t>The existing screen wall is an EIFS assembly with 2" of foam on one side and 1" on the other. 
Do we want to add the foam to the new screen wall to match existing?</t>
  </si>
  <si>
    <t>Yes, match existing. |</t>
  </si>
  <si>
    <t>AE101A, M100B</t>
  </si>
  <si>
    <t>Duct Chase clearances at West Stair Tower</t>
  </si>
  <si>
    <t>Drawing AE101A indicates duct chase cavities located at grid H4 and H2 near HF.  See attached drawing for clarification.  These cavities are not shown/drawn the same size within the BIM model.  Currently there exists a 6" difference in dimension.  The south chase duct is clashing with the stud wall approximately 3.5".</t>
  </si>
  <si>
    <t>Please adjust the wall duct chase cavity on the south to match the north chase and avoid the duct clash.</t>
  </si>
  <si>
    <t>RFI 847 was reviewed with Jeff Adams at CRSA. Please adjust the highlighted walls shown in the attached pdf "20201216 SGT_RFI-847_VBFA" as needed to eliminate clashes between walls and ductwork and provide uniform sized chases at levels 0.5 and 1 in the west stair tower. |</t>
  </si>
  <si>
    <t>Thickened Edge - CCD 088r2</t>
  </si>
  <si>
    <t>After review of CCD 088R2, detail 8/LL501 has been added. This detail is not shown on any plans in CCD 088R2, but on CCD 88 it’s called out on plan LL102 (see attachment). The typical overall dimension for the paving band in that area is 1’-4”. It includes (2) 0’-4” &amp; (1) 0’-8” nominal pavers and the new detail 8/LL501 is 1’-6” overall with (4) 0’-4” nominal pavers. It is not clear what the intent is on LL102. Does the band widen from 1’-4” to 1’-6” from the top of the plan down 12’-2”? Please clarify.</t>
  </si>
  <si>
    <t>See attached response and updated sheet. |</t>
  </si>
  <si>
    <t>AE4009</t>
  </si>
  <si>
    <t>Urinal installation heights</t>
  </si>
  <si>
    <t xml:space="preserve">Drawing AE4009, detail A5 shows a common wall for men's restroom 027.  Both urinals shown are detailed to be installed at 1'5" to max to rim.  </t>
  </si>
  <si>
    <t>Common industry practice at walls with multiple urinals typically places heights at different levels to accommodate children or smaller persons of stature.  See attached for reference.  Please confirm all urinals throughout the project are to be located at 1'5" max to rim height and that no variances to this height are required/desired.</t>
  </si>
  <si>
    <t>Please refer to architect regarding urinal mounting heights. |  | Please advise as to the desired mounting height for the Urinals'.</t>
  </si>
  <si>
    <t>CCD 088 Trench Drain Questions LL 101 and C.8</t>
  </si>
  <si>
    <t>From CCD 088-Plan sheet C.8 shows 3 trench drains in the north courtyard area.  Note 99 on Sheet C.8 says new 4" wide slot drain connected to yard drain.  On sheet LL 101, note S calls out a trench drain with an 8" x 18" Double Wave trench cover.  Which size is correct for the trench drain, 4"or 8"?  Also, the double wave trench cover from Urban Accessories has several different finishes which vary in price.  Attached are the spec sheets for the double wave trench cover and the area drain covers.  Which finish should this material have?  Please provide further information so I can complete pricing for CCD 088.</t>
  </si>
  <si>
    <t>Provide an 8" drain per sheet LL101.  Finish for trench drain and square area drain covers to be 'Rust Conditioner'.  | See Greg's comment and use the 8" trench drain. |</t>
  </si>
  <si>
    <t>Plinth Material Throughout Temple</t>
  </si>
  <si>
    <t>Looking through bid documents, we've noticed the plinth details for this project are all for wood plinths. Can you please clarify if stone plinths are needed in this project? If so, please provide specific locations, stone material, and a detail with the elevation and section profile of these plinths, so we can proceed to quote them with our stone fabricators. Thank you for your help.</t>
  </si>
  <si>
    <t>all plinths to be wood. |</t>
  </si>
  <si>
    <t>Connor Cooper</t>
  </si>
  <si>
    <t>Doors and Jambs at rm. 218 and rm.  408</t>
  </si>
  <si>
    <t>Should door jamb 218A, 222A and celestial room side only door 222A have the inner small panel molding? Currently the jambs do not call for the inner molding, door 218A call for inner molding one side and door 222A have inner small molding both sides.
Current historical doors have inner molding on doors and jambs. 
Doors 408A, 408B call for type 9 door inner molding both side. Door jamb 408A, 408B have no inner molding. Should door 408A, 408B, have inner molding one side and door jambs 408A, 408B and inner moldings on the jamb.?</t>
  </si>
  <si>
    <t>What is stated is correct, inner molding on Doors and Jambs in the Celestial Room and Level 4 Assembly Room. 
Door 218 - Inner Molding only on East Side of Door (Celestial Room side)
Door 218A - Inner Molding on Jamb
Door 222A - Inner Molding on Jamb and South Side of Doors (Celestial Room side)
Door 408 A &amp; B - Inner Molding on Jamb and East Side of Door (Assembly Room Side) |</t>
  </si>
  <si>
    <t>ASI-042 M100A</t>
  </si>
  <si>
    <t>ASI-042 missing scope items</t>
  </si>
  <si>
    <t>ASI-042, drawing M100A appears to have added some fire smoke dampers at the exhaust ducts located along gridline HE.</t>
  </si>
  <si>
    <t>Please clarify if these dampers have been added and provide cloud at the added scope as needed.</t>
  </si>
  <si>
    <t>CCD 088 Landscape Revision</t>
  </si>
  <si>
    <t>Is there a detail showing concrete with a paver boarder as called out on LL101</t>
  </si>
  <si>
    <t>See attached for updated detail 5/LL501 for 8" paver band. |</t>
  </si>
  <si>
    <t>Melissa Carlisle</t>
  </si>
  <si>
    <t>Innovative Concrete, LLC</t>
  </si>
  <si>
    <t>Irrigation &amp; Planting Clarifications on CCD88 for Parkstrip</t>
  </si>
  <si>
    <t xml:space="preserve">Perry Bratt with Stratton and Bratt made a trip to St. George over the weekend to look at the possibilities of hand digging the irrigation trenches along 300 East in the park strip without damaging the tree roots. Neither he nor I can see any way to effectively do this work by any means other than a vacuum truck. Mechanical or hand digging may be too damaging to the roots. Our challenge presently is that we have not found anyone who will give us a quote for the use of a vacuum truck/trailer. We are still looking. Are we thinking right or should we plan on digging as carefully as is reasonable by hand, knowing that we will do some damage?  Please advise on the method you recommend to dig the irrigation lines in this area.
We also need to know if you want us to price out what we think will be needed since there is not an irrigation drawing for this work? We are also assuming that we can tie into the existing irrigation lines that go to this area and not have to run new sleeving/pipe to get to the area?  We may need new sleeving so the lines are adequate for sod.  Sheet LI 109 has a note to protect existing irrigation but the existing irrigation is drip and will not water the sod correctly as the sod is shown on Sheet LP101A.  Please advise us as to what direction to take with the type of irrigation for this area, type of planting (sod as shown in CCD88 or plants as shown before), and if sod and spray heads are required then please advise on the method of trenching around the tree roots for this area as it is more densely populated with roots than other areas.  </t>
  </si>
  <si>
    <t>See attached response |  | This would be better answered by our landscape architect team.</t>
  </si>
  <si>
    <t>Lights at Stair 7 and 8</t>
  </si>
  <si>
    <t>The lights at stair 7 and 8 are not consistently placed could we be provided with placement and elevations? Also there is not a circuit or relay designation could we be provided with this? (see attachment)</t>
  </si>
  <si>
    <t>The locations and elevations will need to be coordinated with Gloria Kummer. The circuit relays for Stair 7-5 are L3P3B-33, LCP-L3-5. For Stair 8-1 they are L3P3B-35, LCP-L3-6.  |  | As requested by Breawna please review the the locations and provide feed back if necessary.</t>
  </si>
  <si>
    <t>Wood base at stairs</t>
  </si>
  <si>
    <t>Detail C1, E1/AE511 calls for wood base detail at the stair skirts and landings. Stair #5 finish schedule does not clarify what the trim is at the skirt board , stair landings of floor, or floor level .05. Stair 1, 3, and 4 clarify what the base is at the lowest level but does not clarify the wood base on the stair itself .  Please clarify the wood base at all stairs, floors at each level, landings, and skirt board exterior walls.</t>
  </si>
  <si>
    <t>Wood base should be the same for entire stair floors, skirt board and landings. This allows all the trim to tie together</t>
  </si>
  <si>
    <t>Wood Base, skirt boards and landings shall all match and be the same base type. The stairs are indicated once at the basement level Finish schedule (AE660). It is intended to continue to all levels. Stair 5 base is labeled 068-Stairwell on the finish schedule. This stair is also to be continuous through each level.
The East Spiral Stairs 7 and 8 baseboards and skirting material are still waiting to be determined. |</t>
  </si>
  <si>
    <t>Layout for Vanity and Lighting Typ - Historic</t>
  </si>
  <si>
    <t xml:space="preserve">Please provide layout dimensions for vanity sinks and vanity lighting typical at Historic Building restrooms. Priority is level 5 and 3 then the remaining. </t>
  </si>
  <si>
    <t>Lav and Soap Dispenser power</t>
  </si>
  <si>
    <t>The Drawings are showing a J box under counters for powered Lav's and Soap Dispensers US. Mechanical supplied Lavs and Soap Dispensers require 1 GFI outlet under counter for each combination (1 Lav 1 Soap Dispenser) This is  typ. at all powered Lav's and Soap Dispenser locations. (see attached example)</t>
  </si>
  <si>
    <t>Provide duplex GFCI outlet at each lav/soap dispenser location.  Verify power requirements of devices being provided will not overload current circuiting.  If additional circuits are required notify engineer. |</t>
  </si>
  <si>
    <t>EF 1-07 power source</t>
  </si>
  <si>
    <t>Can we relocate the power source for EF 1-07  from H2M0 to H1M0B which is closer  they are both located in the annex basement? (please advise)</t>
  </si>
  <si>
    <t>We see no issue with shifting the circuit to this panel.  |</t>
  </si>
  <si>
    <t>Site Details-Curbs</t>
  </si>
  <si>
    <t>The site curb details shown LL501 (detail 7) and C.13 (detail F) may need additional reinforcement. See attached drawings for purposed reinforcement. These curbs may crack and move during backfill and compaction if they are not placed on a footing with additional reinforcement.
If accepted this change will come with an additional charge. Please advise</t>
  </si>
  <si>
    <t>My response would be to leave it as it is detailed in the plans. We haven't had any issues with this in the past. Unless this situation is unique and the contractor can provide a convincing argument on why it might crack during backfill and compaction our recommendation would be to leave it as detailed.
I talked with the landscape architects about their detail on sheet LL501 (Detail 7), and they said that their detail has been updated. Make sure you are referencing the current sheets. I have attached a screenshot of their updated detail. | I am not sure what CCD has that change in it. Greg Boudrero could answer that for us. 
In regards to detail F on sheet C.13, my response would be to leave it as detailed. We haven't had any problems with that cracking or moving during construction. If the contractor is experiencing problems with cracking or movement then explain and we can further evaluate. I haven't experienced any problems with the way it is detailed out. |  | Thank you for bringing the new detail to our attention. What CCD (or other) was revision delta 18 associated with?  This is a solution, however it will have more of a cost impact than what we purposed.  The extra form work and with a floating edge form it may not finish out as clean or straight as well.  What about detail F on C.13?  This may have the same issue as noted before.</t>
  </si>
  <si>
    <t>Stormy Carlisle</t>
  </si>
  <si>
    <t>220000, 230000</t>
  </si>
  <si>
    <t>ASI#72, M101A, M102, M103, M104, M105</t>
  </si>
  <si>
    <t>West Stair Tower-Janitor Storage Ceiling</t>
  </si>
  <si>
    <t xml:space="preserve">Following ASI# 72 review, it appears there exists conflicts with the current ceiling layout and required access for all plumbing and mechanical systems.  Reflected ceiling drawings only show a single access door in these rooms.  Due to the amount of access required to plumbing and mechanical systems, 2 or 3 doors will be required for service at each room along with relocating a few exhaust grilles.  </t>
  </si>
  <si>
    <t>Recommend changing the ceiling type in these janitor areas to lay in tile or eliminating the celings in their entirety to allow for sufficient access to the plumbing and mechanical systems.  See attached for clarification.</t>
  </si>
  <si>
    <t>i take no exception to providing lay-in ceilings in janitor closet locations.  the elec sub may want to propose a new light fixture (recessed) to be installed at these locations if this change is made.  we will review proposed fixture once recieved. | Please reference Jason's email 01.04.2021 sent to Kyle.</t>
  </si>
  <si>
    <t>East Tower floor boxes</t>
  </si>
  <si>
    <t>There are floor boxes in rooms 317,319,517 and 519 that have historic plaster below preventing us from installing. Could we have an exception and install wall boxes in these locations? (see attachments)</t>
  </si>
  <si>
    <t>These devices were already changed to wall mounted devices as part of RFI-787. | Yes, These outlets can be wall mounted as indicated By Envision in RFI #787. See current conformed Drawings EP103 and EP105. |  | Envision approved RFI 787 but CRSA did not</t>
  </si>
  <si>
    <t>TLC LED tape light at Monument Sign</t>
  </si>
  <si>
    <t>TLC LED tape light requires a remote mounted Driver. Could we be provided with the location for these drivers at both monument signs? (see attachments)</t>
  </si>
  <si>
    <t>Attached are (2) Drawings indicating Envision's proposed locations.  We verified with the Landscape Architect that these locations will work with the planting plan; however, we recommend that they also be verified with CRSA. |</t>
  </si>
  <si>
    <t>West Stair Tower Embed Locations</t>
  </si>
  <si>
    <t>There are 4 locations where the beams for the stair landings are into windows. I have attached a few screenshots to show the issue but if you are needing more let me know.  For reference we have attached some elevations taken from the BIM model.
Please advise</t>
  </si>
  <si>
    <t>Please see attached sketches for proposed solution to the embed/window interference.   |</t>
  </si>
  <si>
    <t>ES200, ES501 detail #11, LP107A</t>
  </si>
  <si>
    <t>Palm tree lighting detail</t>
  </si>
  <si>
    <t>Related Scope:  Landscape / Electrical
Related Documents:  ES200, ES501 detail #11, LP107A
Description: Per ES501 detail #11 shows the lights for the palm trees. In that detail #11 is shows concrete encasing the light and connected to sidewalk or other concrete. Please confirm or adjust this detail as needed to provide the direction that is intended.</t>
  </si>
  <si>
    <t>Detail 1/ES501 is intended to show both In-Grade and In-Concrete installations.  For In-Grade installations use the Left Side of the detail, and for In-Concrete installations use the Right Side of the detail.
Further, please read and follow the Manufacturer's Installation Instructions (provided with each fixture) when installing the fixtures. |  |</t>
  </si>
  <si>
    <t>David Tibbitts</t>
  </si>
  <si>
    <t>ES200, LL100, LP107A</t>
  </si>
  <si>
    <t>East plaza bollard and pot location</t>
  </si>
  <si>
    <t>Related Scope:  Landscape / Electrical
Related Documents:  ES200, LL100, LP107A
Related Spec: 
Description: Per LP107B the understory planting plan it shows the pot and it has understory plants where a light bollard is shown on ES200. Is it the intent for the light bollard to stay in the location shown on ES200 or does the pot and bollard need to be adjusted to be more symmetrical?</t>
  </si>
  <si>
    <t>See attached response |</t>
  </si>
  <si>
    <t>Stair 5 Underlayment</t>
  </si>
  <si>
    <t>As we are laying in the stairs for the historic Temple, I wanted to clarify the final dimensions for the wood, etc. for planning purposes. The annex went with ¾” wood directly attached to the concrete pans. The details for the wood treads show 1.25” treads on what appears to be at least 1 layer of plywood – but I can’t seem to find any specifics. It is our understanding that the wood flooring is to be glued directly to the concrete.  Please advise.
For reference I have included some drawings showing the ¾” underlayment as well as an illustration provide by Glassey.</t>
  </si>
  <si>
    <t>Revise drawings to show the plywood underlayment removed.</t>
  </si>
  <si>
    <t>1-1/4" Wood thickness is obsolete. 
3/4" Wood flooring is to be applied directly to the concrete stairs. The wood flooring at the second level landing and in vestibule 222 that ties into the adjacent lobby 218 and instruction room 211 shall be installed over the new subfloor. This is to create an even transition from new wood to carpeted areas.</t>
  </si>
  <si>
    <t>Baptistry Font Tunnel Location</t>
  </si>
  <si>
    <t>Please provide dimensions from gridlines to walls supporting the font tunnel as shown on the attached sheet S100A. </t>
  </si>
  <si>
    <t>EL102B, AE4211</t>
  </si>
  <si>
    <t>Sealing Rm 3 Wall Sconce Dimensions</t>
  </si>
  <si>
    <t>1- Can we get dimensions for wall sconces in Sealing Rm 3  (Room 219).
2- Also, (2) wall sconces are shown on the west wall on EL102B, but they are not shown on the elevation B5 on page AE4211.  Are they to be installed?  If so we need those dimensions as well.</t>
  </si>
  <si>
    <t>See attachments for further clarification.</t>
  </si>
  <si>
    <t>The Decorative Fixtures, like Fixture Type: WS-4, are Specified by the Interior Designers, so Envision Engineering Does Not have the Dimensional Information requested.
Further, Sheet AE4211 was created by the Architect, so Envision Engineering cannot address the Information Provided, or Not Provided on the Drawing. |  | Envision has responded in the comments.  CRSA to review and Envision will coordinate as required. | CRSA needs to look at this</t>
  </si>
  <si>
    <t>ES202</t>
  </si>
  <si>
    <t>Pole Light EP12B Heads</t>
  </si>
  <si>
    <t>Pole lights EP12B have three (3) floodlights of types EFG &amp; EFH - 2 of one and 1 of the other. Is it (2) EFG and (1) EFH? Or (1) EFG and (2) EFH?
For reference we have attached sheet ES202 with the lights in question highlighted.</t>
  </si>
  <si>
    <t>See Comment and Attachment for Clarification |</t>
  </si>
  <si>
    <t>Loading Dock Concrete Replacement</t>
  </si>
  <si>
    <t>See the attached pdf which discusses various sections of concrete that will/could be replaced around the loading dock.</t>
  </si>
  <si>
    <t>EL101F</t>
  </si>
  <si>
    <t>Lighting on wall next to dumpster enclosures</t>
  </si>
  <si>
    <t>The existing lighting on the existing north wall of the cooling tower enclosure, and west of the dumpsters was installed for two light fixtures.  The existing, recessed J-boxes and conduit are intact and usable.  The new plan (EL101F) shows only one fixture.  We would have to basically demo the wall and re-configure the conduit and boxes to work with one light fixture.  Should we install two lights on the existing boxes, or open the wall up and re-work the conduit for only one light fixture?
Please see the attached drawing for clarification.</t>
  </si>
  <si>
    <t>Use existing boxes and wiring and install 2 light fixtures instead of 1</t>
  </si>
  <si>
    <t>We agree with and endorse Westland's recommendation. |</t>
  </si>
  <si>
    <t>Porthole Window GFRC Trim</t>
  </si>
  <si>
    <t>We field verified the porthole window openings and found some discrepancies. Please review options A &amp; B in the attachment and confirm the direction that we should follow. </t>
  </si>
  <si>
    <t>CRSA prefers the modification of shape to work with the existing openings.  this is the second option available in the attachment.</t>
  </si>
  <si>
    <t>Dustin Williams</t>
  </si>
  <si>
    <t>Filtrine Drinking Fountain DF-1 Access Panels</t>
  </si>
  <si>
    <t xml:space="preserve">Following onsite review with Westland and TFM of drinking fountain DF-1 Filtrine Model access, TFM has requested optional access doors to be provided to install an isolation valve at fixture and maintenance access for P-traps behind marble enclosures typical at all DF-1 drinking fountains.   </t>
  </si>
  <si>
    <t>U.S. Mechanical has receieved preliminary pricing for the additional access doors being requested.  See attached ROM and provide direction as to whether this issue should be pursued via COR/CCD.</t>
  </si>
  <si>
    <t>Justin, 
Will you please provide a drawing of the access cover to insure it conforms to the project design. | Please see the attached document titled “Optional Access Panel Filtrene” for the look and location of the Optional Access Panel. For reference I have gone through and highlighted the access panels.</t>
  </si>
  <si>
    <t>AE121, M101</t>
  </si>
  <si>
    <t>Security Room 123 HVAC grille type</t>
  </si>
  <si>
    <t xml:space="preserve">Drawing AE121, Security Room 123 indicates a lay in tile ceiling.  Drawing M101 indicates equipment FC-1-06, supply and return grilles with no call out for types or ductwork shown.  </t>
  </si>
  <si>
    <t>Please provide a grille selection and ductwork sizing for this space.  See attached drawings for clarification.</t>
  </si>
  <si>
    <t>Cable tray thru opening 002</t>
  </si>
  <si>
    <t>With opening 002 being replaced with a door we suggest rerouting cable tray on south side of wall and nippling  thru to TR2 (See Attachment)</t>
  </si>
  <si>
    <t>Confirmed.  Detail 10/S201 will apply for this application. |</t>
  </si>
  <si>
    <t>S231</t>
  </si>
  <si>
    <t>Embed Location Fix</t>
  </si>
  <si>
    <t>There are a couple embeds in the wrong location. This occurs at grid H1/HC as well as H1/HE Level 0.5.
We are looking for a typical fix. Installing a similar size plate using 6 titan bolts or 6 epoxy anchors post installation to the jacket wall. </t>
  </si>
  <si>
    <t>Use installation methods as shown in the attached drawings.</t>
  </si>
  <si>
    <t>Use an embed plate similar to that shown in detail 13/S231. |</t>
  </si>
  <si>
    <t>Mechanical Enclosure Plaster</t>
  </si>
  <si>
    <t>In the mechanical enclosure there is a wall as shown on the attached drawing and photo that currently does not show any finishes installed on the wall. Do you want us to leave it unfinished or do you want us to finish it to match the adjacent walls?</t>
  </si>
  <si>
    <t>Finish to match adjacent walls. |</t>
  </si>
  <si>
    <t>Finish for Stone Base, Partitions, Drinking Fountains, Pews</t>
  </si>
  <si>
    <t>The following stone materials and finishes were clarified in a meeting between Gloria (GHID), David Adams (Westland), Jose Duron (GST), Connor Cooper (GST) and Alejandro Vasquez (GST) on 01/13/2021. Please confirm the following direction given in the meeting:
BS1 Thassos White Marble stone base will have a polished finish.
Countertop for Room 148a Closet in Ariston White Marble will have a polished finish.
Thassos White Marble and LVR Sandstone thresholds will have a polished finish.
Toilet Partitions will be Ariston White Marble and will have a polished finish.
Pew Base will be Ariston White Marble and will have a polished finish.
WST1 Ariston White Marble drinking fountains will have a polished finish.
Thank you,
Global Stone and Tile</t>
  </si>
  <si>
    <t>This information is correct. However for the LVR we discussed getting a sample in honed and polished with enhanced sealers added. This is because they had already started production on the floor in honed. They were also going to layout the LVR floor tile with enhanced sealers and take a photo. This is because we never got the chance to review the slabs in digital form to mark the areas we rejected so we want to see what it looks like for color purposes, as well as with the sealer. If a trip is required we can look at it in person, but let's start with photos and the physical samples.  |</t>
  </si>
  <si>
    <t>Interior Font Tile Finishes</t>
  </si>
  <si>
    <t>In a meeting between Gloria (GHID), David Adams (Westland), Jose Duron (GST), Connor Cooper (GST) and Alejandro Vasquez (GST) on 01/13/2021. Please confirm the Interior Font Finishes were discussed and approved as followed:
WT2 Font Wall Tile pattern designed in CCD 040R3 will not work with the radiused walls (because of 2x4 tile and 2x2 triangles). Instead, we proposed the pattern to be all made up of 1x1 tile in the different colors. Attached is how the pattern will look with all 1x1 tile (note that Daltile has already confirmed they can produce this pattern). Gloria approved this revised pattern.
Font stair nosing piece in Finish Schedule is called out as A4200 Radius Bullnose. Daltile has called out this piece to actually be S-812 Universal Trim 1x1. Even though Daltile has confirmed this piece is available in D169 Waterfall (blue) color, Gloria's preference is that the nosing piece will be D335 Almond. The following 4 rows of 1x1 tile after the nosing piece will be D169 Waterfall (blue) as shown in the attachment and as approved by Gloria
Please confirm.
Thank you,
Global Stone and Tile</t>
  </si>
  <si>
    <t>This layout to adjust the tile size to fit the radius of font is approved. Thanks for figuring it out! |</t>
  </si>
  <si>
    <t>Stone Toilet Partitions - Design and Structural Support</t>
  </si>
  <si>
    <t>Marble Thickness: Contract drawings show the toilet partition stone to be 3/4" thick. We believe this is too fragile for the application. We priced and recommend using 1-1/4" (3cm) stone. Please confirm this is acceptable.
Structural Support: The hardware design for WST1 Ariston White Marble toilet partitions shown in contract drawings does not provide enough detail for us to feel confident that they can support marble slabs (see attachment). Please provide additional details on how these are intended to be supported. Details coming directly from the hardware supplier will be preferred.
Hardware Supplier: Please provide the approved manufacturer/supplier for toilet partition hardware that will be used in this Project (We only provide the stone panels - per project specifications. Wood doors and partition hardware is provided by others).</t>
  </si>
  <si>
    <t>LL108</t>
  </si>
  <si>
    <t>Fiber box Sidewalk Conflict East of Visitor Center</t>
  </si>
  <si>
    <t>The existing fiber connection and electrical boxes for the visitor center are located where sidewalk is shown (see attached pdf). We will need to reroute the sidewalk in some way to avoid them. We propose a possible radius something like what is in green on this corner. Please advise.</t>
  </si>
  <si>
    <t>See attached for updated plans showing a shift to the location of the walkway.</t>
  </si>
  <si>
    <t>Russ Hanson</t>
  </si>
  <si>
    <t>FT1 and FT2 - Floor Pattern Layouts and Color Schemes</t>
  </si>
  <si>
    <t>In a meeting on 01/13/2021 between Gloria (GHID), David (Westland), Jose (GST), Alejandro (GST) and Connor (GST), we discussed our proposed floor pattern layouts for FT1 and FT2 Victorian Topcer designs. The following items were part of our discussion:
GST laid out floors using full border pieces. Per Gloria's instructions, we need to modify the layouts to show an average of 5-6 filler pieces on the edges of the rooms, while still mantaining full triangles in the border tile (even if we have to cut the border tile and add a grout joint). We have attached updated floor layouts for all bathrooms with FT1 and FT2 floors. Please confirm these updated layouts are acceptable.
Gloria mentioned there will be a change in color schemes for the FT1 and FT2 floors, from what is currently shown in CCD 040R3. We urgently need a directive of what the new colors will be for these Topcer floors so we can order this material (12 week lead time).
Thank you,
Global Stone and Tile</t>
  </si>
  <si>
    <t>TW2/TW3 - Color Changes</t>
  </si>
  <si>
    <t>In a meeting on 01/13/2021 between Gloria (GHID), David (Westland), Jose (GST), Alejandro (GST) and Connor (GST), Gloria mentioned the TW2/TW3 wall trim tile (attached pictures) will change to only include the green scheme tile (TW3) while removing the blue scheme tile entirely (TW2). This is different than what is currently shown in CCD 040R3. We need a directive urgently to confirm this change so we can continue the procurement process for these materials (12 week lead time).
Thank you,
Global Stone and Tile</t>
  </si>
  <si>
    <t>photos are notated to clarify the green tile is to be used.  |</t>
  </si>
  <si>
    <t>Confirm outlet dimensions 3rd &amp; 5th floor East vestibules</t>
  </si>
  <si>
    <t>As per RFI's 787 and 863 we are putting the outlets and data ports into the walls in the 3rd and 5th floor East vestibules (instead of floor boxes).  Please confirm that the dimensions are correct as shown in the attachments.  Boxes will be mounted at the standard height of 18" AFF to center.</t>
  </si>
  <si>
    <t>Gate Control j box</t>
  </si>
  <si>
    <t>Gate control j box is shown on unsecure side of fence could we be provided with a location? (see attachment)</t>
  </si>
  <si>
    <t>Locate inside landscapers shed</t>
  </si>
  <si>
    <t>Envision is fine with locating the junction box for gate controls in the landscapers shed.  As long as this will meet all MFG requirements for distances, etc. |</t>
  </si>
  <si>
    <t>Clear story EIFS</t>
  </si>
  <si>
    <t>The center tower on the north end of the annex is off center. Also the wing walls on the annex clear story are not flush with the precast panels. 
Jay has suggested that we fix both situations by adding additional foam with the EIFS system. 
Jay and I have already had a meeting with the architect and all agree this is the best solution.
Will you please confirm these changes?
Thank you.</t>
  </si>
  <si>
    <t>Scaffolding on Brides Hallway Weight Limit</t>
  </si>
  <si>
    <t>Please see the attached scaffolding plan.  Please verify that the weights shown are acceptable or provide further information on what weight would be accepted in this location.</t>
  </si>
  <si>
    <t>Based on a discussion with Westland and the scaffold guys this morning, it was determined that the load on each scaffold leg would be no more than 2,000lbs.  Provided that the scaffold loading is limited to 2,00olbs the slab on metal deck has the capacity to support those loads.  It is expected that all other loads on the floor will be limited to human traffic and no items will be stock piled or stored on the slab in this area. | * | Zach, thanks.</t>
  </si>
  <si>
    <t>FT1/FT2/FT5/FT6 Color Scheme Changes</t>
  </si>
  <si>
    <t>On 01/22/2020 we received a tile sample submittal review from Gloria that changed some tile colors within the FT1, FT2, FT5 and FT6 floor patterns. 
Please confirm the following:
FT1/FT2 (Topcer floors): Generic color names are used in the markups for the Topcer pattern changes. We don't want to move forward with our assumptions without confirmation of what the "tan", "red" and " green" actually are. Please confirm "tan" is "#03 Yellow", "red" is "#20 Brick Red" and "green" is "#28 Light Green" (see attached Topcer color chart).
FT5/FT6 (Daltile floors): For Daltile Keysonte Mosaic FT5 and FT6, please confirm "white" is "AO #078 Capuccino" and "tan" is "D335 Almond".
Thank you,
Global Stone and Tile</t>
  </si>
  <si>
    <t>Dal tile clarification: Tan is the A078 Cappuccino. White is D335 Almond
Topcer colors noted correctly. 
See attached. |</t>
  </si>
  <si>
    <t>Scaffold at Historic Level 2 - RM 218</t>
  </si>
  <si>
    <t>Please see the attached scaffolding plan. Please advise if the weights indicated are acceptable.</t>
  </si>
  <si>
    <t>Please support each scaffold column on cribbing planks that span across a minimum of (4) floor joist.  In order to use the scaffold in this manner, no other material or loads etc. should be placed on the floor in the scaffold area.</t>
  </si>
  <si>
    <t>4th Flr Vest. 409 WAP location</t>
  </si>
  <si>
    <t>Could we get a dimensioned detail of where the WAP goes on the ceiling of vestibule 409 on the 4th floor?  See attachment.</t>
  </si>
  <si>
    <t>Annex L0 Mech Room Penetration</t>
  </si>
  <si>
    <t>Please see the attachment that shows penetrations through an existing concrete wall. Please provide a detail similar to 11/S201, however, for how to tackle this &lt; 3'D' condition on this existing concrete wall.</t>
  </si>
  <si>
    <t>Recessed Can Vs Joist Conflict</t>
  </si>
  <si>
    <t>See the attached that shows 3 different RCP plans and where the recess can lights clash with the joist above. Please provide further direction.</t>
  </si>
  <si>
    <t>Columns at Gridlines HC/H3</t>
  </si>
  <si>
    <t>Please advise if the attached fix will be acceptable for joist attachment on the column at the intersection of gridlines HC/H3. This was reviewed on site with the Brent, Josh and Will where it was mentioned that the attached detail was close but there were some adjustments that may need to be made to it.</t>
  </si>
  <si>
    <t>Please see attached sketch for required connection.  It is similar to the suggested detail with a few more added stiffener plates.</t>
  </si>
  <si>
    <t>Cooling Tower Piping</t>
  </si>
  <si>
    <t xml:space="preserve">Please see the attached notations on cooling tower piping location change as discussed with VBFA and TFM. Please advise if we are to proceed with this change and provide any specific requirements as needed. </t>
  </si>
  <si>
    <t>East Basement Doorways</t>
  </si>
  <si>
    <t>As we are preparing to make the saw cuts into the east doorways (Chapel to Confirmation rooms, Confirmation rooms to Stairs) we had a few questions. 
The first issue is at the stairway wall. This is a radius wall that will get a C channel attached to support the stone while the cut is made. Can we shim behind the C channel with lumber to maintain the squeezing effect? 
The other issue is the length of the C channel. We currently have holes drilled 6 inches past the sides of the doors, do we need to extend these holes further? </t>
  </si>
  <si>
    <t>The idea of using wood shims sounds like a good approach and we don’t take issue with that. For the C channel length, the channel needs to extend past the opening on each side a minimum of 24”. That 24” extension needs to have bolts in it as well so you will need to drill a few more holes.</t>
  </si>
  <si>
    <t>East Side Level 5 Ceiling</t>
  </si>
  <si>
    <t>Please confirm that the areas in Yellow are to me installed as gypsum suspended ceiling with plaster this will eliminate the concerns regarding the attachment method to the ruble stones. 
This will aid with the installation for the crown and other finishes.</t>
  </si>
  <si>
    <t>Duct Smoke Detectors at AHU's</t>
  </si>
  <si>
    <t>There are several AHU supply and return ducts that immediately split when leaving the AHU. Can we locate the detectors inside the AHU,s with sample tubes in the supply discharge before the steam is introduced into the air flow (this would also reduce the chance or false alarms caused by the steam)?  And can we locate the detector at the return  inside the AHU with the sample tubes located across the return air opening. otherwise a duct detector would be required for each split in the duct?</t>
  </si>
  <si>
    <t>Electrical Plan Reversions</t>
  </si>
  <si>
    <t>See the attached PDF showing an overlay of CCD_108 and CCD_95R1 on page EP101. 
CCD_108 (in red) on sheet EP101 is dated after and therefore supersedes CCD_95R1 (in green) on the page. I don't believe this is correct. I don't believe the intent was to move the ADA operators in CCD_95R1 and then move them back to their original location in CCD_108. This issue makes me question various electrical plans that have changes that appear to be reverted later on. Please reissue a verified current version of at least EP101, EP101A, EP201, EP801, EP802, &amp; EP803. I believe this is some disparity between CCD_95R1, CCD_104R1, and CCD_108; you might consider reissuing a current version of all electrical pages or the ones associated with those changes.</t>
  </si>
  <si>
    <t>Interior Bench Finishes</t>
  </si>
  <si>
    <t>Please clarify the items that are to be stained vs what items are to be painted. Additionally, please confirm that the paint for the white components of the bench are intended to match the finish trim. For ease of access I have attached the color as called out in a paint submittal.</t>
  </si>
  <si>
    <t>outlets rm 132a/interior elevations rm168&amp;169</t>
  </si>
  <si>
    <t>Structural framing is preventing us from using provided layout at room 132a
could we be provided with interior elevations for rooms 168&amp;169 (see attachments)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</si>
</sst>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sz val="8"/>
      <color theme="1"/>
      <name val="Calibri"/>
      <family val="2"/>
      <scheme val="minor"/>
    </font>
  </fonts>
  <fills count="3">
    <fill>
      <patternFill patternType="none"/>
    </fill>
    <fill>
      <patternFill patternType="gray125"/>
    </fill>
    <fill>
      <patternFill patternType="solid">
        <fgColor theme="9" tint="0.79998168889431442"/>
        <bgColor theme="9" tint="0.79998168889431442"/>
      </patternFill>
    </fill>
  </fills>
  <borders count="3">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16">
    <xf numFmtId="0" fontId="0" fillId="0" borderId="0" xfId="0"/>
    <xf numFmtId="0" fontId="0" fillId="0" borderId="0" xfId="0" applyNumberFormat="1"/>
    <xf numFmtId="14" fontId="0" fillId="0" borderId="0" xfId="0" applyNumberFormat="1"/>
    <xf numFmtId="0" fontId="0" fillId="0" borderId="1" xfId="0" applyFont="1" applyBorder="1"/>
    <xf numFmtId="0" fontId="0" fillId="2" borderId="1" xfId="0" applyFont="1" applyFill="1" applyBorder="1"/>
    <xf numFmtId="0" fontId="0" fillId="0" borderId="0" xfId="0" applyAlignment="1">
      <alignment horizontal="right"/>
    </xf>
    <xf numFmtId="2" fontId="0" fillId="0" borderId="0" xfId="0" applyNumberFormat="1"/>
    <xf numFmtId="0" fontId="0" fillId="2" borderId="2" xfId="0" applyNumberFormat="1" applyFont="1" applyFill="1" applyBorder="1"/>
    <xf numFmtId="0" fontId="0" fillId="0" borderId="2" xfId="0" applyNumberFormat="1" applyFont="1" applyBorder="1"/>
    <xf numFmtId="1" fontId="0" fillId="0" borderId="0" xfId="0" applyNumberFormat="1"/>
    <xf numFmtId="0" fontId="2" fillId="0" borderId="0" xfId="0" applyFont="1"/>
    <xf numFmtId="0" fontId="2" fillId="0" borderId="0" xfId="0" applyFont="1" applyAlignment="1">
      <alignment horizontal="center"/>
    </xf>
    <xf numFmtId="0" fontId="2" fillId="0" borderId="0" xfId="0" applyFont="1" applyAlignment="1"/>
    <xf numFmtId="0" fontId="2" fillId="0" borderId="0" xfId="0" applyFont="1" applyAlignment="1">
      <alignment horizontal="right"/>
    </xf>
    <xf numFmtId="0" fontId="2" fillId="0" borderId="0" xfId="0" applyFont="1" applyAlignment="1">
      <alignment horizontal="right" vertical="top"/>
    </xf>
    <xf numFmtId="0" fontId="2" fillId="0" borderId="0" xfId="0" applyFont="1" applyAlignment="1">
      <alignment horizontal="center" vertical="top"/>
    </xf>
  </cellXfs>
  <cellStyles count="1">
    <cellStyle name="Normal" xfId="0" builtinId="0"/>
  </cellStyles>
  <dxfs count="27">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8D713CF-5AE6-42F0-9594-29BED5EFF64F}" autoFormatId="16" applyNumberFormats="0" applyBorderFormats="0" applyFontFormats="0" applyPatternFormats="0" applyAlignmentFormats="0" applyWidthHeightFormats="0">
  <queryTableRefresh nextId="33">
    <queryTableFields count="31">
      <queryTableField id="1" name="Number" tableColumnId="1"/>
      <queryTableField id="31" name="Column2" tableColumnId="31"/>
      <queryTableField id="2" name="Rev" tableColumnId="2"/>
      <queryTableField id="3" name="Spec Section" tableColumnId="3"/>
      <queryTableField id="4" name="Drawing Ref" tableColumnId="4"/>
      <queryTableField id="5" name="Type" tableColumnId="5"/>
      <queryTableField id="6" name="Subject" tableColumnId="6"/>
      <queryTableField id="7" name="Question" tableColumnId="7"/>
      <queryTableField id="8" name="Suggestion" tableColumnId="8"/>
      <queryTableField id="9" name="Responses" tableColumnId="9"/>
      <queryTableField id="10" name="Ball In Court" tableColumnId="10"/>
      <queryTableField id="11" name="Ball In Court Organization" tableColumnId="11"/>
      <queryTableField id="12" name="Priority" tableColumnId="12"/>
      <queryTableField id="13" name="From" tableColumnId="13"/>
      <queryTableField id="14" name="From Organization" tableColumnId="14"/>
      <queryTableField id="15" name="To" tableColumnId="15"/>
      <queryTableField id="16" name="To Organization" tableColumnId="16"/>
      <queryTableField id="17" name="Sent" tableColumnId="17"/>
      <queryTableField id="18" name="Reference" tableColumnId="18"/>
      <queryTableField id="19" name="Schedule" tableColumnId="19"/>
      <queryTableField id="20" name="Cost" tableColumnId="20"/>
      <queryTableField id="21" name="ROM" tableColumnId="21"/>
      <queryTableField id="22" name="State" tableColumnId="22"/>
      <queryTableField id="23" name="Due By" tableColumnId="23"/>
      <queryTableField id="24" name="Answer Marked On" tableColumnId="24"/>
      <queryTableField id="25" name="Responded On" tableColumnId="25"/>
      <queryTableField id="26" name="Forwarded On" tableColumnId="26"/>
      <queryTableField id="27" name="Created Date" tableColumnId="27"/>
      <queryTableField id="28" name="Status" tableColumnId="28"/>
      <queryTableField id="29" name="Time to Answer" tableColumnId="29"/>
      <queryTableField id="30" name="Time Since Created"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A3FD8B-8154-4077-8F9D-CEAC88132262}" name="Rfi" displayName="Rfi" ref="A1:AE895" tableType="queryTable" totalsRowShown="0">
  <autoFilter ref="A1:AE895" xr:uid="{6C4F9EEA-565F-4224-8A00-76FD0BD45CCF}"/>
  <tableColumns count="31">
    <tableColumn id="1" xr3:uid="{1E928119-96B8-4B14-AE8E-BBFAC25E1453}" uniqueName="1" name="Number" queryTableFieldId="1"/>
    <tableColumn id="31" xr3:uid="{99371455-04A4-4122-9C06-ED398FD37EAC}" uniqueName="31" name="Column2" queryTableFieldId="31" dataDxfId="26"/>
    <tableColumn id="2" xr3:uid="{E8D57F29-5BB9-4728-9D77-6D4B98561C83}" uniqueName="2" name="Rev" queryTableFieldId="2"/>
    <tableColumn id="3" xr3:uid="{CC7C84D9-6625-404C-8ABF-C464ACEA7C44}" uniqueName="3" name="Spec Section" queryTableFieldId="3" dataDxfId="25"/>
    <tableColumn id="4" xr3:uid="{E43020FC-27A8-444F-B000-7B1DE9A6F277}" uniqueName="4" name="Drawing Ref" queryTableFieldId="4" dataDxfId="24"/>
    <tableColumn id="5" xr3:uid="{A4CFF09F-165D-4E0A-A3EE-E50CF8D81920}" uniqueName="5" name="Type" queryTableFieldId="5" dataDxfId="23"/>
    <tableColumn id="6" xr3:uid="{21DAA9DD-53AB-4767-BEDD-0C9A0CB1D995}" uniqueName="6" name="Subject" queryTableFieldId="6" dataDxfId="22"/>
    <tableColumn id="7" xr3:uid="{51A08C2B-B100-4FB4-B0BB-5BA77F09D175}" uniqueName="7" name="Question" queryTableFieldId="7" dataDxfId="21"/>
    <tableColumn id="8" xr3:uid="{7E84EAA8-4C38-41A7-A1F2-9E4E4C1D1368}" uniqueName="8" name="Suggestion" queryTableFieldId="8" dataDxfId="20"/>
    <tableColumn id="9" xr3:uid="{275764FA-378C-42AF-B1AE-7386E976AEB7}" uniqueName="9" name="Responses" queryTableFieldId="9" dataDxfId="19"/>
    <tableColumn id="10" xr3:uid="{B1EF5953-74E3-4D84-A2F0-5668EABF2C4A}" uniqueName="10" name="Ball In Court" queryTableFieldId="10" dataDxfId="18"/>
    <tableColumn id="11" xr3:uid="{13C1BD94-A3D8-4FC4-9683-C9D56733C999}" uniqueName="11" name="Ball In Court Organization" queryTableFieldId="11" dataDxfId="17"/>
    <tableColumn id="12" xr3:uid="{78039013-8132-407B-ABCC-3D7DE32B8E56}" uniqueName="12" name="Priority" queryTableFieldId="12" dataDxfId="16"/>
    <tableColumn id="13" xr3:uid="{A773C4C4-9C5E-4513-9165-4B8334A1FD3A}" uniqueName="13" name="From" queryTableFieldId="13" dataDxfId="15"/>
    <tableColumn id="14" xr3:uid="{B05DE754-4D92-4C9F-928F-A200A585469A}" uniqueName="14" name="From Organization" queryTableFieldId="14" dataDxfId="14"/>
    <tableColumn id="15" xr3:uid="{F0CACC49-866E-4C7F-AC1E-CBB773D2A2DB}" uniqueName="15" name="To" queryTableFieldId="15" dataDxfId="13"/>
    <tableColumn id="16" xr3:uid="{493E2CC8-16BA-4DA6-896C-AAA1F08745AC}" uniqueName="16" name="To Organization" queryTableFieldId="16" dataDxfId="12"/>
    <tableColumn id="17" xr3:uid="{B7459247-9510-414A-96F4-9B8B02797C6D}" uniqueName="17" name="Sent" queryTableFieldId="17" dataDxfId="11"/>
    <tableColumn id="18" xr3:uid="{7A7AF901-7190-4B8C-AB93-1B0884A60A22}" uniqueName="18" name="Reference" queryTableFieldId="18" dataDxfId="10"/>
    <tableColumn id="19" xr3:uid="{E1EDE600-8032-4E28-9B28-F0C90E103BEF}" uniqueName="19" name="Schedule" queryTableFieldId="19"/>
    <tableColumn id="20" xr3:uid="{B6AC4247-1CB7-4782-843F-ED8A90E527A3}" uniqueName="20" name="Cost" queryTableFieldId="20"/>
    <tableColumn id="21" xr3:uid="{5B1F2F7F-637E-4A7D-9239-685D2AD9E5C9}" uniqueName="21" name="ROM" queryTableFieldId="21"/>
    <tableColumn id="22" xr3:uid="{6BB9284E-9F06-448C-BA8B-16E379C7724D}" uniqueName="22" name="State" queryTableFieldId="22" dataDxfId="9"/>
    <tableColumn id="23" xr3:uid="{5791D65F-77F1-4769-AAC7-37DCAF93725B}" uniqueName="23" name="Due By" queryTableFieldId="23" dataDxfId="8"/>
    <tableColumn id="24" xr3:uid="{E650344E-A721-4081-8BFD-6A6839105360}" uniqueName="24" name="Answer Marked On" queryTableFieldId="24" dataDxfId="7"/>
    <tableColumn id="25" xr3:uid="{F51C78F1-9F39-4B54-8431-5BD6425812AA}" uniqueName="25" name="Responded On" queryTableFieldId="25" dataDxfId="6"/>
    <tableColumn id="26" xr3:uid="{D931FC36-3B71-4597-A8D5-94B80A25ECD2}" uniqueName="26" name="Forwarded On" queryTableFieldId="26" dataDxfId="5"/>
    <tableColumn id="27" xr3:uid="{1821D764-24C4-453E-B5E7-9812B691CAF5}" uniqueName="27" name="Created Date" queryTableFieldId="27" dataDxfId="4"/>
    <tableColumn id="28" xr3:uid="{64CEB91A-0E01-4235-AA78-58D056474F87}" uniqueName="28" name="Status" queryTableFieldId="28" dataDxfId="3"/>
    <tableColumn id="29" xr3:uid="{3A5FB08E-67A1-43E7-8045-F26F352354AC}" uniqueName="29" name="Time to Answer" queryTableFieldId="29"/>
    <tableColumn id="30" xr3:uid="{56BF0EBE-33C1-4CE9-B11A-3EDDB6D22FD0}" uniqueName="30" name="Time Since Created" queryTableField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DC59DC-C6AE-455B-BB2F-15B2672B1F25}" name="Table2" displayName="Table2" ref="A1:G649" totalsRowShown="0">
  <autoFilter ref="A1:G649" xr:uid="{90D1706F-E526-4766-AE38-C49A12A3FA0D}">
    <filterColumn colId="6">
      <filters>
        <filter val="Forwarded"/>
        <filter val="Responded"/>
        <filter val="Sent"/>
      </filters>
    </filterColumn>
  </autoFilter>
  <tableColumns count="7">
    <tableColumn id="1" xr3:uid="{A945CDDC-0C50-4E93-A907-DBEEDA3F020A}" name="Priority">
      <calculatedColumnFormula>Rfi[[#This Row],[Priority]]</calculatedColumnFormula>
    </tableColumn>
    <tableColumn id="2" xr3:uid="{9269E63F-900D-45F1-9AF4-71A67D9C4F25}" name="RFI Num">
      <calculatedColumnFormula>Rfi[[#This Row],[Number]]</calculatedColumnFormula>
    </tableColumn>
    <tableColumn id="3" xr3:uid="{D3069117-A2EA-4D6A-AE7F-8F00AE920967}" name="Subject">
      <calculatedColumnFormula>Rfi[[#This Row],[Subject]]</calculatedColumnFormula>
    </tableColumn>
    <tableColumn id="4" xr3:uid="{05161421-53BD-4C0F-B988-3392C730691E}" name="Date Sent" dataDxfId="2">
      <calculatedColumnFormula>Rfi[[#This Row],[Sent]]</calculatedColumnFormula>
    </tableColumn>
    <tableColumn id="8" xr3:uid="{7AA828A6-2825-497F-B389-36024096802D}" name="Days Open" dataDxfId="1">
      <calculatedColumnFormula>TODAY()-Table2[[#This Row],[Date Sent]]</calculatedColumnFormula>
    </tableColumn>
    <tableColumn id="7" xr3:uid="{A6D599B4-D7BB-4850-8079-3B72A4604C00}" name="Ball in Court" dataDxfId="0">
      <calculatedColumnFormula>Rfi[[#This Row],[Ball In Court]]</calculatedColumnFormula>
    </tableColumn>
    <tableColumn id="5" xr3:uid="{4B79C4E5-FA67-4189-9F06-428EE3FF1BAE}" name="State">
      <calculatedColumnFormula>Rfi[[#This Row],[State]]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0E5A6-1EFA-4CE7-A062-3E0129FCBC9F}">
  <sheetPr codeName="Sheet2"/>
  <dimension ref="A1:AG895"/>
  <sheetViews>
    <sheetView topLeftCell="A796" workbookViewId="0">
      <selection activeCell="AD671" sqref="AD671"/>
    </sheetView>
  </sheetViews>
  <sheetFormatPr defaultRowHeight="14.5" x14ac:dyDescent="0.35"/>
  <cols>
    <col min="1" max="1" width="9.90625" bestFit="1" customWidth="1"/>
    <col min="2" max="2" width="10.54296875" bestFit="1" customWidth="1"/>
    <col min="3" max="3" width="6.08984375" bestFit="1" customWidth="1"/>
    <col min="4" max="4" width="15.1796875" bestFit="1" customWidth="1"/>
    <col min="5" max="5" width="53.81640625" bestFit="1" customWidth="1"/>
    <col min="6" max="6" width="21.1796875" bestFit="1" customWidth="1"/>
    <col min="7" max="7" width="58.90625" bestFit="1" customWidth="1"/>
    <col min="8" max="10" width="80.7265625" bestFit="1" customWidth="1"/>
    <col min="11" max="11" width="19" bestFit="1" customWidth="1"/>
    <col min="12" max="12" width="24.81640625" bestFit="1" customWidth="1"/>
    <col min="13" max="13" width="9.26953125" bestFit="1" customWidth="1"/>
    <col min="14" max="14" width="19" bestFit="1" customWidth="1"/>
    <col min="15" max="15" width="35" bestFit="1" customWidth="1"/>
    <col min="16" max="16" width="19" bestFit="1" customWidth="1"/>
    <col min="17" max="17" width="60.1796875" bestFit="1" customWidth="1"/>
    <col min="18" max="18" width="10.453125" bestFit="1" customWidth="1"/>
    <col min="19" max="19" width="20.36328125" bestFit="1" customWidth="1"/>
    <col min="20" max="20" width="10.54296875" bestFit="1" customWidth="1"/>
    <col min="21" max="21" width="6.81640625" bestFit="1" customWidth="1"/>
    <col min="22" max="22" width="7.26953125" bestFit="1" customWidth="1"/>
    <col min="23" max="23" width="10.1796875" bestFit="1" customWidth="1"/>
    <col min="24" max="24" width="10.453125" bestFit="1" customWidth="1"/>
    <col min="25" max="25" width="19.453125" bestFit="1" customWidth="1"/>
    <col min="26" max="26" width="15.453125" bestFit="1" customWidth="1"/>
    <col min="27" max="27" width="15.1796875" bestFit="1" customWidth="1"/>
    <col min="28" max="28" width="14.1796875" bestFit="1" customWidth="1"/>
    <col min="29" max="29" width="9" bestFit="1" customWidth="1"/>
    <col min="30" max="30" width="16.26953125" bestFit="1" customWidth="1"/>
    <col min="31" max="31" width="19.08984375" customWidth="1"/>
  </cols>
  <sheetData>
    <row r="1" spans="1:33" x14ac:dyDescent="0.35">
      <c r="A1" t="s">
        <v>0</v>
      </c>
      <c r="B1" t="s">
        <v>2449</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1695</v>
      </c>
    </row>
    <row r="2" spans="1:33" x14ac:dyDescent="0.35">
      <c r="A2">
        <v>1</v>
      </c>
      <c r="B2" s="1"/>
      <c r="C2">
        <v>1</v>
      </c>
      <c r="D2" s="1" t="s">
        <v>29</v>
      </c>
      <c r="E2" s="1"/>
      <c r="F2" s="1" t="s">
        <v>30</v>
      </c>
      <c r="G2" s="1" t="s">
        <v>31</v>
      </c>
      <c r="H2" s="1" t="s">
        <v>32</v>
      </c>
      <c r="I2" s="1"/>
      <c r="J2" s="1" t="s">
        <v>33</v>
      </c>
      <c r="K2" s="1"/>
      <c r="L2" s="1"/>
      <c r="M2" s="1" t="s">
        <v>34</v>
      </c>
      <c r="N2" s="1" t="s">
        <v>35</v>
      </c>
      <c r="O2" s="1" t="s">
        <v>36</v>
      </c>
      <c r="P2" s="1" t="s">
        <v>37</v>
      </c>
      <c r="Q2" s="1"/>
      <c r="R2" s="2">
        <v>43725</v>
      </c>
      <c r="S2" s="1"/>
      <c r="W2" s="1" t="s">
        <v>38</v>
      </c>
      <c r="X2" s="2">
        <v>43727</v>
      </c>
      <c r="Y2" s="2">
        <v>43734</v>
      </c>
      <c r="Z2" s="2">
        <v>43725</v>
      </c>
      <c r="AA2" s="2"/>
      <c r="AB2" s="2">
        <v>43725</v>
      </c>
      <c r="AC2" s="1"/>
      <c r="AD2">
        <v>0</v>
      </c>
      <c r="AE2">
        <v>499</v>
      </c>
      <c r="AG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 spans="1:33" x14ac:dyDescent="0.35">
      <c r="A3">
        <v>2</v>
      </c>
      <c r="B3" s="1"/>
      <c r="C3">
        <v>0</v>
      </c>
      <c r="D3" s="1" t="s">
        <v>39</v>
      </c>
      <c r="E3" s="1"/>
      <c r="F3" s="1" t="s">
        <v>30</v>
      </c>
      <c r="G3" s="1" t="s">
        <v>40</v>
      </c>
      <c r="H3" s="1" t="s">
        <v>41</v>
      </c>
      <c r="I3" s="1"/>
      <c r="J3" s="1" t="s">
        <v>42</v>
      </c>
      <c r="K3" s="1"/>
      <c r="L3" s="1"/>
      <c r="M3" s="1" t="s">
        <v>34</v>
      </c>
      <c r="N3" s="1" t="s">
        <v>43</v>
      </c>
      <c r="O3" s="1" t="s">
        <v>44</v>
      </c>
      <c r="P3" s="1" t="s">
        <v>37</v>
      </c>
      <c r="Q3" s="1"/>
      <c r="R3" s="2">
        <v>43720</v>
      </c>
      <c r="S3" s="1"/>
      <c r="W3" s="1" t="s">
        <v>38</v>
      </c>
      <c r="X3" s="2">
        <v>43725</v>
      </c>
      <c r="Y3" s="2">
        <v>43727</v>
      </c>
      <c r="Z3" s="2">
        <v>43727</v>
      </c>
      <c r="AA3" s="2"/>
      <c r="AB3" s="2">
        <v>43720</v>
      </c>
      <c r="AC3" s="1"/>
      <c r="AD3">
        <v>7</v>
      </c>
      <c r="AE3">
        <v>504</v>
      </c>
      <c r="AG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 spans="1:33" x14ac:dyDescent="0.35">
      <c r="A4">
        <v>3</v>
      </c>
      <c r="B4" s="1"/>
      <c r="C4">
        <v>0</v>
      </c>
      <c r="D4" s="1"/>
      <c r="E4" s="1"/>
      <c r="F4" s="1" t="s">
        <v>30</v>
      </c>
      <c r="G4" s="1" t="s">
        <v>45</v>
      </c>
      <c r="H4" s="1" t="s">
        <v>46</v>
      </c>
      <c r="I4" s="1"/>
      <c r="J4" s="1" t="s">
        <v>47</v>
      </c>
      <c r="K4" s="1"/>
      <c r="L4" s="1"/>
      <c r="M4" s="1" t="s">
        <v>34</v>
      </c>
      <c r="N4" s="1" t="s">
        <v>35</v>
      </c>
      <c r="O4" s="1" t="s">
        <v>36</v>
      </c>
      <c r="P4" s="1" t="s">
        <v>43</v>
      </c>
      <c r="Q4" s="1" t="s">
        <v>44</v>
      </c>
      <c r="R4" s="2">
        <v>43734</v>
      </c>
      <c r="S4" s="1"/>
      <c r="W4" s="1" t="s">
        <v>38</v>
      </c>
      <c r="X4" s="2">
        <v>43739</v>
      </c>
      <c r="Y4" s="2">
        <v>43753</v>
      </c>
      <c r="Z4" s="2">
        <v>43734</v>
      </c>
      <c r="AA4" s="2">
        <v>43748</v>
      </c>
      <c r="AB4" s="2">
        <v>43734</v>
      </c>
      <c r="AC4" s="1"/>
      <c r="AD4">
        <v>0</v>
      </c>
      <c r="AE4">
        <v>490</v>
      </c>
      <c r="AG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 spans="1:33" x14ac:dyDescent="0.35">
      <c r="A5">
        <v>4</v>
      </c>
      <c r="B5" s="1"/>
      <c r="C5">
        <v>0</v>
      </c>
      <c r="D5" s="1"/>
      <c r="E5" s="1"/>
      <c r="F5" s="1" t="s">
        <v>30</v>
      </c>
      <c r="G5" s="1" t="s">
        <v>48</v>
      </c>
      <c r="H5" s="1" t="s">
        <v>49</v>
      </c>
      <c r="I5" s="1"/>
      <c r="J5" s="1" t="s">
        <v>50</v>
      </c>
      <c r="K5" s="1"/>
      <c r="L5" s="1"/>
      <c r="M5" s="1" t="s">
        <v>34</v>
      </c>
      <c r="N5" s="1" t="s">
        <v>43</v>
      </c>
      <c r="O5" s="1" t="s">
        <v>44</v>
      </c>
      <c r="P5" s="1" t="s">
        <v>51</v>
      </c>
      <c r="Q5" s="1" t="s">
        <v>37</v>
      </c>
      <c r="R5" s="2">
        <v>43748</v>
      </c>
      <c r="S5" s="1"/>
      <c r="W5" s="1" t="s">
        <v>38</v>
      </c>
      <c r="X5" s="2">
        <v>43753</v>
      </c>
      <c r="Y5" s="2">
        <v>43768</v>
      </c>
      <c r="Z5" s="2">
        <v>43768</v>
      </c>
      <c r="AA5" s="2">
        <v>43767</v>
      </c>
      <c r="AB5" s="2">
        <v>43748</v>
      </c>
      <c r="AC5" s="1"/>
      <c r="AD5">
        <v>20</v>
      </c>
      <c r="AE5">
        <v>476</v>
      </c>
      <c r="AG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6" spans="1:33" x14ac:dyDescent="0.35">
      <c r="A6">
        <v>5</v>
      </c>
      <c r="B6" s="1"/>
      <c r="C6">
        <v>0</v>
      </c>
      <c r="D6" s="1"/>
      <c r="E6" s="1"/>
      <c r="F6" s="1" t="s">
        <v>30</v>
      </c>
      <c r="G6" s="1" t="s">
        <v>52</v>
      </c>
      <c r="H6" s="1" t="s">
        <v>53</v>
      </c>
      <c r="I6" s="1"/>
      <c r="J6" s="1" t="s">
        <v>54</v>
      </c>
      <c r="K6" s="1"/>
      <c r="L6" s="1"/>
      <c r="M6" s="1" t="s">
        <v>34</v>
      </c>
      <c r="N6" s="1" t="s">
        <v>35</v>
      </c>
      <c r="O6" s="1" t="s">
        <v>36</v>
      </c>
      <c r="P6" s="1" t="s">
        <v>37</v>
      </c>
      <c r="Q6" s="1"/>
      <c r="R6" s="2">
        <v>43753</v>
      </c>
      <c r="S6" s="1"/>
      <c r="W6" s="1" t="s">
        <v>38</v>
      </c>
      <c r="X6" s="2">
        <v>43761</v>
      </c>
      <c r="Y6" s="2">
        <v>43759</v>
      </c>
      <c r="Z6" s="2">
        <v>43759</v>
      </c>
      <c r="AA6" s="2">
        <v>43756</v>
      </c>
      <c r="AB6" s="2">
        <v>43753</v>
      </c>
      <c r="AC6" s="1"/>
      <c r="AD6">
        <v>6</v>
      </c>
      <c r="AE6">
        <v>471</v>
      </c>
      <c r="AG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7" spans="1:33" x14ac:dyDescent="0.35">
      <c r="A7">
        <v>6</v>
      </c>
      <c r="B7" s="1"/>
      <c r="C7">
        <v>0</v>
      </c>
      <c r="D7" s="1"/>
      <c r="E7" s="1"/>
      <c r="F7" s="1" t="s">
        <v>30</v>
      </c>
      <c r="G7" s="1" t="s">
        <v>55</v>
      </c>
      <c r="H7" s="1" t="s">
        <v>56</v>
      </c>
      <c r="I7" s="1"/>
      <c r="J7" s="1" t="s">
        <v>57</v>
      </c>
      <c r="K7" s="1"/>
      <c r="L7" s="1"/>
      <c r="M7" s="1" t="s">
        <v>34</v>
      </c>
      <c r="N7" s="1" t="s">
        <v>43</v>
      </c>
      <c r="O7" s="1" t="s">
        <v>44</v>
      </c>
      <c r="P7" s="1" t="s">
        <v>37</v>
      </c>
      <c r="Q7" s="1"/>
      <c r="R7" s="2">
        <v>43759</v>
      </c>
      <c r="S7" s="1"/>
      <c r="W7" s="1" t="s">
        <v>38</v>
      </c>
      <c r="X7" s="2">
        <v>43764</v>
      </c>
      <c r="Y7" s="2">
        <v>43762</v>
      </c>
      <c r="Z7" s="2">
        <v>43759</v>
      </c>
      <c r="AA7" s="2"/>
      <c r="AB7" s="2">
        <v>43759</v>
      </c>
      <c r="AC7" s="1"/>
      <c r="AD7">
        <v>0</v>
      </c>
      <c r="AE7">
        <v>465</v>
      </c>
      <c r="AG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8" spans="1:33" x14ac:dyDescent="0.35">
      <c r="A8">
        <v>7</v>
      </c>
      <c r="B8" s="1"/>
      <c r="C8">
        <v>0</v>
      </c>
      <c r="D8" s="1"/>
      <c r="E8" s="1"/>
      <c r="F8" s="1" t="s">
        <v>30</v>
      </c>
      <c r="G8" s="1" t="s">
        <v>58</v>
      </c>
      <c r="H8" s="1" t="s">
        <v>59</v>
      </c>
      <c r="I8" s="1"/>
      <c r="J8" s="1" t="s">
        <v>60</v>
      </c>
      <c r="K8" s="1"/>
      <c r="L8" s="1"/>
      <c r="M8" s="1" t="s">
        <v>34</v>
      </c>
      <c r="N8" s="1" t="s">
        <v>61</v>
      </c>
      <c r="O8" s="1" t="s">
        <v>62</v>
      </c>
      <c r="P8" s="1" t="s">
        <v>63</v>
      </c>
      <c r="Q8" s="1"/>
      <c r="R8" s="2">
        <v>43762</v>
      </c>
      <c r="S8" s="1"/>
      <c r="W8" s="1" t="s">
        <v>38</v>
      </c>
      <c r="X8" s="2">
        <v>43765</v>
      </c>
      <c r="Y8" s="2">
        <v>43768</v>
      </c>
      <c r="Z8" s="2">
        <v>43766</v>
      </c>
      <c r="AA8" s="2">
        <v>43762</v>
      </c>
      <c r="AB8" s="2">
        <v>43762</v>
      </c>
      <c r="AC8" s="1"/>
      <c r="AD8">
        <v>4</v>
      </c>
      <c r="AE8">
        <v>462</v>
      </c>
      <c r="AG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9" spans="1:33" x14ac:dyDescent="0.35">
      <c r="A9">
        <v>8</v>
      </c>
      <c r="B9" s="1"/>
      <c r="C9">
        <v>0</v>
      </c>
      <c r="D9" s="1"/>
      <c r="E9" s="1" t="s">
        <v>64</v>
      </c>
      <c r="F9" s="1" t="s">
        <v>30</v>
      </c>
      <c r="G9" s="1" t="s">
        <v>65</v>
      </c>
      <c r="H9" s="1" t="s">
        <v>66</v>
      </c>
      <c r="I9" s="1"/>
      <c r="J9" s="1" t="s">
        <v>67</v>
      </c>
      <c r="K9" s="1"/>
      <c r="L9" s="1"/>
      <c r="M9" s="1" t="s">
        <v>34</v>
      </c>
      <c r="N9" s="1" t="s">
        <v>61</v>
      </c>
      <c r="O9" s="1" t="s">
        <v>62</v>
      </c>
      <c r="P9" s="1" t="s">
        <v>63</v>
      </c>
      <c r="Q9" s="1"/>
      <c r="R9" s="2">
        <v>43762</v>
      </c>
      <c r="S9" s="1"/>
      <c r="W9" s="1" t="s">
        <v>38</v>
      </c>
      <c r="X9" s="2">
        <v>43765</v>
      </c>
      <c r="Y9" s="2">
        <v>43768</v>
      </c>
      <c r="Z9" s="2">
        <v>43767</v>
      </c>
      <c r="AA9" s="2">
        <v>43762</v>
      </c>
      <c r="AB9" s="2">
        <v>43762</v>
      </c>
      <c r="AC9" s="1"/>
      <c r="AD9">
        <v>5</v>
      </c>
      <c r="AE9">
        <v>462</v>
      </c>
      <c r="AG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0" spans="1:33" x14ac:dyDescent="0.35">
      <c r="A10">
        <v>9</v>
      </c>
      <c r="B10" s="1"/>
      <c r="C10">
        <v>0</v>
      </c>
      <c r="D10" s="1"/>
      <c r="E10" s="1" t="s">
        <v>68</v>
      </c>
      <c r="F10" s="1" t="s">
        <v>30</v>
      </c>
      <c r="G10" s="1" t="s">
        <v>69</v>
      </c>
      <c r="H10" s="1" t="s">
        <v>70</v>
      </c>
      <c r="I10" s="1"/>
      <c r="J10" s="1" t="s">
        <v>71</v>
      </c>
      <c r="K10" s="1"/>
      <c r="L10" s="1"/>
      <c r="M10" s="1" t="s">
        <v>34</v>
      </c>
      <c r="N10" s="1" t="s">
        <v>61</v>
      </c>
      <c r="O10" s="1" t="s">
        <v>62</v>
      </c>
      <c r="P10" s="1" t="s">
        <v>37</v>
      </c>
      <c r="Q10" s="1"/>
      <c r="R10" s="2">
        <v>43762</v>
      </c>
      <c r="S10" s="1"/>
      <c r="W10" s="1" t="s">
        <v>38</v>
      </c>
      <c r="X10" s="2">
        <v>43765</v>
      </c>
      <c r="Y10" s="2">
        <v>43766</v>
      </c>
      <c r="Z10" s="2">
        <v>43766</v>
      </c>
      <c r="AA10" s="2"/>
      <c r="AB10" s="2">
        <v>43762</v>
      </c>
      <c r="AC10" s="1"/>
      <c r="AD10">
        <v>4</v>
      </c>
      <c r="AE10">
        <v>462</v>
      </c>
      <c r="AG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1" spans="1:33" x14ac:dyDescent="0.35">
      <c r="A11">
        <v>10</v>
      </c>
      <c r="B11" s="1"/>
      <c r="C11">
        <v>0</v>
      </c>
      <c r="D11" s="1"/>
      <c r="E11" s="1" t="s">
        <v>72</v>
      </c>
      <c r="F11" s="1" t="s">
        <v>30</v>
      </c>
      <c r="G11" s="1" t="s">
        <v>73</v>
      </c>
      <c r="H11" s="1" t="s">
        <v>74</v>
      </c>
      <c r="I11" s="1"/>
      <c r="J11" s="1" t="s">
        <v>75</v>
      </c>
      <c r="K11" s="1"/>
      <c r="L11" s="1"/>
      <c r="M11" s="1" t="s">
        <v>34</v>
      </c>
      <c r="N11" s="1" t="s">
        <v>61</v>
      </c>
      <c r="O11" s="1" t="s">
        <v>62</v>
      </c>
      <c r="P11" s="1" t="s">
        <v>63</v>
      </c>
      <c r="Q11" s="1"/>
      <c r="R11" s="2">
        <v>43762</v>
      </c>
      <c r="S11" s="1"/>
      <c r="W11" s="1" t="s">
        <v>38</v>
      </c>
      <c r="X11" s="2">
        <v>43765</v>
      </c>
      <c r="Y11" s="2">
        <v>43768</v>
      </c>
      <c r="Z11" s="2">
        <v>43766</v>
      </c>
      <c r="AA11" s="2">
        <v>43762</v>
      </c>
      <c r="AB11" s="2">
        <v>43762</v>
      </c>
      <c r="AC11" s="1"/>
      <c r="AD11">
        <v>4</v>
      </c>
      <c r="AE11">
        <v>462</v>
      </c>
      <c r="AG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2" spans="1:33" x14ac:dyDescent="0.35">
      <c r="A12">
        <v>11</v>
      </c>
      <c r="B12" s="1"/>
      <c r="C12">
        <v>0</v>
      </c>
      <c r="D12" s="1"/>
      <c r="E12" s="1"/>
      <c r="F12" s="1" t="s">
        <v>30</v>
      </c>
      <c r="G12" s="1" t="s">
        <v>76</v>
      </c>
      <c r="H12" s="1" t="s">
        <v>77</v>
      </c>
      <c r="I12" s="1"/>
      <c r="J12" s="1" t="s">
        <v>78</v>
      </c>
      <c r="K12" s="1"/>
      <c r="L12" s="1"/>
      <c r="M12" s="1" t="s">
        <v>34</v>
      </c>
      <c r="N12" s="1" t="s">
        <v>79</v>
      </c>
      <c r="O12" s="1" t="s">
        <v>80</v>
      </c>
      <c r="P12" s="1" t="s">
        <v>63</v>
      </c>
      <c r="Q12" s="1"/>
      <c r="R12" s="2">
        <v>43774</v>
      </c>
      <c r="S12" s="1"/>
      <c r="T12">
        <v>1</v>
      </c>
      <c r="U12">
        <v>1</v>
      </c>
      <c r="W12" s="1" t="s">
        <v>38</v>
      </c>
      <c r="X12" s="2">
        <v>43765</v>
      </c>
      <c r="Y12" s="2">
        <v>43803</v>
      </c>
      <c r="Z12" s="2">
        <v>43790</v>
      </c>
      <c r="AA12" s="2">
        <v>43783</v>
      </c>
      <c r="AB12" s="2">
        <v>43762</v>
      </c>
      <c r="AC12" s="1"/>
      <c r="AD12">
        <v>28</v>
      </c>
      <c r="AE12">
        <v>462</v>
      </c>
      <c r="AG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3" spans="1:33" x14ac:dyDescent="0.35">
      <c r="A13">
        <v>12</v>
      </c>
      <c r="B13" s="1"/>
      <c r="C13">
        <v>0</v>
      </c>
      <c r="D13" s="1"/>
      <c r="E13" s="1"/>
      <c r="F13" s="1" t="s">
        <v>30</v>
      </c>
      <c r="G13" s="1" t="s">
        <v>81</v>
      </c>
      <c r="H13" s="1" t="s">
        <v>82</v>
      </c>
      <c r="I13" s="1" t="s">
        <v>83</v>
      </c>
      <c r="J13" s="1" t="s">
        <v>84</v>
      </c>
      <c r="K13" s="1"/>
      <c r="L13" s="1"/>
      <c r="M13" s="1" t="s">
        <v>34</v>
      </c>
      <c r="N13" s="1" t="s">
        <v>61</v>
      </c>
      <c r="O13" s="1" t="s">
        <v>62</v>
      </c>
      <c r="P13" s="1" t="s">
        <v>63</v>
      </c>
      <c r="Q13" s="1"/>
      <c r="R13" s="2">
        <v>43774</v>
      </c>
      <c r="S13" s="1"/>
      <c r="T13">
        <v>1</v>
      </c>
      <c r="U13">
        <v>1</v>
      </c>
      <c r="W13" s="1" t="s">
        <v>38</v>
      </c>
      <c r="X13" s="2">
        <v>43765</v>
      </c>
      <c r="Y13" s="2">
        <v>43803</v>
      </c>
      <c r="Z13" s="2">
        <v>43790</v>
      </c>
      <c r="AA13" s="2">
        <v>43783</v>
      </c>
      <c r="AB13" s="2">
        <v>43762</v>
      </c>
      <c r="AC13" s="1"/>
      <c r="AD13">
        <v>28</v>
      </c>
      <c r="AE13">
        <v>462</v>
      </c>
      <c r="AG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 spans="1:33" x14ac:dyDescent="0.35">
      <c r="A14">
        <v>13</v>
      </c>
      <c r="B14" s="1"/>
      <c r="C14">
        <v>0</v>
      </c>
      <c r="D14" s="1"/>
      <c r="E14" s="1" t="s">
        <v>85</v>
      </c>
      <c r="F14" s="1" t="s">
        <v>30</v>
      </c>
      <c r="G14" s="1" t="s">
        <v>86</v>
      </c>
      <c r="H14" s="1" t="s">
        <v>87</v>
      </c>
      <c r="I14" s="1"/>
      <c r="J14" s="1" t="s">
        <v>88</v>
      </c>
      <c r="K14" s="1"/>
      <c r="L14" s="1"/>
      <c r="M14" s="1" t="s">
        <v>34</v>
      </c>
      <c r="N14" s="1" t="s">
        <v>61</v>
      </c>
      <c r="O14" s="1" t="s">
        <v>62</v>
      </c>
      <c r="P14" s="1" t="s">
        <v>63</v>
      </c>
      <c r="Q14" s="1"/>
      <c r="R14" s="2">
        <v>43762</v>
      </c>
      <c r="S14" s="1"/>
      <c r="W14" s="1" t="s">
        <v>38</v>
      </c>
      <c r="X14" s="2">
        <v>43765</v>
      </c>
      <c r="Y14" s="2">
        <v>43768</v>
      </c>
      <c r="Z14" s="2">
        <v>43766</v>
      </c>
      <c r="AA14" s="2">
        <v>43763</v>
      </c>
      <c r="AB14" s="2">
        <v>43762</v>
      </c>
      <c r="AC14" s="1"/>
      <c r="AD14">
        <v>4</v>
      </c>
      <c r="AE14">
        <v>462</v>
      </c>
      <c r="AG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5" spans="1:33" x14ac:dyDescent="0.35">
      <c r="A15">
        <v>14</v>
      </c>
      <c r="B15" s="1"/>
      <c r="C15">
        <v>0</v>
      </c>
      <c r="D15" s="1"/>
      <c r="E15" s="1"/>
      <c r="F15" s="1" t="s">
        <v>30</v>
      </c>
      <c r="G15" s="1" t="s">
        <v>89</v>
      </c>
      <c r="H15" s="1" t="s">
        <v>90</v>
      </c>
      <c r="I15" s="1"/>
      <c r="J15" s="1" t="s">
        <v>91</v>
      </c>
      <c r="K15" s="1"/>
      <c r="L15" s="1"/>
      <c r="M15" s="1" t="s">
        <v>34</v>
      </c>
      <c r="N15" s="1" t="s">
        <v>43</v>
      </c>
      <c r="O15" s="1" t="s">
        <v>44</v>
      </c>
      <c r="P15" s="1" t="s">
        <v>37</v>
      </c>
      <c r="Q15" s="1"/>
      <c r="R15" s="2">
        <v>43767</v>
      </c>
      <c r="S15" s="1"/>
      <c r="W15" s="1" t="s">
        <v>38</v>
      </c>
      <c r="X15" s="2">
        <v>43798</v>
      </c>
      <c r="Y15" s="2">
        <v>43777</v>
      </c>
      <c r="Z15" s="2">
        <v>43777</v>
      </c>
      <c r="AA15" s="2"/>
      <c r="AB15" s="2">
        <v>43767</v>
      </c>
      <c r="AC15" s="1"/>
      <c r="AD15">
        <v>10</v>
      </c>
      <c r="AE15">
        <v>457</v>
      </c>
      <c r="AG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6" spans="1:33" x14ac:dyDescent="0.35">
      <c r="A16">
        <v>15</v>
      </c>
      <c r="B16" s="1"/>
      <c r="C16">
        <v>0</v>
      </c>
      <c r="D16" s="1" t="s">
        <v>92</v>
      </c>
      <c r="E16" s="1"/>
      <c r="F16" s="1" t="s">
        <v>30</v>
      </c>
      <c r="G16" s="1" t="s">
        <v>93</v>
      </c>
      <c r="H16" s="1" t="s">
        <v>94</v>
      </c>
      <c r="I16" s="1" t="s">
        <v>95</v>
      </c>
      <c r="J16" s="1" t="s">
        <v>96</v>
      </c>
      <c r="K16" s="1"/>
      <c r="L16" s="1"/>
      <c r="M16" s="1" t="s">
        <v>34</v>
      </c>
      <c r="N16" s="1" t="s">
        <v>97</v>
      </c>
      <c r="O16" s="1" t="s">
        <v>98</v>
      </c>
      <c r="P16" s="1" t="s">
        <v>99</v>
      </c>
      <c r="Q16" s="1"/>
      <c r="R16" s="2">
        <v>43768</v>
      </c>
      <c r="S16" s="1" t="s">
        <v>100</v>
      </c>
      <c r="W16" s="1" t="s">
        <v>38</v>
      </c>
      <c r="X16" s="2">
        <v>43776</v>
      </c>
      <c r="Y16" s="2">
        <v>43776</v>
      </c>
      <c r="Z16" s="2">
        <v>43770</v>
      </c>
      <c r="AA16" s="2">
        <v>43769</v>
      </c>
      <c r="AB16" s="2">
        <v>43768</v>
      </c>
      <c r="AC16" s="1"/>
      <c r="AD16">
        <v>2</v>
      </c>
      <c r="AE16">
        <v>456</v>
      </c>
      <c r="AG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17" spans="1:33" x14ac:dyDescent="0.35">
      <c r="A17">
        <v>16</v>
      </c>
      <c r="B17" s="1"/>
      <c r="C17">
        <v>0</v>
      </c>
      <c r="D17" s="1"/>
      <c r="E17" s="1"/>
      <c r="F17" s="1" t="s">
        <v>30</v>
      </c>
      <c r="G17" s="1" t="s">
        <v>101</v>
      </c>
      <c r="H17" s="1" t="s">
        <v>102</v>
      </c>
      <c r="I17" s="1"/>
      <c r="J17" s="1" t="s">
        <v>103</v>
      </c>
      <c r="K17" s="1"/>
      <c r="L17" s="1"/>
      <c r="M17" s="1" t="s">
        <v>34</v>
      </c>
      <c r="N17" s="1" t="s">
        <v>43</v>
      </c>
      <c r="O17" s="1" t="s">
        <v>44</v>
      </c>
      <c r="P17" s="1" t="s">
        <v>37</v>
      </c>
      <c r="Q17" s="1"/>
      <c r="R17" s="2">
        <v>43775</v>
      </c>
      <c r="S17" s="1"/>
      <c r="W17" s="1" t="s">
        <v>38</v>
      </c>
      <c r="X17" s="2">
        <v>43771</v>
      </c>
      <c r="Y17" s="2">
        <v>43776</v>
      </c>
      <c r="Z17" s="2">
        <v>43775</v>
      </c>
      <c r="AA17" s="2">
        <v>43769</v>
      </c>
      <c r="AB17" s="2">
        <v>43769</v>
      </c>
      <c r="AC17" s="1"/>
      <c r="AD17">
        <v>6</v>
      </c>
      <c r="AE17">
        <v>455</v>
      </c>
      <c r="AG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8" spans="1:33" x14ac:dyDescent="0.35">
      <c r="A18">
        <v>17</v>
      </c>
      <c r="B18" s="1"/>
      <c r="C18">
        <v>0</v>
      </c>
      <c r="D18" s="1"/>
      <c r="E18" s="1" t="s">
        <v>104</v>
      </c>
      <c r="F18" s="1" t="s">
        <v>30</v>
      </c>
      <c r="G18" s="1" t="s">
        <v>105</v>
      </c>
      <c r="H18" s="1" t="s">
        <v>106</v>
      </c>
      <c r="I18" s="1"/>
      <c r="J18" s="1" t="s">
        <v>107</v>
      </c>
      <c r="K18" s="1"/>
      <c r="L18" s="1"/>
      <c r="M18" s="1" t="s">
        <v>34</v>
      </c>
      <c r="N18" s="1" t="s">
        <v>43</v>
      </c>
      <c r="O18" s="1" t="s">
        <v>44</v>
      </c>
      <c r="P18" s="1" t="s">
        <v>37</v>
      </c>
      <c r="Q18" s="1"/>
      <c r="R18" s="2">
        <v>43769</v>
      </c>
      <c r="S18" s="1"/>
      <c r="W18" s="1" t="s">
        <v>38</v>
      </c>
      <c r="X18" s="2">
        <v>43771</v>
      </c>
      <c r="Y18" s="2">
        <v>43769</v>
      </c>
      <c r="Z18" s="2">
        <v>43769</v>
      </c>
      <c r="AA18" s="2"/>
      <c r="AB18" s="2">
        <v>43769</v>
      </c>
      <c r="AC18" s="1"/>
      <c r="AD18">
        <v>0</v>
      </c>
      <c r="AE18">
        <v>455</v>
      </c>
      <c r="AG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9" spans="1:33" x14ac:dyDescent="0.35">
      <c r="A19">
        <v>18</v>
      </c>
      <c r="B19" s="1"/>
      <c r="C19">
        <v>0</v>
      </c>
      <c r="D19" s="1"/>
      <c r="E19" s="1"/>
      <c r="F19" s="1" t="s">
        <v>30</v>
      </c>
      <c r="G19" s="1" t="s">
        <v>108</v>
      </c>
      <c r="H19" s="1" t="s">
        <v>109</v>
      </c>
      <c r="I19" s="1"/>
      <c r="J19" s="1" t="s">
        <v>110</v>
      </c>
      <c r="K19" s="1"/>
      <c r="L19" s="1"/>
      <c r="M19" s="1" t="s">
        <v>34</v>
      </c>
      <c r="N19" s="1" t="s">
        <v>43</v>
      </c>
      <c r="O19" s="1" t="s">
        <v>44</v>
      </c>
      <c r="P19" s="1" t="s">
        <v>99</v>
      </c>
      <c r="Q19" s="1"/>
      <c r="R19" s="2">
        <v>43774</v>
      </c>
      <c r="S19" s="1"/>
      <c r="W19" s="1" t="s">
        <v>38</v>
      </c>
      <c r="X19" s="2">
        <v>43777</v>
      </c>
      <c r="Y19" s="2">
        <v>43777</v>
      </c>
      <c r="Z19" s="2">
        <v>43777</v>
      </c>
      <c r="AA19" s="2">
        <v>43774</v>
      </c>
      <c r="AB19" s="2">
        <v>43774</v>
      </c>
      <c r="AC19" s="1"/>
      <c r="AD19">
        <v>3</v>
      </c>
      <c r="AE19">
        <v>450</v>
      </c>
      <c r="AG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0" spans="1:33" x14ac:dyDescent="0.35">
      <c r="A20">
        <v>19</v>
      </c>
      <c r="B20" s="1"/>
      <c r="C20">
        <v>0</v>
      </c>
      <c r="D20" s="1" t="s">
        <v>111</v>
      </c>
      <c r="E20" s="1" t="s">
        <v>112</v>
      </c>
      <c r="F20" s="1" t="s">
        <v>30</v>
      </c>
      <c r="G20" s="1" t="s">
        <v>113</v>
      </c>
      <c r="H20" s="1" t="s">
        <v>114</v>
      </c>
      <c r="I20" s="1" t="s">
        <v>115</v>
      </c>
      <c r="J20" s="1" t="s">
        <v>820</v>
      </c>
      <c r="K20" s="1"/>
      <c r="L20" s="1"/>
      <c r="M20" s="1" t="s">
        <v>117</v>
      </c>
      <c r="N20" s="1" t="s">
        <v>97</v>
      </c>
      <c r="O20" s="1" t="s">
        <v>98</v>
      </c>
      <c r="P20" s="1" t="s">
        <v>116</v>
      </c>
      <c r="Q20" s="1"/>
      <c r="R20" s="2">
        <v>43804</v>
      </c>
      <c r="S20" s="1"/>
      <c r="W20" s="1" t="s">
        <v>38</v>
      </c>
      <c r="X20" s="2">
        <v>43890</v>
      </c>
      <c r="Y20" s="2">
        <v>43930</v>
      </c>
      <c r="Z20" s="2">
        <v>43790</v>
      </c>
      <c r="AA20" s="2">
        <v>43815</v>
      </c>
      <c r="AB20" s="2">
        <v>43775</v>
      </c>
      <c r="AC20" s="1"/>
      <c r="AD20">
        <v>15</v>
      </c>
      <c r="AE20">
        <v>449</v>
      </c>
      <c r="AG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1" spans="1:33" x14ac:dyDescent="0.35">
      <c r="A21">
        <v>20</v>
      </c>
      <c r="B21" s="1"/>
      <c r="C21">
        <v>0</v>
      </c>
      <c r="D21" s="1"/>
      <c r="E21" s="1"/>
      <c r="F21" s="1" t="s">
        <v>30</v>
      </c>
      <c r="G21" s="1" t="s">
        <v>119</v>
      </c>
      <c r="H21" s="1" t="s">
        <v>120</v>
      </c>
      <c r="I21" s="1"/>
      <c r="J21" s="1" t="s">
        <v>121</v>
      </c>
      <c r="K21" s="1"/>
      <c r="L21" s="1"/>
      <c r="M21" s="1" t="s">
        <v>34</v>
      </c>
      <c r="N21" s="1" t="s">
        <v>43</v>
      </c>
      <c r="O21" s="1" t="s">
        <v>44</v>
      </c>
      <c r="P21" s="1" t="s">
        <v>63</v>
      </c>
      <c r="Q21" s="1"/>
      <c r="R21" s="2">
        <v>43775</v>
      </c>
      <c r="S21" s="1"/>
      <c r="W21" s="1" t="s">
        <v>38</v>
      </c>
      <c r="X21" s="2">
        <v>43778</v>
      </c>
      <c r="Y21" s="2">
        <v>43781</v>
      </c>
      <c r="Z21" s="2">
        <v>43777</v>
      </c>
      <c r="AA21" s="2">
        <v>43776</v>
      </c>
      <c r="AB21" s="2">
        <v>43775</v>
      </c>
      <c r="AC21" s="1"/>
      <c r="AD21">
        <v>2</v>
      </c>
      <c r="AE21">
        <v>449</v>
      </c>
      <c r="AG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2" spans="1:33" x14ac:dyDescent="0.35">
      <c r="A22">
        <v>21</v>
      </c>
      <c r="B22" s="1"/>
      <c r="C22">
        <v>0</v>
      </c>
      <c r="D22" s="1"/>
      <c r="E22" s="1" t="s">
        <v>122</v>
      </c>
      <c r="F22" s="1" t="s">
        <v>30</v>
      </c>
      <c r="G22" s="1" t="s">
        <v>123</v>
      </c>
      <c r="H22" s="1" t="s">
        <v>124</v>
      </c>
      <c r="I22" s="1"/>
      <c r="J22" s="1" t="s">
        <v>125</v>
      </c>
      <c r="K22" s="1"/>
      <c r="L22" s="1"/>
      <c r="M22" s="1" t="s">
        <v>34</v>
      </c>
      <c r="N22" s="1" t="s">
        <v>43</v>
      </c>
      <c r="O22" s="1" t="s">
        <v>44</v>
      </c>
      <c r="P22" s="1" t="s">
        <v>37</v>
      </c>
      <c r="Q22" s="1"/>
      <c r="R22" s="2">
        <v>43775</v>
      </c>
      <c r="S22" s="1"/>
      <c r="W22" s="1" t="s">
        <v>38</v>
      </c>
      <c r="X22" s="2">
        <v>43778</v>
      </c>
      <c r="Y22" s="2">
        <v>43776</v>
      </c>
      <c r="Z22" s="2">
        <v>43776</v>
      </c>
      <c r="AA22" s="2"/>
      <c r="AB22" s="2">
        <v>43775</v>
      </c>
      <c r="AC22" s="1"/>
      <c r="AD22">
        <v>1</v>
      </c>
      <c r="AE22">
        <v>449</v>
      </c>
      <c r="AG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 spans="1:33" x14ac:dyDescent="0.35">
      <c r="A23">
        <v>22</v>
      </c>
      <c r="B23" s="1"/>
      <c r="C23">
        <v>0</v>
      </c>
      <c r="D23" s="1"/>
      <c r="E23" s="1"/>
      <c r="F23" s="1" t="s">
        <v>30</v>
      </c>
      <c r="G23" s="1" t="s">
        <v>126</v>
      </c>
      <c r="H23" s="1" t="s">
        <v>127</v>
      </c>
      <c r="I23" s="1"/>
      <c r="J23" s="1" t="s">
        <v>128</v>
      </c>
      <c r="K23" s="1"/>
      <c r="L23" s="1"/>
      <c r="M23" s="1" t="s">
        <v>117</v>
      </c>
      <c r="N23" s="1" t="s">
        <v>129</v>
      </c>
      <c r="O23" s="1" t="s">
        <v>44</v>
      </c>
      <c r="P23" s="1" t="s">
        <v>37</v>
      </c>
      <c r="Q23" s="1"/>
      <c r="R23" s="2">
        <v>43776</v>
      </c>
      <c r="S23" s="1"/>
      <c r="W23" s="1" t="s">
        <v>38</v>
      </c>
      <c r="X23" s="2">
        <v>43783</v>
      </c>
      <c r="Y23" s="2">
        <v>43776</v>
      </c>
      <c r="Z23" s="2">
        <v>43776</v>
      </c>
      <c r="AA23" s="2"/>
      <c r="AB23" s="2">
        <v>43776</v>
      </c>
      <c r="AC23" s="1"/>
      <c r="AD23">
        <v>0</v>
      </c>
      <c r="AE23">
        <v>448</v>
      </c>
      <c r="AG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4" spans="1:33" x14ac:dyDescent="0.35">
      <c r="A24">
        <v>24</v>
      </c>
      <c r="B24" s="1"/>
      <c r="C24">
        <v>0</v>
      </c>
      <c r="D24" s="1"/>
      <c r="E24" s="1"/>
      <c r="F24" s="1" t="s">
        <v>30</v>
      </c>
      <c r="G24" s="1" t="s">
        <v>130</v>
      </c>
      <c r="H24" s="1" t="s">
        <v>131</v>
      </c>
      <c r="I24" s="1"/>
      <c r="J24" s="1" t="s">
        <v>132</v>
      </c>
      <c r="K24" s="1"/>
      <c r="L24" s="1"/>
      <c r="M24" s="1" t="s">
        <v>34</v>
      </c>
      <c r="N24" s="1" t="s">
        <v>35</v>
      </c>
      <c r="O24" s="1" t="s">
        <v>36</v>
      </c>
      <c r="P24" s="1" t="s">
        <v>63</v>
      </c>
      <c r="Q24" s="1"/>
      <c r="R24" s="2">
        <v>43782</v>
      </c>
      <c r="S24" s="1"/>
      <c r="W24" s="1" t="s">
        <v>38</v>
      </c>
      <c r="X24" s="2">
        <v>43785</v>
      </c>
      <c r="Y24" s="2">
        <v>43804</v>
      </c>
      <c r="Z24" s="2">
        <v>43802</v>
      </c>
      <c r="AA24" s="2">
        <v>43801</v>
      </c>
      <c r="AB24" s="2">
        <v>43782</v>
      </c>
      <c r="AC24" s="1"/>
      <c r="AD24">
        <v>20</v>
      </c>
      <c r="AE24">
        <v>442</v>
      </c>
      <c r="AG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25" spans="1:33" x14ac:dyDescent="0.35">
      <c r="A25">
        <v>25</v>
      </c>
      <c r="B25" s="1"/>
      <c r="C25">
        <v>0</v>
      </c>
      <c r="D25" s="1"/>
      <c r="E25" s="1" t="s">
        <v>133</v>
      </c>
      <c r="F25" s="1" t="s">
        <v>30</v>
      </c>
      <c r="G25" s="1" t="s">
        <v>134</v>
      </c>
      <c r="H25" s="1" t="s">
        <v>135</v>
      </c>
      <c r="I25" s="1"/>
      <c r="J25" s="1" t="s">
        <v>136</v>
      </c>
      <c r="K25" s="1"/>
      <c r="L25" s="1"/>
      <c r="M25" s="1" t="s">
        <v>117</v>
      </c>
      <c r="N25" s="1" t="s">
        <v>43</v>
      </c>
      <c r="O25" s="1" t="s">
        <v>44</v>
      </c>
      <c r="P25" s="1" t="s">
        <v>37</v>
      </c>
      <c r="Q25" s="1"/>
      <c r="R25" s="2">
        <v>43787</v>
      </c>
      <c r="S25" s="1"/>
      <c r="U25">
        <v>250</v>
      </c>
      <c r="V25">
        <v>1000</v>
      </c>
      <c r="W25" s="1" t="s">
        <v>38</v>
      </c>
      <c r="X25" s="2">
        <v>43794</v>
      </c>
      <c r="Y25" s="2">
        <v>43804</v>
      </c>
      <c r="Z25" s="2">
        <v>43804</v>
      </c>
      <c r="AA25" s="2"/>
      <c r="AB25" s="2">
        <v>43787</v>
      </c>
      <c r="AC25" s="1"/>
      <c r="AD25">
        <v>17</v>
      </c>
      <c r="AE25">
        <v>437</v>
      </c>
      <c r="AG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26" spans="1:33" x14ac:dyDescent="0.35">
      <c r="A26">
        <v>26</v>
      </c>
      <c r="B26" s="1"/>
      <c r="C26">
        <v>0</v>
      </c>
      <c r="D26" s="1"/>
      <c r="E26" s="1" t="s">
        <v>137</v>
      </c>
      <c r="F26" s="1" t="s">
        <v>30</v>
      </c>
      <c r="G26" s="1" t="s">
        <v>138</v>
      </c>
      <c r="H26" s="1" t="s">
        <v>139</v>
      </c>
      <c r="I26" s="1" t="s">
        <v>140</v>
      </c>
      <c r="J26" s="1" t="s">
        <v>141</v>
      </c>
      <c r="K26" s="1"/>
      <c r="L26" s="1"/>
      <c r="M26" s="1" t="s">
        <v>34</v>
      </c>
      <c r="N26" s="1" t="s">
        <v>43</v>
      </c>
      <c r="O26" s="1" t="s">
        <v>44</v>
      </c>
      <c r="P26" s="1" t="s">
        <v>37</v>
      </c>
      <c r="Q26" s="1"/>
      <c r="R26" s="2">
        <v>43788</v>
      </c>
      <c r="S26" s="1"/>
      <c r="W26" s="1" t="s">
        <v>38</v>
      </c>
      <c r="X26" s="2">
        <v>43790</v>
      </c>
      <c r="Y26" s="2">
        <v>43789</v>
      </c>
      <c r="Z26" s="2">
        <v>43788</v>
      </c>
      <c r="AA26" s="2"/>
      <c r="AB26" s="2">
        <v>43788</v>
      </c>
      <c r="AC26" s="1"/>
      <c r="AD26">
        <v>0</v>
      </c>
      <c r="AE26">
        <v>436</v>
      </c>
      <c r="AG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 spans="1:33" x14ac:dyDescent="0.35">
      <c r="A27">
        <v>27</v>
      </c>
      <c r="B27" s="1"/>
      <c r="C27">
        <v>0</v>
      </c>
      <c r="D27" s="1"/>
      <c r="E27" s="1" t="s">
        <v>142</v>
      </c>
      <c r="F27" s="1" t="s">
        <v>30</v>
      </c>
      <c r="G27" s="1" t="s">
        <v>143</v>
      </c>
      <c r="H27" s="1" t="s">
        <v>144</v>
      </c>
      <c r="I27" s="1"/>
      <c r="J27" s="1" t="s">
        <v>145</v>
      </c>
      <c r="K27" s="1"/>
      <c r="L27" s="1"/>
      <c r="M27" s="1" t="s">
        <v>34</v>
      </c>
      <c r="N27" s="1" t="s">
        <v>146</v>
      </c>
      <c r="O27" s="1" t="s">
        <v>147</v>
      </c>
      <c r="P27" s="1" t="s">
        <v>37</v>
      </c>
      <c r="Q27" s="1"/>
      <c r="R27" s="2">
        <v>43788</v>
      </c>
      <c r="S27" s="1"/>
      <c r="U27">
        <v>808</v>
      </c>
      <c r="W27" s="1" t="s">
        <v>38</v>
      </c>
      <c r="X27" s="2">
        <v>43791</v>
      </c>
      <c r="Y27" s="2">
        <v>43790</v>
      </c>
      <c r="Z27" s="2">
        <v>43790</v>
      </c>
      <c r="AA27" s="2"/>
      <c r="AB27" s="2">
        <v>43788</v>
      </c>
      <c r="AC27" s="1"/>
      <c r="AD27">
        <v>2</v>
      </c>
      <c r="AE27">
        <v>436</v>
      </c>
      <c r="AG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8" spans="1:33" x14ac:dyDescent="0.35">
      <c r="A28">
        <v>28</v>
      </c>
      <c r="B28" s="1"/>
      <c r="C28">
        <v>0</v>
      </c>
      <c r="D28" s="1"/>
      <c r="E28" s="1" t="s">
        <v>148</v>
      </c>
      <c r="F28" s="1" t="s">
        <v>30</v>
      </c>
      <c r="G28" s="1" t="s">
        <v>149</v>
      </c>
      <c r="H28" s="1" t="s">
        <v>150</v>
      </c>
      <c r="I28" s="1"/>
      <c r="J28" s="1" t="s">
        <v>151</v>
      </c>
      <c r="K28" s="1"/>
      <c r="L28" s="1"/>
      <c r="M28" s="1" t="s">
        <v>34</v>
      </c>
      <c r="N28" s="1" t="s">
        <v>43</v>
      </c>
      <c r="O28" s="1" t="s">
        <v>44</v>
      </c>
      <c r="P28" s="1" t="s">
        <v>37</v>
      </c>
      <c r="Q28" s="1"/>
      <c r="R28" s="2">
        <v>43789</v>
      </c>
      <c r="S28" s="1"/>
      <c r="U28">
        <v>20000</v>
      </c>
      <c r="W28" s="1" t="s">
        <v>38</v>
      </c>
      <c r="X28" s="2">
        <v>43794</v>
      </c>
      <c r="Y28" s="2">
        <v>43818</v>
      </c>
      <c r="Z28" s="2">
        <v>43803</v>
      </c>
      <c r="AA28" s="2"/>
      <c r="AB28" s="2">
        <v>43789</v>
      </c>
      <c r="AC28" s="1"/>
      <c r="AD28">
        <v>14</v>
      </c>
      <c r="AE28">
        <v>435</v>
      </c>
      <c r="AG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29" spans="1:33" x14ac:dyDescent="0.35">
      <c r="A29">
        <v>29</v>
      </c>
      <c r="B29" s="1"/>
      <c r="C29">
        <v>0</v>
      </c>
      <c r="D29" s="1" t="s">
        <v>152</v>
      </c>
      <c r="E29" s="1"/>
      <c r="F29" s="1" t="s">
        <v>30</v>
      </c>
      <c r="G29" s="1" t="s">
        <v>153</v>
      </c>
      <c r="H29" s="1" t="s">
        <v>154</v>
      </c>
      <c r="I29" s="1"/>
      <c r="J29" s="1" t="s">
        <v>155</v>
      </c>
      <c r="K29" s="1"/>
      <c r="L29" s="1"/>
      <c r="M29" s="1" t="s">
        <v>34</v>
      </c>
      <c r="N29" s="1" t="s">
        <v>129</v>
      </c>
      <c r="O29" s="1" t="s">
        <v>44</v>
      </c>
      <c r="P29" s="1" t="s">
        <v>37</v>
      </c>
      <c r="Q29" s="1"/>
      <c r="R29" s="2">
        <v>43790</v>
      </c>
      <c r="S29" s="1"/>
      <c r="W29" s="1" t="s">
        <v>38</v>
      </c>
      <c r="X29" s="2">
        <v>43798</v>
      </c>
      <c r="Y29" s="2">
        <v>43790</v>
      </c>
      <c r="Z29" s="2">
        <v>43790</v>
      </c>
      <c r="AA29" s="2"/>
      <c r="AB29" s="2">
        <v>43790</v>
      </c>
      <c r="AC29" s="1"/>
      <c r="AD29">
        <v>0</v>
      </c>
      <c r="AE29">
        <v>434</v>
      </c>
      <c r="AG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0" spans="1:33" x14ac:dyDescent="0.35">
      <c r="A30">
        <v>30</v>
      </c>
      <c r="B30" s="1"/>
      <c r="C30">
        <v>0</v>
      </c>
      <c r="D30" s="1" t="s">
        <v>156</v>
      </c>
      <c r="E30" s="1"/>
      <c r="F30" s="1" t="s">
        <v>30</v>
      </c>
      <c r="G30" s="1" t="s">
        <v>157</v>
      </c>
      <c r="H30" s="1" t="s">
        <v>158</v>
      </c>
      <c r="I30" s="1" t="s">
        <v>159</v>
      </c>
      <c r="J30" s="1" t="s">
        <v>160</v>
      </c>
      <c r="K30" s="1"/>
      <c r="L30" s="1"/>
      <c r="M30" s="1" t="s">
        <v>117</v>
      </c>
      <c r="N30" s="1" t="s">
        <v>97</v>
      </c>
      <c r="O30" s="1" t="s">
        <v>98</v>
      </c>
      <c r="P30" s="1" t="s">
        <v>99</v>
      </c>
      <c r="Q30" s="1"/>
      <c r="R30" s="2">
        <v>43796</v>
      </c>
      <c r="S30" s="1"/>
      <c r="W30" s="1" t="s">
        <v>38</v>
      </c>
      <c r="X30" s="2">
        <v>43805</v>
      </c>
      <c r="Y30" s="2">
        <v>43818</v>
      </c>
      <c r="Z30" s="2">
        <v>43816</v>
      </c>
      <c r="AA30" s="2">
        <v>43801</v>
      </c>
      <c r="AB30" s="2">
        <v>43796</v>
      </c>
      <c r="AC30" s="1"/>
      <c r="AD30">
        <v>20</v>
      </c>
      <c r="AE30">
        <v>428</v>
      </c>
      <c r="AG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31" spans="1:33" x14ac:dyDescent="0.35">
      <c r="A31">
        <v>31</v>
      </c>
      <c r="B31" s="1"/>
      <c r="C31">
        <v>0</v>
      </c>
      <c r="D31" s="1"/>
      <c r="E31" s="1"/>
      <c r="F31" s="1" t="s">
        <v>30</v>
      </c>
      <c r="G31" s="1" t="s">
        <v>161</v>
      </c>
      <c r="H31" s="1" t="s">
        <v>162</v>
      </c>
      <c r="I31" s="1"/>
      <c r="J31" s="1" t="s">
        <v>163</v>
      </c>
      <c r="K31" s="1"/>
      <c r="L31" s="1"/>
      <c r="M31" s="1" t="s">
        <v>34</v>
      </c>
      <c r="N31" s="1" t="s">
        <v>35</v>
      </c>
      <c r="O31" s="1" t="s">
        <v>36</v>
      </c>
      <c r="P31" s="1" t="s">
        <v>164</v>
      </c>
      <c r="Q31" s="1"/>
      <c r="R31" s="2">
        <v>43802</v>
      </c>
      <c r="S31" s="1"/>
      <c r="W31" s="1" t="s">
        <v>38</v>
      </c>
      <c r="X31" s="2">
        <v>43809</v>
      </c>
      <c r="Y31" s="2">
        <v>43818</v>
      </c>
      <c r="Z31" s="2"/>
      <c r="AA31" s="2">
        <v>43817</v>
      </c>
      <c r="AB31" s="2">
        <v>43802</v>
      </c>
      <c r="AC31" s="1"/>
      <c r="AE31">
        <v>422</v>
      </c>
      <c r="AG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2" spans="1:33" x14ac:dyDescent="0.35">
      <c r="A32">
        <v>32</v>
      </c>
      <c r="B32" s="1"/>
      <c r="C32">
        <v>0</v>
      </c>
      <c r="D32" s="1"/>
      <c r="E32" s="1"/>
      <c r="F32" s="1" t="s">
        <v>30</v>
      </c>
      <c r="G32" s="1" t="s">
        <v>165</v>
      </c>
      <c r="H32" s="1" t="s">
        <v>166</v>
      </c>
      <c r="I32" s="1"/>
      <c r="J32" s="1" t="s">
        <v>167</v>
      </c>
      <c r="K32" s="1"/>
      <c r="L32" s="1"/>
      <c r="M32" s="1" t="s">
        <v>34</v>
      </c>
      <c r="N32" s="1" t="s">
        <v>43</v>
      </c>
      <c r="O32" s="1" t="s">
        <v>44</v>
      </c>
      <c r="P32" s="1" t="s">
        <v>37</v>
      </c>
      <c r="Q32" s="1"/>
      <c r="R32" s="2">
        <v>43805</v>
      </c>
      <c r="S32" s="1"/>
      <c r="W32" s="1" t="s">
        <v>38</v>
      </c>
      <c r="X32" s="2">
        <v>43812</v>
      </c>
      <c r="Y32" s="2">
        <v>43816</v>
      </c>
      <c r="Z32" s="2">
        <v>43811</v>
      </c>
      <c r="AA32" s="2"/>
      <c r="AB32" s="2">
        <v>43805</v>
      </c>
      <c r="AC32" s="1"/>
      <c r="AD32">
        <v>6</v>
      </c>
      <c r="AE32">
        <v>419</v>
      </c>
      <c r="AG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3" spans="1:33" x14ac:dyDescent="0.35">
      <c r="A33">
        <v>33</v>
      </c>
      <c r="B33" s="1"/>
      <c r="C33">
        <v>0</v>
      </c>
      <c r="D33" s="1"/>
      <c r="E33" s="1"/>
      <c r="F33" s="1" t="s">
        <v>30</v>
      </c>
      <c r="G33" s="1" t="s">
        <v>168</v>
      </c>
      <c r="H33" s="1" t="s">
        <v>169</v>
      </c>
      <c r="I33" s="1"/>
      <c r="J33" s="1" t="s">
        <v>170</v>
      </c>
      <c r="K33" s="1"/>
      <c r="L33" s="1"/>
      <c r="M33" s="1" t="s">
        <v>34</v>
      </c>
      <c r="N33" s="1" t="s">
        <v>79</v>
      </c>
      <c r="O33" s="1" t="s">
        <v>80</v>
      </c>
      <c r="P33" s="1" t="s">
        <v>164</v>
      </c>
      <c r="Q33" s="1"/>
      <c r="R33" s="2">
        <v>43805</v>
      </c>
      <c r="S33" s="1"/>
      <c r="W33" s="1" t="s">
        <v>38</v>
      </c>
      <c r="X33" s="2">
        <v>43812</v>
      </c>
      <c r="Y33" s="2">
        <v>43811</v>
      </c>
      <c r="Z33" s="2"/>
      <c r="AA33" s="2">
        <v>43810</v>
      </c>
      <c r="AB33" s="2">
        <v>43805</v>
      </c>
      <c r="AC33" s="1"/>
      <c r="AE33">
        <v>419</v>
      </c>
      <c r="AG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4" spans="1:33" x14ac:dyDescent="0.35">
      <c r="A34">
        <v>34</v>
      </c>
      <c r="B34" s="1"/>
      <c r="C34">
        <v>0</v>
      </c>
      <c r="D34" s="1"/>
      <c r="E34" s="1"/>
      <c r="F34" s="1" t="s">
        <v>30</v>
      </c>
      <c r="G34" s="1" t="s">
        <v>171</v>
      </c>
      <c r="H34" s="1" t="s">
        <v>172</v>
      </c>
      <c r="I34" s="1"/>
      <c r="J34" s="1" t="s">
        <v>173</v>
      </c>
      <c r="K34" s="1"/>
      <c r="L34" s="1"/>
      <c r="M34" s="1" t="s">
        <v>34</v>
      </c>
      <c r="N34" s="1" t="s">
        <v>79</v>
      </c>
      <c r="O34" s="1" t="s">
        <v>80</v>
      </c>
      <c r="P34" s="1" t="s">
        <v>164</v>
      </c>
      <c r="Q34" s="1"/>
      <c r="R34" s="2">
        <v>43805</v>
      </c>
      <c r="S34" s="1"/>
      <c r="W34" s="1" t="s">
        <v>38</v>
      </c>
      <c r="X34" s="2">
        <v>43812</v>
      </c>
      <c r="Y34" s="2">
        <v>43811</v>
      </c>
      <c r="Z34" s="2"/>
      <c r="AA34" s="2">
        <v>43810</v>
      </c>
      <c r="AB34" s="2">
        <v>43805</v>
      </c>
      <c r="AC34" s="1"/>
      <c r="AE34">
        <v>419</v>
      </c>
      <c r="AG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5" spans="1:33" x14ac:dyDescent="0.35">
      <c r="A35">
        <v>35</v>
      </c>
      <c r="B35" s="1"/>
      <c r="C35">
        <v>0</v>
      </c>
      <c r="D35" s="1"/>
      <c r="E35" s="1"/>
      <c r="F35" s="1" t="s">
        <v>30</v>
      </c>
      <c r="G35" s="1" t="s">
        <v>174</v>
      </c>
      <c r="H35" s="1" t="s">
        <v>175</v>
      </c>
      <c r="I35" s="1"/>
      <c r="J35" s="1" t="s">
        <v>176</v>
      </c>
      <c r="K35" s="1"/>
      <c r="L35" s="1"/>
      <c r="M35" s="1" t="s">
        <v>34</v>
      </c>
      <c r="N35" s="1" t="s">
        <v>79</v>
      </c>
      <c r="O35" s="1" t="s">
        <v>80</v>
      </c>
      <c r="P35" s="1" t="s">
        <v>164</v>
      </c>
      <c r="Q35" s="1"/>
      <c r="R35" s="2">
        <v>43805</v>
      </c>
      <c r="S35" s="1"/>
      <c r="W35" s="1" t="s">
        <v>38</v>
      </c>
      <c r="X35" s="2">
        <v>43812</v>
      </c>
      <c r="Y35" s="2">
        <v>43811</v>
      </c>
      <c r="Z35" s="2"/>
      <c r="AA35" s="2">
        <v>43810</v>
      </c>
      <c r="AB35" s="2">
        <v>43805</v>
      </c>
      <c r="AC35" s="1"/>
      <c r="AE35">
        <v>419</v>
      </c>
      <c r="AG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6" spans="1:33" x14ac:dyDescent="0.35">
      <c r="A36">
        <v>36</v>
      </c>
      <c r="B36" s="1"/>
      <c r="C36">
        <v>0</v>
      </c>
      <c r="D36" s="1"/>
      <c r="E36" s="1"/>
      <c r="F36" s="1" t="s">
        <v>30</v>
      </c>
      <c r="G36" s="1" t="s">
        <v>177</v>
      </c>
      <c r="H36" s="1" t="s">
        <v>178</v>
      </c>
      <c r="I36" s="1"/>
      <c r="J36" s="1" t="s">
        <v>179</v>
      </c>
      <c r="K36" s="1"/>
      <c r="L36" s="1"/>
      <c r="M36" s="1" t="s">
        <v>34</v>
      </c>
      <c r="N36" s="1" t="s">
        <v>79</v>
      </c>
      <c r="O36" s="1" t="s">
        <v>80</v>
      </c>
      <c r="P36" s="1" t="s">
        <v>164</v>
      </c>
      <c r="Q36" s="1"/>
      <c r="R36" s="2">
        <v>43805</v>
      </c>
      <c r="S36" s="1"/>
      <c r="W36" s="1" t="s">
        <v>38</v>
      </c>
      <c r="X36" s="2">
        <v>43812</v>
      </c>
      <c r="Y36" s="2">
        <v>43811</v>
      </c>
      <c r="Z36" s="2"/>
      <c r="AA36" s="2">
        <v>43810</v>
      </c>
      <c r="AB36" s="2">
        <v>43805</v>
      </c>
      <c r="AC36" s="1"/>
      <c r="AE36">
        <v>419</v>
      </c>
      <c r="AG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 spans="1:33" x14ac:dyDescent="0.35">
      <c r="A37">
        <v>37</v>
      </c>
      <c r="B37" s="1"/>
      <c r="C37">
        <v>0</v>
      </c>
      <c r="D37" s="1"/>
      <c r="E37" s="1"/>
      <c r="F37" s="1" t="s">
        <v>30</v>
      </c>
      <c r="G37" s="1" t="s">
        <v>180</v>
      </c>
      <c r="H37" s="1" t="s">
        <v>181</v>
      </c>
      <c r="I37" s="1"/>
      <c r="J37" s="1" t="s">
        <v>182</v>
      </c>
      <c r="K37" s="1"/>
      <c r="L37" s="1"/>
      <c r="M37" s="1" t="s">
        <v>34</v>
      </c>
      <c r="N37" s="1" t="s">
        <v>79</v>
      </c>
      <c r="O37" s="1" t="s">
        <v>80</v>
      </c>
      <c r="P37" s="1" t="s">
        <v>164</v>
      </c>
      <c r="Q37" s="1"/>
      <c r="R37" s="2">
        <v>43805</v>
      </c>
      <c r="S37" s="1"/>
      <c r="W37" s="1" t="s">
        <v>38</v>
      </c>
      <c r="X37" s="2">
        <v>43812</v>
      </c>
      <c r="Y37" s="2">
        <v>43811</v>
      </c>
      <c r="Z37" s="2"/>
      <c r="AA37" s="2">
        <v>43811</v>
      </c>
      <c r="AB37" s="2">
        <v>43805</v>
      </c>
      <c r="AC37" s="1"/>
      <c r="AE37">
        <v>419</v>
      </c>
      <c r="AG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 spans="1:33" x14ac:dyDescent="0.35">
      <c r="A38">
        <v>38</v>
      </c>
      <c r="B38" s="1"/>
      <c r="C38">
        <v>0</v>
      </c>
      <c r="D38" s="1" t="s">
        <v>183</v>
      </c>
      <c r="E38" s="1" t="s">
        <v>184</v>
      </c>
      <c r="F38" s="1" t="s">
        <v>30</v>
      </c>
      <c r="G38" s="1" t="s">
        <v>185</v>
      </c>
      <c r="H38" s="1" t="s">
        <v>186</v>
      </c>
      <c r="I38" s="1" t="s">
        <v>187</v>
      </c>
      <c r="J38" s="1" t="s">
        <v>188</v>
      </c>
      <c r="K38" s="1"/>
      <c r="L38" s="1"/>
      <c r="M38" s="1" t="s">
        <v>34</v>
      </c>
      <c r="N38" s="1" t="s">
        <v>129</v>
      </c>
      <c r="O38" s="1" t="s">
        <v>44</v>
      </c>
      <c r="P38" s="1" t="s">
        <v>99</v>
      </c>
      <c r="Q38" s="1"/>
      <c r="R38" s="2">
        <v>43808</v>
      </c>
      <c r="S38" s="1"/>
      <c r="W38" s="1" t="s">
        <v>38</v>
      </c>
      <c r="X38" s="2">
        <v>43815</v>
      </c>
      <c r="Y38" s="2">
        <v>43819</v>
      </c>
      <c r="Z38" s="2">
        <v>43819</v>
      </c>
      <c r="AA38" s="2">
        <v>43810</v>
      </c>
      <c r="AB38" s="2">
        <v>43808</v>
      </c>
      <c r="AC38" s="1"/>
      <c r="AD38">
        <v>11</v>
      </c>
      <c r="AE38">
        <v>416</v>
      </c>
      <c r="AG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9" spans="1:33" x14ac:dyDescent="0.35">
      <c r="A39">
        <v>39</v>
      </c>
      <c r="B39" s="1"/>
      <c r="C39">
        <v>0</v>
      </c>
      <c r="D39" s="1"/>
      <c r="E39" s="1"/>
      <c r="F39" s="1" t="s">
        <v>30</v>
      </c>
      <c r="G39" s="1" t="s">
        <v>189</v>
      </c>
      <c r="H39" s="1" t="s">
        <v>190</v>
      </c>
      <c r="I39" s="1"/>
      <c r="J39" s="1" t="s">
        <v>191</v>
      </c>
      <c r="K39" s="1"/>
      <c r="L39" s="1"/>
      <c r="M39" s="1" t="s">
        <v>34</v>
      </c>
      <c r="N39" s="1" t="s">
        <v>192</v>
      </c>
      <c r="O39" s="1" t="s">
        <v>193</v>
      </c>
      <c r="P39" s="1" t="s">
        <v>37</v>
      </c>
      <c r="Q39" s="1"/>
      <c r="R39" s="2">
        <v>43809</v>
      </c>
      <c r="S39" s="1"/>
      <c r="W39" s="1" t="s">
        <v>38</v>
      </c>
      <c r="X39" s="2">
        <v>43816</v>
      </c>
      <c r="Y39" s="2">
        <v>43818</v>
      </c>
      <c r="Z39" s="2">
        <v>43812</v>
      </c>
      <c r="AA39" s="2">
        <v>43812</v>
      </c>
      <c r="AB39" s="2">
        <v>43809</v>
      </c>
      <c r="AC39" s="1"/>
      <c r="AD39">
        <v>3</v>
      </c>
      <c r="AE39">
        <v>415</v>
      </c>
      <c r="AG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0" spans="1:33" x14ac:dyDescent="0.35">
      <c r="A40">
        <v>40</v>
      </c>
      <c r="B40" s="1"/>
      <c r="C40">
        <v>0</v>
      </c>
      <c r="D40" s="1"/>
      <c r="E40" s="1"/>
      <c r="F40" s="1" t="s">
        <v>30</v>
      </c>
      <c r="G40" s="1" t="s">
        <v>194</v>
      </c>
      <c r="H40" s="1" t="s">
        <v>195</v>
      </c>
      <c r="I40" s="1"/>
      <c r="J40" s="1" t="s">
        <v>196</v>
      </c>
      <c r="K40" s="1"/>
      <c r="L40" s="1"/>
      <c r="M40" s="1" t="s">
        <v>197</v>
      </c>
      <c r="N40" s="1" t="s">
        <v>198</v>
      </c>
      <c r="O40" s="1" t="s">
        <v>199</v>
      </c>
      <c r="P40" s="1" t="s">
        <v>200</v>
      </c>
      <c r="Q40" s="1"/>
      <c r="R40" s="2">
        <v>43809</v>
      </c>
      <c r="S40" s="1"/>
      <c r="W40" s="1" t="s">
        <v>38</v>
      </c>
      <c r="X40" s="2">
        <v>43812</v>
      </c>
      <c r="Y40" s="2">
        <v>43817</v>
      </c>
      <c r="Z40" s="2">
        <v>43812</v>
      </c>
      <c r="AA40" s="2">
        <v>43810</v>
      </c>
      <c r="AB40" s="2">
        <v>43809</v>
      </c>
      <c r="AC40" s="1"/>
      <c r="AD40">
        <v>3</v>
      </c>
      <c r="AE40">
        <v>415</v>
      </c>
      <c r="AG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1" spans="1:33" x14ac:dyDescent="0.35">
      <c r="A41">
        <v>41</v>
      </c>
      <c r="B41" s="1"/>
      <c r="C41">
        <v>0</v>
      </c>
      <c r="D41" s="1" t="s">
        <v>201</v>
      </c>
      <c r="E41" s="1"/>
      <c r="F41" s="1" t="s">
        <v>30</v>
      </c>
      <c r="G41" s="1" t="s">
        <v>202</v>
      </c>
      <c r="H41" s="1" t="s">
        <v>203</v>
      </c>
      <c r="I41" s="1" t="s">
        <v>204</v>
      </c>
      <c r="J41" s="1" t="s">
        <v>205</v>
      </c>
      <c r="K41" s="1"/>
      <c r="L41" s="1"/>
      <c r="M41" s="1" t="s">
        <v>34</v>
      </c>
      <c r="N41" s="1" t="s">
        <v>129</v>
      </c>
      <c r="O41" s="1" t="s">
        <v>44</v>
      </c>
      <c r="P41" s="1" t="s">
        <v>99</v>
      </c>
      <c r="Q41" s="1"/>
      <c r="R41" s="2">
        <v>43809</v>
      </c>
      <c r="S41" s="1"/>
      <c r="W41" s="1" t="s">
        <v>38</v>
      </c>
      <c r="X41" s="2">
        <v>43816</v>
      </c>
      <c r="Y41" s="2">
        <v>43819</v>
      </c>
      <c r="Z41" s="2">
        <v>43818</v>
      </c>
      <c r="AA41" s="2">
        <v>43810</v>
      </c>
      <c r="AB41" s="2">
        <v>43809</v>
      </c>
      <c r="AC41" s="1"/>
      <c r="AD41">
        <v>9</v>
      </c>
      <c r="AE41">
        <v>415</v>
      </c>
      <c r="AG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2" spans="1:33" x14ac:dyDescent="0.35">
      <c r="A42">
        <v>42</v>
      </c>
      <c r="B42" s="1"/>
      <c r="C42">
        <v>0</v>
      </c>
      <c r="D42" s="1" t="s">
        <v>206</v>
      </c>
      <c r="E42" s="1" t="s">
        <v>207</v>
      </c>
      <c r="F42" s="1" t="s">
        <v>30</v>
      </c>
      <c r="G42" s="1" t="s">
        <v>208</v>
      </c>
      <c r="H42" s="1" t="s">
        <v>209</v>
      </c>
      <c r="I42" s="1" t="s">
        <v>210</v>
      </c>
      <c r="J42" s="1" t="s">
        <v>211</v>
      </c>
      <c r="K42" s="1"/>
      <c r="L42" s="1"/>
      <c r="M42" s="1" t="s">
        <v>34</v>
      </c>
      <c r="N42" s="1" t="s">
        <v>129</v>
      </c>
      <c r="O42" s="1" t="s">
        <v>44</v>
      </c>
      <c r="P42" s="1" t="s">
        <v>99</v>
      </c>
      <c r="Q42" s="1"/>
      <c r="R42" s="2">
        <v>43812</v>
      </c>
      <c r="S42" s="1"/>
      <c r="W42" s="1" t="s">
        <v>38</v>
      </c>
      <c r="X42" s="2">
        <v>43819</v>
      </c>
      <c r="Y42" s="2">
        <v>43830</v>
      </c>
      <c r="Z42" s="2">
        <v>43829</v>
      </c>
      <c r="AA42" s="2">
        <v>43812</v>
      </c>
      <c r="AB42" s="2">
        <v>43812</v>
      </c>
      <c r="AC42" s="1"/>
      <c r="AD42">
        <v>17</v>
      </c>
      <c r="AE42">
        <v>412</v>
      </c>
      <c r="AG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3" spans="1:33" x14ac:dyDescent="0.35">
      <c r="A43">
        <v>43</v>
      </c>
      <c r="B43" s="1"/>
      <c r="C43">
        <v>0</v>
      </c>
      <c r="D43" s="1" t="s">
        <v>206</v>
      </c>
      <c r="E43" s="1" t="s">
        <v>212</v>
      </c>
      <c r="F43" s="1" t="s">
        <v>30</v>
      </c>
      <c r="G43" s="1" t="s">
        <v>213</v>
      </c>
      <c r="H43" s="1" t="s">
        <v>214</v>
      </c>
      <c r="I43" s="1" t="s">
        <v>215</v>
      </c>
      <c r="J43" s="1" t="s">
        <v>216</v>
      </c>
      <c r="K43" s="1"/>
      <c r="L43" s="1"/>
      <c r="M43" s="1" t="s">
        <v>34</v>
      </c>
      <c r="N43" s="1" t="s">
        <v>129</v>
      </c>
      <c r="O43" s="1" t="s">
        <v>44</v>
      </c>
      <c r="P43" s="1" t="s">
        <v>99</v>
      </c>
      <c r="Q43" s="1"/>
      <c r="R43" s="2">
        <v>43812</v>
      </c>
      <c r="S43" s="1"/>
      <c r="W43" s="1" t="s">
        <v>38</v>
      </c>
      <c r="X43" s="2">
        <v>43819</v>
      </c>
      <c r="Y43" s="2">
        <v>43819</v>
      </c>
      <c r="Z43" s="2">
        <v>43818</v>
      </c>
      <c r="AA43" s="2">
        <v>43812</v>
      </c>
      <c r="AB43" s="2">
        <v>43812</v>
      </c>
      <c r="AC43" s="1"/>
      <c r="AD43">
        <v>6</v>
      </c>
      <c r="AE43">
        <v>412</v>
      </c>
      <c r="AG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 spans="1:33" x14ac:dyDescent="0.35">
      <c r="A44">
        <v>44</v>
      </c>
      <c r="B44" s="1"/>
      <c r="C44">
        <v>0</v>
      </c>
      <c r="D44" s="1" t="s">
        <v>206</v>
      </c>
      <c r="E44" s="1" t="s">
        <v>217</v>
      </c>
      <c r="F44" s="1" t="s">
        <v>30</v>
      </c>
      <c r="G44" s="1" t="s">
        <v>218</v>
      </c>
      <c r="H44" s="1" t="s">
        <v>219</v>
      </c>
      <c r="I44" s="1" t="s">
        <v>220</v>
      </c>
      <c r="J44" s="1" t="s">
        <v>221</v>
      </c>
      <c r="K44" s="1"/>
      <c r="L44" s="1"/>
      <c r="M44" s="1" t="s">
        <v>34</v>
      </c>
      <c r="N44" s="1" t="s">
        <v>129</v>
      </c>
      <c r="O44" s="1" t="s">
        <v>44</v>
      </c>
      <c r="P44" s="1" t="s">
        <v>37</v>
      </c>
      <c r="Q44" s="1"/>
      <c r="R44" s="2">
        <v>43812</v>
      </c>
      <c r="S44" s="1"/>
      <c r="W44" s="1" t="s">
        <v>38</v>
      </c>
      <c r="X44" s="2">
        <v>43819</v>
      </c>
      <c r="Y44" s="2">
        <v>43832</v>
      </c>
      <c r="Z44" s="2">
        <v>43832</v>
      </c>
      <c r="AA44" s="2">
        <v>43830</v>
      </c>
      <c r="AB44" s="2">
        <v>43812</v>
      </c>
      <c r="AC44" s="1"/>
      <c r="AD44">
        <v>20</v>
      </c>
      <c r="AE44">
        <v>412</v>
      </c>
      <c r="AG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45" spans="1:33" x14ac:dyDescent="0.35">
      <c r="A45">
        <v>45</v>
      </c>
      <c r="B45" s="1"/>
      <c r="C45">
        <v>1</v>
      </c>
      <c r="D45" s="1" t="s">
        <v>206</v>
      </c>
      <c r="E45" s="1" t="s">
        <v>207</v>
      </c>
      <c r="F45" s="1" t="s">
        <v>30</v>
      </c>
      <c r="G45" s="1" t="s">
        <v>222</v>
      </c>
      <c r="H45" s="1" t="s">
        <v>223</v>
      </c>
      <c r="I45" s="1" t="s">
        <v>224</v>
      </c>
      <c r="J45" s="1" t="s">
        <v>225</v>
      </c>
      <c r="K45" s="1"/>
      <c r="L45" s="1"/>
      <c r="M45" s="1" t="s">
        <v>34</v>
      </c>
      <c r="N45" s="1" t="s">
        <v>129</v>
      </c>
      <c r="O45" s="1" t="s">
        <v>44</v>
      </c>
      <c r="P45" s="1" t="s">
        <v>99</v>
      </c>
      <c r="Q45" s="1"/>
      <c r="R45" s="2">
        <v>43812</v>
      </c>
      <c r="S45" s="1"/>
      <c r="W45" s="1" t="s">
        <v>38</v>
      </c>
      <c r="X45" s="2">
        <v>43819</v>
      </c>
      <c r="Y45" s="2">
        <v>43830</v>
      </c>
      <c r="Z45" s="2">
        <v>43829</v>
      </c>
      <c r="AA45" s="2">
        <v>43812</v>
      </c>
      <c r="AB45" s="2">
        <v>43812</v>
      </c>
      <c r="AC45" s="1"/>
      <c r="AD45">
        <v>17</v>
      </c>
      <c r="AE45">
        <v>412</v>
      </c>
      <c r="AG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6" spans="1:33" x14ac:dyDescent="0.35">
      <c r="A46">
        <v>46</v>
      </c>
      <c r="B46" s="1"/>
      <c r="C46">
        <v>0</v>
      </c>
      <c r="D46" s="1" t="s">
        <v>206</v>
      </c>
      <c r="E46" s="1" t="s">
        <v>226</v>
      </c>
      <c r="F46" s="1" t="s">
        <v>30</v>
      </c>
      <c r="G46" s="1" t="s">
        <v>227</v>
      </c>
      <c r="H46" s="1" t="s">
        <v>228</v>
      </c>
      <c r="I46" s="1" t="s">
        <v>229</v>
      </c>
      <c r="J46" s="1" t="s">
        <v>230</v>
      </c>
      <c r="K46" s="1"/>
      <c r="L46" s="1"/>
      <c r="M46" s="1" t="s">
        <v>34</v>
      </c>
      <c r="N46" s="1" t="s">
        <v>129</v>
      </c>
      <c r="O46" s="1" t="s">
        <v>44</v>
      </c>
      <c r="P46" s="1" t="s">
        <v>37</v>
      </c>
      <c r="Q46" s="1"/>
      <c r="R46" s="2">
        <v>43833</v>
      </c>
      <c r="S46" s="1"/>
      <c r="W46" s="1" t="s">
        <v>38</v>
      </c>
      <c r="X46" s="2">
        <v>43840</v>
      </c>
      <c r="Y46" s="2">
        <v>43838</v>
      </c>
      <c r="Z46" s="2">
        <v>43837</v>
      </c>
      <c r="AA46" s="2">
        <v>43836</v>
      </c>
      <c r="AB46" s="2">
        <v>43812</v>
      </c>
      <c r="AC46" s="1"/>
      <c r="AD46">
        <v>25</v>
      </c>
      <c r="AE46">
        <v>412</v>
      </c>
      <c r="AG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47" spans="1:33" x14ac:dyDescent="0.35">
      <c r="A47">
        <v>47</v>
      </c>
      <c r="B47" s="1"/>
      <c r="C47">
        <v>0</v>
      </c>
      <c r="D47" s="1" t="s">
        <v>206</v>
      </c>
      <c r="E47" s="1" t="s">
        <v>231</v>
      </c>
      <c r="F47" s="1" t="s">
        <v>30</v>
      </c>
      <c r="G47" s="1" t="s">
        <v>232</v>
      </c>
      <c r="H47" s="1" t="s">
        <v>233</v>
      </c>
      <c r="I47" s="1" t="s">
        <v>234</v>
      </c>
      <c r="J47" s="1" t="s">
        <v>235</v>
      </c>
      <c r="K47" s="1"/>
      <c r="L47" s="1"/>
      <c r="M47" s="1" t="s">
        <v>34</v>
      </c>
      <c r="N47" s="1" t="s">
        <v>164</v>
      </c>
      <c r="O47" s="1"/>
      <c r="P47" s="1" t="s">
        <v>37</v>
      </c>
      <c r="Q47" s="1"/>
      <c r="R47" s="2">
        <v>43812</v>
      </c>
      <c r="S47" s="1"/>
      <c r="W47" s="1" t="s">
        <v>38</v>
      </c>
      <c r="X47" s="2">
        <v>43819</v>
      </c>
      <c r="Y47" s="2">
        <v>43830</v>
      </c>
      <c r="Z47" s="2">
        <v>43830</v>
      </c>
      <c r="AA47" s="2">
        <v>43829</v>
      </c>
      <c r="AB47" s="2">
        <v>43812</v>
      </c>
      <c r="AC47" s="1"/>
      <c r="AD47">
        <v>18</v>
      </c>
      <c r="AE47">
        <v>412</v>
      </c>
      <c r="AG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8" spans="1:33" x14ac:dyDescent="0.35">
      <c r="A48">
        <v>48</v>
      </c>
      <c r="B48" s="1"/>
      <c r="C48">
        <v>0</v>
      </c>
      <c r="D48" s="1" t="s">
        <v>236</v>
      </c>
      <c r="E48" s="1" t="s">
        <v>237</v>
      </c>
      <c r="F48" s="1" t="s">
        <v>30</v>
      </c>
      <c r="G48" s="1" t="s">
        <v>238</v>
      </c>
      <c r="H48" s="1" t="s">
        <v>239</v>
      </c>
      <c r="I48" s="1" t="s">
        <v>240</v>
      </c>
      <c r="J48" s="1" t="s">
        <v>241</v>
      </c>
      <c r="K48" s="1"/>
      <c r="L48" s="1"/>
      <c r="M48" s="1" t="s">
        <v>34</v>
      </c>
      <c r="N48" s="1" t="s">
        <v>164</v>
      </c>
      <c r="O48" s="1"/>
      <c r="P48" s="1" t="s">
        <v>99</v>
      </c>
      <c r="Q48" s="1"/>
      <c r="R48" s="2">
        <v>43812</v>
      </c>
      <c r="S48" s="1"/>
      <c r="W48" s="1" t="s">
        <v>38</v>
      </c>
      <c r="X48" s="2">
        <v>43819</v>
      </c>
      <c r="Y48" s="2">
        <v>43829</v>
      </c>
      <c r="Z48" s="2">
        <v>43818</v>
      </c>
      <c r="AA48" s="2">
        <v>43815</v>
      </c>
      <c r="AB48" s="2">
        <v>43812</v>
      </c>
      <c r="AC48" s="1"/>
      <c r="AD48">
        <v>6</v>
      </c>
      <c r="AE48">
        <v>412</v>
      </c>
      <c r="AG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9" spans="1:33" x14ac:dyDescent="0.35">
      <c r="A49">
        <v>49</v>
      </c>
      <c r="B49" s="1"/>
      <c r="C49">
        <v>0</v>
      </c>
      <c r="D49" s="1"/>
      <c r="E49" s="1"/>
      <c r="F49" s="1" t="s">
        <v>30</v>
      </c>
      <c r="G49" s="1" t="s">
        <v>242</v>
      </c>
      <c r="H49" s="1" t="s">
        <v>243</v>
      </c>
      <c r="I49" s="1"/>
      <c r="J49" s="1" t="s">
        <v>244</v>
      </c>
      <c r="K49" s="1"/>
      <c r="L49" s="1"/>
      <c r="M49" s="1" t="s">
        <v>34</v>
      </c>
      <c r="N49" s="1" t="s">
        <v>245</v>
      </c>
      <c r="O49" s="1" t="s">
        <v>147</v>
      </c>
      <c r="P49" s="1" t="s">
        <v>37</v>
      </c>
      <c r="Q49" s="1"/>
      <c r="R49" s="2">
        <v>43833</v>
      </c>
      <c r="S49" s="1"/>
      <c r="W49" s="1" t="s">
        <v>38</v>
      </c>
      <c r="X49" s="2">
        <v>43819</v>
      </c>
      <c r="Y49" s="2">
        <v>43833</v>
      </c>
      <c r="Z49" s="2">
        <v>43819</v>
      </c>
      <c r="AA49" s="2">
        <v>43815</v>
      </c>
      <c r="AB49" s="2">
        <v>43812</v>
      </c>
      <c r="AC49" s="1"/>
      <c r="AD49">
        <v>7</v>
      </c>
      <c r="AE49">
        <v>412</v>
      </c>
      <c r="AG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50" spans="1:33" x14ac:dyDescent="0.35">
      <c r="A50">
        <v>50</v>
      </c>
      <c r="B50" s="1"/>
      <c r="C50">
        <v>0</v>
      </c>
      <c r="D50" s="1"/>
      <c r="E50" s="1" t="s">
        <v>246</v>
      </c>
      <c r="F50" s="1" t="s">
        <v>30</v>
      </c>
      <c r="G50" s="1" t="s">
        <v>247</v>
      </c>
      <c r="H50" s="1" t="s">
        <v>248</v>
      </c>
      <c r="I50" s="1"/>
      <c r="J50" s="1" t="s">
        <v>249</v>
      </c>
      <c r="K50" s="1"/>
      <c r="L50" s="1"/>
      <c r="M50" s="1" t="s">
        <v>34</v>
      </c>
      <c r="N50" s="1" t="s">
        <v>192</v>
      </c>
      <c r="O50" s="1" t="s">
        <v>193</v>
      </c>
      <c r="P50" s="1" t="s">
        <v>37</v>
      </c>
      <c r="Q50" s="1"/>
      <c r="R50" s="2">
        <v>43812</v>
      </c>
      <c r="S50" s="1"/>
      <c r="W50" s="1" t="s">
        <v>38</v>
      </c>
      <c r="X50" s="2">
        <v>43819</v>
      </c>
      <c r="Y50" s="2">
        <v>43839</v>
      </c>
      <c r="Z50" s="2">
        <v>43838</v>
      </c>
      <c r="AA50" s="2"/>
      <c r="AB50" s="2">
        <v>43812</v>
      </c>
      <c r="AC50" s="1"/>
      <c r="AD50">
        <v>26</v>
      </c>
      <c r="AE50">
        <v>412</v>
      </c>
      <c r="AG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51" spans="1:33" x14ac:dyDescent="0.35">
      <c r="A51">
        <v>51</v>
      </c>
      <c r="B51" s="1"/>
      <c r="C51">
        <v>0</v>
      </c>
      <c r="D51" s="1"/>
      <c r="E51" s="1" t="s">
        <v>250</v>
      </c>
      <c r="F51" s="1" t="s">
        <v>30</v>
      </c>
      <c r="G51" s="1" t="s">
        <v>251</v>
      </c>
      <c r="H51" s="1" t="s">
        <v>252</v>
      </c>
      <c r="I51" s="1"/>
      <c r="J51" s="1" t="s">
        <v>253</v>
      </c>
      <c r="K51" s="1"/>
      <c r="L51" s="1"/>
      <c r="M51" s="1" t="s">
        <v>34</v>
      </c>
      <c r="N51" s="1" t="s">
        <v>192</v>
      </c>
      <c r="O51" s="1" t="s">
        <v>193</v>
      </c>
      <c r="P51" s="1" t="s">
        <v>37</v>
      </c>
      <c r="Q51" s="1"/>
      <c r="R51" s="2">
        <v>43812</v>
      </c>
      <c r="S51" s="1"/>
      <c r="W51" s="1" t="s">
        <v>38</v>
      </c>
      <c r="X51" s="2">
        <v>43819</v>
      </c>
      <c r="Y51" s="2">
        <v>43818</v>
      </c>
      <c r="Z51" s="2">
        <v>43817</v>
      </c>
      <c r="AA51" s="2"/>
      <c r="AB51" s="2">
        <v>43812</v>
      </c>
      <c r="AC51" s="1"/>
      <c r="AD51">
        <v>5</v>
      </c>
      <c r="AE51">
        <v>412</v>
      </c>
      <c r="AG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2" spans="1:33" x14ac:dyDescent="0.35">
      <c r="A52">
        <v>52</v>
      </c>
      <c r="B52" s="1"/>
      <c r="C52">
        <v>0</v>
      </c>
      <c r="D52" s="1"/>
      <c r="E52" s="1" t="s">
        <v>254</v>
      </c>
      <c r="F52" s="1" t="s">
        <v>30</v>
      </c>
      <c r="G52" s="1" t="s">
        <v>255</v>
      </c>
      <c r="H52" s="1" t="s">
        <v>256</v>
      </c>
      <c r="I52" s="1"/>
      <c r="J52" s="1" t="s">
        <v>257</v>
      </c>
      <c r="K52" s="1"/>
      <c r="L52" s="1"/>
      <c r="M52" s="1" t="s">
        <v>34</v>
      </c>
      <c r="N52" s="1" t="s">
        <v>192</v>
      </c>
      <c r="O52" s="1" t="s">
        <v>193</v>
      </c>
      <c r="P52" s="1" t="s">
        <v>37</v>
      </c>
      <c r="Q52" s="1"/>
      <c r="R52" s="2">
        <v>43812</v>
      </c>
      <c r="S52" s="1"/>
      <c r="W52" s="1" t="s">
        <v>38</v>
      </c>
      <c r="X52" s="2">
        <v>43819</v>
      </c>
      <c r="Y52" s="2">
        <v>43818</v>
      </c>
      <c r="Z52" s="2">
        <v>43812</v>
      </c>
      <c r="AA52" s="2"/>
      <c r="AB52" s="2">
        <v>43812</v>
      </c>
      <c r="AC52" s="1"/>
      <c r="AD52">
        <v>0</v>
      </c>
      <c r="AE52">
        <v>412</v>
      </c>
      <c r="AG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 spans="1:33" x14ac:dyDescent="0.35">
      <c r="A53">
        <v>53</v>
      </c>
      <c r="B53" s="1"/>
      <c r="C53">
        <v>0</v>
      </c>
      <c r="D53" s="1" t="s">
        <v>206</v>
      </c>
      <c r="E53" s="1" t="s">
        <v>217</v>
      </c>
      <c r="F53" s="1" t="s">
        <v>30</v>
      </c>
      <c r="G53" s="1" t="s">
        <v>258</v>
      </c>
      <c r="H53" s="1" t="s">
        <v>259</v>
      </c>
      <c r="I53" s="1" t="s">
        <v>260</v>
      </c>
      <c r="J53" s="1" t="s">
        <v>261</v>
      </c>
      <c r="K53" s="1"/>
      <c r="L53" s="1"/>
      <c r="M53" s="1" t="s">
        <v>34</v>
      </c>
      <c r="N53" s="1" t="s">
        <v>97</v>
      </c>
      <c r="O53" s="1" t="s">
        <v>98</v>
      </c>
      <c r="P53" s="1" t="s">
        <v>37</v>
      </c>
      <c r="Q53" s="1"/>
      <c r="R53" s="2">
        <v>43812</v>
      </c>
      <c r="S53" s="1"/>
      <c r="W53" s="1" t="s">
        <v>38</v>
      </c>
      <c r="X53" s="2">
        <v>43819</v>
      </c>
      <c r="Y53" s="2">
        <v>43832</v>
      </c>
      <c r="Z53" s="2">
        <v>43832</v>
      </c>
      <c r="AA53" s="2">
        <v>43830</v>
      </c>
      <c r="AB53" s="2">
        <v>43812</v>
      </c>
      <c r="AC53" s="1"/>
      <c r="AD53">
        <v>20</v>
      </c>
      <c r="AE53">
        <v>412</v>
      </c>
      <c r="AG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4" spans="1:33" x14ac:dyDescent="0.35">
      <c r="A54">
        <v>54</v>
      </c>
      <c r="B54" s="1"/>
      <c r="C54">
        <v>0</v>
      </c>
      <c r="D54" s="1"/>
      <c r="E54" s="1" t="s">
        <v>262</v>
      </c>
      <c r="F54" s="1" t="s">
        <v>30</v>
      </c>
      <c r="G54" s="1" t="s">
        <v>263</v>
      </c>
      <c r="H54" s="1" t="s">
        <v>264</v>
      </c>
      <c r="I54" s="1"/>
      <c r="J54" s="1" t="s">
        <v>265</v>
      </c>
      <c r="K54" s="1"/>
      <c r="L54" s="1"/>
      <c r="M54" s="1" t="s">
        <v>34</v>
      </c>
      <c r="N54" s="1" t="s">
        <v>266</v>
      </c>
      <c r="O54" s="1" t="s">
        <v>267</v>
      </c>
      <c r="P54" s="1" t="s">
        <v>37</v>
      </c>
      <c r="Q54" s="1"/>
      <c r="R54" s="2">
        <v>43812</v>
      </c>
      <c r="S54" s="1"/>
      <c r="W54" s="1" t="s">
        <v>38</v>
      </c>
      <c r="X54" s="2">
        <v>43819</v>
      </c>
      <c r="Y54" s="2">
        <v>43829</v>
      </c>
      <c r="Z54" s="2">
        <v>43822</v>
      </c>
      <c r="AA54" s="2">
        <v>43812</v>
      </c>
      <c r="AB54" s="2">
        <v>43812</v>
      </c>
      <c r="AC54" s="1"/>
      <c r="AD54">
        <v>10</v>
      </c>
      <c r="AE54">
        <v>412</v>
      </c>
      <c r="AG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55" spans="1:33" x14ac:dyDescent="0.35">
      <c r="A55">
        <v>55</v>
      </c>
      <c r="B55" s="1"/>
      <c r="C55">
        <v>0</v>
      </c>
      <c r="D55" s="1"/>
      <c r="E55" s="1" t="s">
        <v>268</v>
      </c>
      <c r="F55" s="1" t="s">
        <v>30</v>
      </c>
      <c r="G55" s="1" t="s">
        <v>269</v>
      </c>
      <c r="H55" s="1" t="s">
        <v>270</v>
      </c>
      <c r="I55" s="1"/>
      <c r="J55" s="1" t="s">
        <v>271</v>
      </c>
      <c r="K55" s="1"/>
      <c r="L55" s="1"/>
      <c r="M55" s="1" t="s">
        <v>34</v>
      </c>
      <c r="N55" s="1" t="s">
        <v>266</v>
      </c>
      <c r="O55" s="1" t="s">
        <v>267</v>
      </c>
      <c r="P55" s="1" t="s">
        <v>37</v>
      </c>
      <c r="Q55" s="1"/>
      <c r="R55" s="2">
        <v>43812</v>
      </c>
      <c r="S55" s="1"/>
      <c r="W55" s="1" t="s">
        <v>38</v>
      </c>
      <c r="X55" s="2">
        <v>43822</v>
      </c>
      <c r="Y55" s="2">
        <v>43829</v>
      </c>
      <c r="Z55" s="2">
        <v>43822</v>
      </c>
      <c r="AA55" s="2">
        <v>43815</v>
      </c>
      <c r="AB55" s="2">
        <v>43812</v>
      </c>
      <c r="AC55" s="1"/>
      <c r="AD55">
        <v>10</v>
      </c>
      <c r="AE55">
        <v>412</v>
      </c>
      <c r="AG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56" spans="1:33" x14ac:dyDescent="0.35">
      <c r="A56">
        <v>56</v>
      </c>
      <c r="B56" s="1"/>
      <c r="C56">
        <v>0</v>
      </c>
      <c r="D56" s="1" t="s">
        <v>272</v>
      </c>
      <c r="E56" s="1"/>
      <c r="F56" s="1" t="s">
        <v>30</v>
      </c>
      <c r="G56" s="1" t="s">
        <v>273</v>
      </c>
      <c r="H56" s="1" t="s">
        <v>274</v>
      </c>
      <c r="I56" s="1"/>
      <c r="J56" s="1" t="s">
        <v>275</v>
      </c>
      <c r="K56" s="1"/>
      <c r="L56" s="1"/>
      <c r="M56" s="1" t="s">
        <v>34</v>
      </c>
      <c r="N56" s="1" t="s">
        <v>276</v>
      </c>
      <c r="O56" s="1" t="s">
        <v>277</v>
      </c>
      <c r="P56" s="1" t="s">
        <v>278</v>
      </c>
      <c r="Q56" s="1"/>
      <c r="R56" s="2">
        <v>43815</v>
      </c>
      <c r="S56" s="1"/>
      <c r="W56" s="1" t="s">
        <v>38</v>
      </c>
      <c r="X56" s="2">
        <v>43822</v>
      </c>
      <c r="Y56" s="2">
        <v>43829</v>
      </c>
      <c r="Z56" s="2">
        <v>43818</v>
      </c>
      <c r="AA56" s="2">
        <v>43816</v>
      </c>
      <c r="AB56" s="2">
        <v>43815</v>
      </c>
      <c r="AC56" s="1"/>
      <c r="AD56">
        <v>3</v>
      </c>
      <c r="AE56">
        <v>409</v>
      </c>
      <c r="AG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7" spans="1:33" x14ac:dyDescent="0.35">
      <c r="A57">
        <v>57</v>
      </c>
      <c r="B57" s="1"/>
      <c r="C57">
        <v>0</v>
      </c>
      <c r="D57" s="1" t="s">
        <v>206</v>
      </c>
      <c r="E57" s="1" t="s">
        <v>212</v>
      </c>
      <c r="F57" s="1" t="s">
        <v>30</v>
      </c>
      <c r="G57" s="1" t="s">
        <v>279</v>
      </c>
      <c r="H57" s="1" t="s">
        <v>280</v>
      </c>
      <c r="I57" s="1" t="s">
        <v>281</v>
      </c>
      <c r="J57" s="1" t="s">
        <v>282</v>
      </c>
      <c r="K57" s="1"/>
      <c r="L57" s="1"/>
      <c r="M57" s="1" t="s">
        <v>34</v>
      </c>
      <c r="N57" s="1" t="s">
        <v>97</v>
      </c>
      <c r="O57" s="1" t="s">
        <v>98</v>
      </c>
      <c r="P57" s="1" t="s">
        <v>37</v>
      </c>
      <c r="Q57" s="1"/>
      <c r="R57" s="2">
        <v>43815</v>
      </c>
      <c r="S57" s="1"/>
      <c r="W57" s="1" t="s">
        <v>38</v>
      </c>
      <c r="X57" s="2">
        <v>43822</v>
      </c>
      <c r="Y57" s="2">
        <v>43832</v>
      </c>
      <c r="Z57" s="2">
        <v>43832</v>
      </c>
      <c r="AA57" s="2">
        <v>43830</v>
      </c>
      <c r="AB57" s="2">
        <v>43815</v>
      </c>
      <c r="AC57" s="1"/>
      <c r="AD57">
        <v>17</v>
      </c>
      <c r="AE57">
        <v>409</v>
      </c>
      <c r="AG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8" spans="1:33" x14ac:dyDescent="0.35">
      <c r="A58">
        <v>58</v>
      </c>
      <c r="B58" s="1"/>
      <c r="C58">
        <v>0</v>
      </c>
      <c r="D58" s="1" t="s">
        <v>206</v>
      </c>
      <c r="E58" s="1" t="s">
        <v>283</v>
      </c>
      <c r="F58" s="1" t="s">
        <v>30</v>
      </c>
      <c r="G58" s="1" t="s">
        <v>284</v>
      </c>
      <c r="H58" s="1" t="s">
        <v>285</v>
      </c>
      <c r="I58" s="1" t="s">
        <v>286</v>
      </c>
      <c r="J58" s="1" t="s">
        <v>287</v>
      </c>
      <c r="K58" s="1"/>
      <c r="L58" s="1"/>
      <c r="M58" s="1" t="s">
        <v>34</v>
      </c>
      <c r="N58" s="1" t="s">
        <v>97</v>
      </c>
      <c r="O58" s="1" t="s">
        <v>98</v>
      </c>
      <c r="P58" s="1" t="s">
        <v>37</v>
      </c>
      <c r="Q58" s="1"/>
      <c r="R58" s="2">
        <v>43815</v>
      </c>
      <c r="S58" s="1"/>
      <c r="W58" s="1" t="s">
        <v>38</v>
      </c>
      <c r="X58" s="2">
        <v>43822</v>
      </c>
      <c r="Y58" s="2">
        <v>43832</v>
      </c>
      <c r="Z58" s="2">
        <v>43832</v>
      </c>
      <c r="AA58" s="2">
        <v>43830</v>
      </c>
      <c r="AB58" s="2">
        <v>43815</v>
      </c>
      <c r="AC58" s="1"/>
      <c r="AD58">
        <v>17</v>
      </c>
      <c r="AE58">
        <v>409</v>
      </c>
      <c r="AG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9" spans="1:33" x14ac:dyDescent="0.35">
      <c r="A59">
        <v>59</v>
      </c>
      <c r="B59" s="1"/>
      <c r="C59">
        <v>0</v>
      </c>
      <c r="D59" s="1"/>
      <c r="E59" s="1"/>
      <c r="F59" s="1" t="s">
        <v>30</v>
      </c>
      <c r="G59" s="1" t="s">
        <v>288</v>
      </c>
      <c r="H59" s="1" t="s">
        <v>289</v>
      </c>
      <c r="I59" s="1" t="s">
        <v>290</v>
      </c>
      <c r="J59" s="1" t="s">
        <v>291</v>
      </c>
      <c r="K59" s="1"/>
      <c r="L59" s="1"/>
      <c r="M59" s="1" t="s">
        <v>117</v>
      </c>
      <c r="N59" s="1" t="s">
        <v>292</v>
      </c>
      <c r="O59" s="1" t="s">
        <v>293</v>
      </c>
      <c r="P59" s="1" t="s">
        <v>294</v>
      </c>
      <c r="Q59" s="1" t="s">
        <v>295</v>
      </c>
      <c r="R59" s="2">
        <v>43818</v>
      </c>
      <c r="S59" s="1"/>
      <c r="W59" s="1" t="s">
        <v>38</v>
      </c>
      <c r="X59" s="2">
        <v>43830</v>
      </c>
      <c r="Y59" s="2">
        <v>43839</v>
      </c>
      <c r="Z59" s="2">
        <v>43832</v>
      </c>
      <c r="AA59" s="2"/>
      <c r="AB59" s="2">
        <v>43815</v>
      </c>
      <c r="AC59" s="1"/>
      <c r="AD59">
        <v>17</v>
      </c>
      <c r="AE59">
        <v>409</v>
      </c>
      <c r="AG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60" spans="1:33" x14ac:dyDescent="0.35">
      <c r="A60">
        <v>60</v>
      </c>
      <c r="B60" s="1"/>
      <c r="C60">
        <v>0</v>
      </c>
      <c r="D60" s="1"/>
      <c r="E60" s="1" t="s">
        <v>296</v>
      </c>
      <c r="F60" s="1" t="s">
        <v>30</v>
      </c>
      <c r="G60" s="1" t="s">
        <v>297</v>
      </c>
      <c r="H60" s="1" t="s">
        <v>298</v>
      </c>
      <c r="I60" s="1" t="s">
        <v>299</v>
      </c>
      <c r="J60" s="1" t="s">
        <v>300</v>
      </c>
      <c r="K60" s="1"/>
      <c r="L60" s="1"/>
      <c r="M60" s="1" t="s">
        <v>34</v>
      </c>
      <c r="N60" s="1" t="s">
        <v>97</v>
      </c>
      <c r="O60" s="1" t="s">
        <v>98</v>
      </c>
      <c r="P60" s="1" t="s">
        <v>37</v>
      </c>
      <c r="Q60" s="1"/>
      <c r="R60" s="2">
        <v>43818</v>
      </c>
      <c r="S60" s="1"/>
      <c r="U60">
        <v>1500</v>
      </c>
      <c r="V60">
        <v>1500</v>
      </c>
      <c r="W60" s="1" t="s">
        <v>38</v>
      </c>
      <c r="X60" s="2">
        <v>43822</v>
      </c>
      <c r="Y60" s="2">
        <v>43859</v>
      </c>
      <c r="Z60" s="2">
        <v>43857</v>
      </c>
      <c r="AA60" s="2"/>
      <c r="AB60" s="2">
        <v>43815</v>
      </c>
      <c r="AC60" s="1"/>
      <c r="AD60">
        <v>42</v>
      </c>
      <c r="AE60">
        <v>409</v>
      </c>
      <c r="AG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61" spans="1:33" x14ac:dyDescent="0.35">
      <c r="A61">
        <v>61</v>
      </c>
      <c r="B61" s="1"/>
      <c r="C61">
        <v>0</v>
      </c>
      <c r="D61" s="1" t="s">
        <v>206</v>
      </c>
      <c r="E61" s="1" t="s">
        <v>217</v>
      </c>
      <c r="F61" s="1" t="s">
        <v>30</v>
      </c>
      <c r="G61" s="1" t="s">
        <v>301</v>
      </c>
      <c r="H61" s="1" t="s">
        <v>302</v>
      </c>
      <c r="I61" s="1" t="s">
        <v>303</v>
      </c>
      <c r="J61" s="1" t="s">
        <v>304</v>
      </c>
      <c r="K61" s="1"/>
      <c r="L61" s="1"/>
      <c r="M61" s="1" t="s">
        <v>34</v>
      </c>
      <c r="N61" s="1" t="s">
        <v>97</v>
      </c>
      <c r="O61" s="1" t="s">
        <v>98</v>
      </c>
      <c r="P61" s="1" t="s">
        <v>37</v>
      </c>
      <c r="Q61" s="1"/>
      <c r="R61" s="2">
        <v>43815</v>
      </c>
      <c r="S61" s="1"/>
      <c r="W61" s="1" t="s">
        <v>38</v>
      </c>
      <c r="X61" s="2">
        <v>43822</v>
      </c>
      <c r="Y61" s="2">
        <v>43830</v>
      </c>
      <c r="Z61" s="2">
        <v>43830</v>
      </c>
      <c r="AA61" s="2">
        <v>43829</v>
      </c>
      <c r="AB61" s="2">
        <v>43815</v>
      </c>
      <c r="AC61" s="1"/>
      <c r="AD61">
        <v>15</v>
      </c>
      <c r="AE61">
        <v>409</v>
      </c>
      <c r="AG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62" spans="1:33" x14ac:dyDescent="0.35">
      <c r="A62">
        <v>62</v>
      </c>
      <c r="B62" s="1"/>
      <c r="C62">
        <v>0</v>
      </c>
      <c r="D62" s="1"/>
      <c r="E62" s="1"/>
      <c r="F62" s="1" t="s">
        <v>30</v>
      </c>
      <c r="G62" s="1" t="s">
        <v>305</v>
      </c>
      <c r="H62" s="1" t="s">
        <v>306</v>
      </c>
      <c r="I62" s="1"/>
      <c r="J62" s="1" t="s">
        <v>2396</v>
      </c>
      <c r="K62" s="1"/>
      <c r="L62" s="1"/>
      <c r="M62" s="1" t="s">
        <v>34</v>
      </c>
      <c r="N62" s="1" t="s">
        <v>294</v>
      </c>
      <c r="O62" s="1" t="s">
        <v>295</v>
      </c>
      <c r="P62" s="1" t="s">
        <v>116</v>
      </c>
      <c r="Q62" s="1"/>
      <c r="R62" s="2">
        <v>43815</v>
      </c>
      <c r="S62" s="1"/>
      <c r="W62" s="1" t="s">
        <v>38</v>
      </c>
      <c r="X62" s="2">
        <v>43822</v>
      </c>
      <c r="Y62" s="2">
        <v>44063</v>
      </c>
      <c r="Z62" s="2">
        <v>44063</v>
      </c>
      <c r="AA62" s="2">
        <v>43815</v>
      </c>
      <c r="AB62" s="2">
        <v>43815</v>
      </c>
      <c r="AC62" s="1"/>
      <c r="AD62">
        <v>248</v>
      </c>
      <c r="AE62">
        <v>409</v>
      </c>
      <c r="AG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248</v>
      </c>
    </row>
    <row r="63" spans="1:33" x14ac:dyDescent="0.35">
      <c r="A63">
        <v>63</v>
      </c>
      <c r="B63" s="1"/>
      <c r="C63">
        <v>0</v>
      </c>
      <c r="D63" s="1"/>
      <c r="E63" s="1"/>
      <c r="F63" s="1" t="s">
        <v>30</v>
      </c>
      <c r="G63" s="1" t="s">
        <v>307</v>
      </c>
      <c r="H63" s="1" t="s">
        <v>308</v>
      </c>
      <c r="I63" s="1" t="s">
        <v>309</v>
      </c>
      <c r="J63" s="1" t="s">
        <v>1696</v>
      </c>
      <c r="K63" s="1"/>
      <c r="L63" s="1"/>
      <c r="M63" s="1" t="s">
        <v>34</v>
      </c>
      <c r="N63" s="1" t="s">
        <v>310</v>
      </c>
      <c r="O63" s="1" t="s">
        <v>44</v>
      </c>
      <c r="P63" s="1" t="s">
        <v>37</v>
      </c>
      <c r="Q63" s="1"/>
      <c r="R63" s="2">
        <v>43817</v>
      </c>
      <c r="S63" s="1"/>
      <c r="W63" s="1" t="s">
        <v>38</v>
      </c>
      <c r="X63" s="2">
        <v>43826</v>
      </c>
      <c r="Y63" s="2">
        <v>43991</v>
      </c>
      <c r="Z63" s="2">
        <v>43969</v>
      </c>
      <c r="AA63" s="2"/>
      <c r="AB63" s="2">
        <v>43817</v>
      </c>
      <c r="AC63" s="1"/>
      <c r="AD63">
        <v>152</v>
      </c>
      <c r="AE63">
        <v>407</v>
      </c>
      <c r="AG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152</v>
      </c>
    </row>
    <row r="64" spans="1:33" x14ac:dyDescent="0.35">
      <c r="A64">
        <v>64</v>
      </c>
      <c r="B64" s="1"/>
      <c r="C64">
        <v>0</v>
      </c>
      <c r="D64" s="1"/>
      <c r="E64" s="1"/>
      <c r="F64" s="1" t="s">
        <v>30</v>
      </c>
      <c r="G64" s="1" t="s">
        <v>311</v>
      </c>
      <c r="H64" s="1" t="s">
        <v>312</v>
      </c>
      <c r="I64" s="1"/>
      <c r="J64" s="1" t="s">
        <v>313</v>
      </c>
      <c r="K64" s="1"/>
      <c r="L64" s="1"/>
      <c r="M64" s="1" t="s">
        <v>34</v>
      </c>
      <c r="N64" s="1" t="s">
        <v>314</v>
      </c>
      <c r="O64" s="1" t="s">
        <v>315</v>
      </c>
      <c r="P64" s="1" t="s">
        <v>37</v>
      </c>
      <c r="Q64" s="1"/>
      <c r="R64" s="2">
        <v>43818</v>
      </c>
      <c r="S64" s="1"/>
      <c r="W64" s="1" t="s">
        <v>38</v>
      </c>
      <c r="X64" s="2">
        <v>43823</v>
      </c>
      <c r="Y64" s="2">
        <v>43830</v>
      </c>
      <c r="Z64" s="2">
        <v>43822</v>
      </c>
      <c r="AA64" s="2"/>
      <c r="AB64" s="2">
        <v>43818</v>
      </c>
      <c r="AC64" s="1"/>
      <c r="AD64">
        <v>4</v>
      </c>
      <c r="AE64">
        <v>406</v>
      </c>
      <c r="AG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65" spans="1:33" x14ac:dyDescent="0.35">
      <c r="A65">
        <v>65</v>
      </c>
      <c r="B65" s="1"/>
      <c r="C65">
        <v>0</v>
      </c>
      <c r="D65" s="1"/>
      <c r="E65" s="1" t="s">
        <v>316</v>
      </c>
      <c r="F65" s="1" t="s">
        <v>30</v>
      </c>
      <c r="G65" s="1" t="s">
        <v>317</v>
      </c>
      <c r="H65" s="1" t="s">
        <v>318</v>
      </c>
      <c r="I65" s="1"/>
      <c r="J65" s="1" t="s">
        <v>319</v>
      </c>
      <c r="K65" s="1"/>
      <c r="L65" s="1"/>
      <c r="M65" s="1" t="s">
        <v>34</v>
      </c>
      <c r="N65" s="1" t="s">
        <v>164</v>
      </c>
      <c r="O65" s="1"/>
      <c r="P65" s="1" t="s">
        <v>278</v>
      </c>
      <c r="Q65" s="1"/>
      <c r="R65" s="2">
        <v>43818</v>
      </c>
      <c r="S65" s="1"/>
      <c r="W65" s="1" t="s">
        <v>38</v>
      </c>
      <c r="X65" s="2">
        <v>43825</v>
      </c>
      <c r="Y65" s="2">
        <v>43829</v>
      </c>
      <c r="Z65" s="2">
        <v>43825</v>
      </c>
      <c r="AA65" s="2">
        <v>43819</v>
      </c>
      <c r="AB65" s="2">
        <v>43818</v>
      </c>
      <c r="AC65" s="1"/>
      <c r="AD65">
        <v>7</v>
      </c>
      <c r="AE65">
        <v>406</v>
      </c>
      <c r="AG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6" spans="1:33" x14ac:dyDescent="0.35">
      <c r="A66">
        <v>66</v>
      </c>
      <c r="B66" s="1"/>
      <c r="C66">
        <v>0</v>
      </c>
      <c r="D66" s="1" t="s">
        <v>320</v>
      </c>
      <c r="E66" s="1" t="s">
        <v>321</v>
      </c>
      <c r="F66" s="1" t="s">
        <v>30</v>
      </c>
      <c r="G66" s="1" t="s">
        <v>322</v>
      </c>
      <c r="H66" s="1" t="s">
        <v>323</v>
      </c>
      <c r="I66" s="1" t="s">
        <v>324</v>
      </c>
      <c r="J66" s="1" t="s">
        <v>325</v>
      </c>
      <c r="K66" s="1"/>
      <c r="L66" s="1"/>
      <c r="M66" s="1" t="s">
        <v>34</v>
      </c>
      <c r="N66" s="1" t="s">
        <v>326</v>
      </c>
      <c r="O66" s="1" t="s">
        <v>327</v>
      </c>
      <c r="P66" s="1" t="s">
        <v>37</v>
      </c>
      <c r="Q66" s="1"/>
      <c r="R66" s="2">
        <v>43822</v>
      </c>
      <c r="S66" s="1"/>
      <c r="W66" s="1" t="s">
        <v>38</v>
      </c>
      <c r="X66" s="2">
        <v>43854</v>
      </c>
      <c r="Y66" s="2">
        <v>43860</v>
      </c>
      <c r="Z66" s="2">
        <v>43846</v>
      </c>
      <c r="AA66" s="2">
        <v>43829</v>
      </c>
      <c r="AB66" s="2">
        <v>43822</v>
      </c>
      <c r="AC66" s="1"/>
      <c r="AD66">
        <v>24</v>
      </c>
      <c r="AE66">
        <v>402</v>
      </c>
      <c r="AG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67" spans="1:33" x14ac:dyDescent="0.35">
      <c r="A67">
        <v>67</v>
      </c>
      <c r="B67" s="1"/>
      <c r="C67">
        <v>0</v>
      </c>
      <c r="D67" s="1" t="s">
        <v>328</v>
      </c>
      <c r="E67" s="1" t="s">
        <v>329</v>
      </c>
      <c r="F67" s="1" t="s">
        <v>30</v>
      </c>
      <c r="G67" s="1" t="s">
        <v>330</v>
      </c>
      <c r="H67" s="1" t="s">
        <v>331</v>
      </c>
      <c r="I67" s="1" t="s">
        <v>332</v>
      </c>
      <c r="J67" s="1" t="s">
        <v>333</v>
      </c>
      <c r="K67" s="1"/>
      <c r="L67" s="1"/>
      <c r="M67" s="1" t="s">
        <v>34</v>
      </c>
      <c r="N67" s="1" t="s">
        <v>326</v>
      </c>
      <c r="O67" s="1" t="s">
        <v>327</v>
      </c>
      <c r="P67" s="1" t="s">
        <v>37</v>
      </c>
      <c r="Q67" s="1"/>
      <c r="R67" s="2">
        <v>43823</v>
      </c>
      <c r="S67" s="1"/>
      <c r="W67" s="1" t="s">
        <v>38</v>
      </c>
      <c r="X67" s="2">
        <v>43836</v>
      </c>
      <c r="Y67" s="2">
        <v>43855</v>
      </c>
      <c r="Z67" s="2">
        <v>43846</v>
      </c>
      <c r="AA67" s="2">
        <v>43829</v>
      </c>
      <c r="AB67" s="2">
        <v>43823</v>
      </c>
      <c r="AC67" s="1"/>
      <c r="AD67">
        <v>23</v>
      </c>
      <c r="AE67">
        <v>401</v>
      </c>
      <c r="AG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68" spans="1:33" x14ac:dyDescent="0.35">
      <c r="A68">
        <v>68</v>
      </c>
      <c r="B68" s="1"/>
      <c r="C68">
        <v>0</v>
      </c>
      <c r="D68" s="1" t="s">
        <v>320</v>
      </c>
      <c r="E68" s="1" t="s">
        <v>329</v>
      </c>
      <c r="F68" s="1" t="s">
        <v>30</v>
      </c>
      <c r="G68" s="1" t="s">
        <v>334</v>
      </c>
      <c r="H68" s="1" t="s">
        <v>335</v>
      </c>
      <c r="I68" s="1" t="s">
        <v>336</v>
      </c>
      <c r="J68" s="1" t="s">
        <v>337</v>
      </c>
      <c r="K68" s="1"/>
      <c r="L68" s="1"/>
      <c r="M68" s="1" t="s">
        <v>34</v>
      </c>
      <c r="N68" s="1" t="s">
        <v>326</v>
      </c>
      <c r="O68" s="1" t="s">
        <v>327</v>
      </c>
      <c r="P68" s="1" t="s">
        <v>37</v>
      </c>
      <c r="Q68" s="1"/>
      <c r="R68" s="2">
        <v>43825</v>
      </c>
      <c r="S68" s="1"/>
      <c r="W68" s="1" t="s">
        <v>38</v>
      </c>
      <c r="X68" s="2">
        <v>43836</v>
      </c>
      <c r="Y68" s="2">
        <v>43860</v>
      </c>
      <c r="Z68" s="2">
        <v>43846</v>
      </c>
      <c r="AA68" s="2">
        <v>43829</v>
      </c>
      <c r="AB68" s="2">
        <v>43825</v>
      </c>
      <c r="AC68" s="1"/>
      <c r="AD68">
        <v>21</v>
      </c>
      <c r="AE68">
        <v>399</v>
      </c>
      <c r="AG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69" spans="1:33" x14ac:dyDescent="0.35">
      <c r="A69">
        <v>69</v>
      </c>
      <c r="B69" s="1"/>
      <c r="C69">
        <v>0</v>
      </c>
      <c r="D69" s="1"/>
      <c r="E69" s="1"/>
      <c r="F69" s="1" t="s">
        <v>30</v>
      </c>
      <c r="G69" s="1" t="s">
        <v>338</v>
      </c>
      <c r="H69" s="1" t="s">
        <v>339</v>
      </c>
      <c r="I69" s="1"/>
      <c r="J69" s="1" t="s">
        <v>340</v>
      </c>
      <c r="K69" s="1"/>
      <c r="L69" s="1"/>
      <c r="M69" s="1" t="s">
        <v>117</v>
      </c>
      <c r="N69" s="1" t="s">
        <v>341</v>
      </c>
      <c r="O69" s="1" t="s">
        <v>62</v>
      </c>
      <c r="P69" s="1" t="s">
        <v>37</v>
      </c>
      <c r="Q69" s="1"/>
      <c r="R69" s="2">
        <v>43829</v>
      </c>
      <c r="S69" s="1"/>
      <c r="W69" s="1" t="s">
        <v>38</v>
      </c>
      <c r="X69" s="2">
        <v>43839</v>
      </c>
      <c r="Y69" s="2">
        <v>43837</v>
      </c>
      <c r="Z69" s="2">
        <v>43832</v>
      </c>
      <c r="AA69" s="2">
        <v>43832</v>
      </c>
      <c r="AB69" s="2">
        <v>43829</v>
      </c>
      <c r="AC69" s="1"/>
      <c r="AD69">
        <v>3</v>
      </c>
      <c r="AE69">
        <v>395</v>
      </c>
      <c r="AG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0" spans="1:33" x14ac:dyDescent="0.35">
      <c r="A70">
        <v>70</v>
      </c>
      <c r="B70" s="1"/>
      <c r="C70">
        <v>0</v>
      </c>
      <c r="D70" s="1"/>
      <c r="E70" s="1"/>
      <c r="F70" s="1" t="s">
        <v>30</v>
      </c>
      <c r="G70" s="1" t="s">
        <v>342</v>
      </c>
      <c r="H70" s="1" t="s">
        <v>343</v>
      </c>
      <c r="I70" s="1"/>
      <c r="J70" s="1" t="s">
        <v>344</v>
      </c>
      <c r="K70" s="1"/>
      <c r="L70" s="1"/>
      <c r="M70" s="1" t="s">
        <v>34</v>
      </c>
      <c r="N70" s="1" t="s">
        <v>341</v>
      </c>
      <c r="O70" s="1" t="s">
        <v>62</v>
      </c>
      <c r="P70" s="1" t="s">
        <v>37</v>
      </c>
      <c r="Q70" s="1"/>
      <c r="R70" s="2">
        <v>43829</v>
      </c>
      <c r="S70" s="1"/>
      <c r="W70" s="1" t="s">
        <v>38</v>
      </c>
      <c r="X70" s="2">
        <v>43836</v>
      </c>
      <c r="Y70" s="2">
        <v>43839</v>
      </c>
      <c r="Z70" s="2">
        <v>43832</v>
      </c>
      <c r="AA70" s="2">
        <v>43832</v>
      </c>
      <c r="AB70" s="2">
        <v>43829</v>
      </c>
      <c r="AC70" s="1"/>
      <c r="AD70">
        <v>3</v>
      </c>
      <c r="AE70">
        <v>395</v>
      </c>
      <c r="AG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1" spans="1:33" x14ac:dyDescent="0.35">
      <c r="A71">
        <v>71</v>
      </c>
      <c r="B71" s="1"/>
      <c r="C71">
        <v>0</v>
      </c>
      <c r="D71" s="1"/>
      <c r="E71" s="1"/>
      <c r="F71" s="1" t="s">
        <v>30</v>
      </c>
      <c r="G71" s="1" t="s">
        <v>345</v>
      </c>
      <c r="H71" s="1" t="s">
        <v>346</v>
      </c>
      <c r="I71" s="1"/>
      <c r="J71" s="1" t="s">
        <v>347</v>
      </c>
      <c r="K71" s="1"/>
      <c r="L71" s="1"/>
      <c r="M71" s="1" t="s">
        <v>34</v>
      </c>
      <c r="N71" s="1" t="s">
        <v>341</v>
      </c>
      <c r="O71" s="1" t="s">
        <v>62</v>
      </c>
      <c r="P71" s="1" t="s">
        <v>348</v>
      </c>
      <c r="Q71" s="1" t="s">
        <v>44</v>
      </c>
      <c r="R71" s="2">
        <v>43829</v>
      </c>
      <c r="S71" s="1"/>
      <c r="W71" s="1" t="s">
        <v>38</v>
      </c>
      <c r="X71" s="2">
        <v>43836</v>
      </c>
      <c r="Y71" s="2">
        <v>43837</v>
      </c>
      <c r="Z71" s="2">
        <v>43832</v>
      </c>
      <c r="AA71" s="2">
        <v>43836</v>
      </c>
      <c r="AB71" s="2">
        <v>43829</v>
      </c>
      <c r="AC71" s="1"/>
      <c r="AD71">
        <v>3</v>
      </c>
      <c r="AE71">
        <v>395</v>
      </c>
      <c r="AG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2" spans="1:33" x14ac:dyDescent="0.35">
      <c r="A72">
        <v>72</v>
      </c>
      <c r="B72" s="1"/>
      <c r="C72">
        <v>0</v>
      </c>
      <c r="D72" s="1"/>
      <c r="E72" s="1"/>
      <c r="F72" s="1" t="s">
        <v>30</v>
      </c>
      <c r="G72" s="1" t="s">
        <v>349</v>
      </c>
      <c r="H72" s="1" t="s">
        <v>350</v>
      </c>
      <c r="I72" s="1"/>
      <c r="J72" s="1" t="s">
        <v>351</v>
      </c>
      <c r="K72" s="1"/>
      <c r="L72" s="1"/>
      <c r="M72" s="1" t="s">
        <v>34</v>
      </c>
      <c r="N72" s="1" t="s">
        <v>352</v>
      </c>
      <c r="O72" s="1" t="s">
        <v>44</v>
      </c>
      <c r="P72" s="1" t="s">
        <v>37</v>
      </c>
      <c r="Q72" s="1"/>
      <c r="R72" s="2">
        <v>43836</v>
      </c>
      <c r="S72" s="1"/>
      <c r="W72" s="1" t="s">
        <v>38</v>
      </c>
      <c r="X72" s="2">
        <v>43840</v>
      </c>
      <c r="Y72" s="2">
        <v>43838</v>
      </c>
      <c r="Z72" s="2">
        <v>43837</v>
      </c>
      <c r="AA72" s="2"/>
      <c r="AB72" s="2">
        <v>43829</v>
      </c>
      <c r="AC72" s="1"/>
      <c r="AD72">
        <v>8</v>
      </c>
      <c r="AE72">
        <v>395</v>
      </c>
      <c r="AG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73" spans="1:33" x14ac:dyDescent="0.35">
      <c r="A73">
        <v>73</v>
      </c>
      <c r="B73" s="1"/>
      <c r="C73">
        <v>0</v>
      </c>
      <c r="D73" s="1"/>
      <c r="E73" s="1"/>
      <c r="F73" s="1" t="s">
        <v>30</v>
      </c>
      <c r="G73" s="1" t="s">
        <v>353</v>
      </c>
      <c r="H73" s="1" t="s">
        <v>354</v>
      </c>
      <c r="I73" s="1"/>
      <c r="J73" s="1" t="s">
        <v>355</v>
      </c>
      <c r="K73" s="1"/>
      <c r="L73" s="1"/>
      <c r="M73" s="1" t="s">
        <v>34</v>
      </c>
      <c r="N73" s="1" t="s">
        <v>314</v>
      </c>
      <c r="O73" s="1" t="s">
        <v>315</v>
      </c>
      <c r="P73" s="1" t="s">
        <v>37</v>
      </c>
      <c r="Q73" s="1"/>
      <c r="R73" s="2">
        <v>43829</v>
      </c>
      <c r="S73" s="1"/>
      <c r="V73">
        <v>13710</v>
      </c>
      <c r="W73" s="1" t="s">
        <v>38</v>
      </c>
      <c r="X73" s="2">
        <v>43836</v>
      </c>
      <c r="Y73" s="2">
        <v>43839</v>
      </c>
      <c r="Z73" s="2">
        <v>43839</v>
      </c>
      <c r="AA73" s="2">
        <v>43830</v>
      </c>
      <c r="AB73" s="2">
        <v>43829</v>
      </c>
      <c r="AC73" s="1"/>
      <c r="AD73">
        <v>10</v>
      </c>
      <c r="AE73">
        <v>395</v>
      </c>
      <c r="AG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74" spans="1:33" x14ac:dyDescent="0.35">
      <c r="A74">
        <v>74</v>
      </c>
      <c r="B74" s="1"/>
      <c r="C74">
        <v>0</v>
      </c>
      <c r="D74" s="1"/>
      <c r="E74" s="1"/>
      <c r="F74" s="1" t="s">
        <v>30</v>
      </c>
      <c r="G74" s="1" t="s">
        <v>356</v>
      </c>
      <c r="H74" s="1" t="s">
        <v>357</v>
      </c>
      <c r="I74" s="1"/>
      <c r="J74" s="1" t="s">
        <v>358</v>
      </c>
      <c r="K74" s="1"/>
      <c r="L74" s="1"/>
      <c r="M74" s="1" t="s">
        <v>34</v>
      </c>
      <c r="N74" s="1" t="s">
        <v>359</v>
      </c>
      <c r="O74" s="1" t="s">
        <v>360</v>
      </c>
      <c r="P74" s="1" t="s">
        <v>37</v>
      </c>
      <c r="Q74" s="1"/>
      <c r="R74" s="2">
        <v>43830</v>
      </c>
      <c r="S74" s="1"/>
      <c r="W74" s="1" t="s">
        <v>38</v>
      </c>
      <c r="X74" s="2">
        <v>43836</v>
      </c>
      <c r="Y74" s="2">
        <v>43839</v>
      </c>
      <c r="Z74" s="2">
        <v>43832</v>
      </c>
      <c r="AA74" s="2"/>
      <c r="AB74" s="2">
        <v>43829</v>
      </c>
      <c r="AC74" s="1"/>
      <c r="AD74">
        <v>3</v>
      </c>
      <c r="AE74">
        <v>395</v>
      </c>
      <c r="AG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5" spans="1:33" x14ac:dyDescent="0.35">
      <c r="A75">
        <v>75</v>
      </c>
      <c r="B75" s="1"/>
      <c r="C75">
        <v>0</v>
      </c>
      <c r="D75" s="1"/>
      <c r="E75" s="1"/>
      <c r="F75" s="1" t="s">
        <v>30</v>
      </c>
      <c r="G75" s="1" t="s">
        <v>361</v>
      </c>
      <c r="H75" s="1" t="s">
        <v>362</v>
      </c>
      <c r="I75" s="1" t="s">
        <v>363</v>
      </c>
      <c r="J75" s="1" t="s">
        <v>282</v>
      </c>
      <c r="K75" s="1"/>
      <c r="L75" s="1"/>
      <c r="M75" s="1" t="s">
        <v>34</v>
      </c>
      <c r="N75" s="1" t="s">
        <v>97</v>
      </c>
      <c r="O75" s="1" t="s">
        <v>98</v>
      </c>
      <c r="P75" s="1" t="s">
        <v>37</v>
      </c>
      <c r="Q75" s="1"/>
      <c r="R75" s="2">
        <v>43830</v>
      </c>
      <c r="S75" s="1"/>
      <c r="W75" s="1" t="s">
        <v>38</v>
      </c>
      <c r="X75" s="2">
        <v>43838</v>
      </c>
      <c r="Y75" s="2">
        <v>43839</v>
      </c>
      <c r="Z75" s="2">
        <v>43838</v>
      </c>
      <c r="AA75" s="2">
        <v>43838</v>
      </c>
      <c r="AB75" s="2">
        <v>43830</v>
      </c>
      <c r="AC75" s="1"/>
      <c r="AD75">
        <v>8</v>
      </c>
      <c r="AE75">
        <v>394</v>
      </c>
      <c r="AG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76" spans="1:33" x14ac:dyDescent="0.35">
      <c r="A76">
        <v>76</v>
      </c>
      <c r="B76" s="1"/>
      <c r="C76">
        <v>0</v>
      </c>
      <c r="D76" s="1" t="s">
        <v>206</v>
      </c>
      <c r="E76" s="1"/>
      <c r="F76" s="1" t="s">
        <v>30</v>
      </c>
      <c r="G76" s="1" t="s">
        <v>364</v>
      </c>
      <c r="H76" s="1" t="s">
        <v>365</v>
      </c>
      <c r="I76" s="1" t="s">
        <v>366</v>
      </c>
      <c r="J76" s="1" t="s">
        <v>821</v>
      </c>
      <c r="K76" s="1"/>
      <c r="L76" s="1"/>
      <c r="M76" s="1" t="s">
        <v>34</v>
      </c>
      <c r="N76" s="1" t="s">
        <v>97</v>
      </c>
      <c r="O76" s="1" t="s">
        <v>98</v>
      </c>
      <c r="P76" s="1" t="s">
        <v>99</v>
      </c>
      <c r="Q76" s="1"/>
      <c r="R76" s="2">
        <v>43830</v>
      </c>
      <c r="S76" s="1"/>
      <c r="W76" s="1" t="s">
        <v>38</v>
      </c>
      <c r="X76" s="2">
        <v>43854</v>
      </c>
      <c r="Y76" s="2">
        <v>43882</v>
      </c>
      <c r="Z76" s="2">
        <v>43882</v>
      </c>
      <c r="AA76" s="2">
        <v>43832</v>
      </c>
      <c r="AB76" s="2">
        <v>43830</v>
      </c>
      <c r="AC76" s="1"/>
      <c r="AD76">
        <v>52</v>
      </c>
      <c r="AE76">
        <v>394</v>
      </c>
      <c r="AG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52</v>
      </c>
    </row>
    <row r="77" spans="1:33" x14ac:dyDescent="0.35">
      <c r="A77">
        <v>77</v>
      </c>
      <c r="B77" s="1"/>
      <c r="C77">
        <v>0</v>
      </c>
      <c r="D77" s="1" t="s">
        <v>111</v>
      </c>
      <c r="E77" s="1" t="s">
        <v>367</v>
      </c>
      <c r="F77" s="1" t="s">
        <v>30</v>
      </c>
      <c r="G77" s="1" t="s">
        <v>368</v>
      </c>
      <c r="H77" s="1" t="s">
        <v>369</v>
      </c>
      <c r="I77" s="1" t="s">
        <v>370</v>
      </c>
      <c r="J77" s="1" t="s">
        <v>2397</v>
      </c>
      <c r="K77" s="1"/>
      <c r="L77" s="1"/>
      <c r="M77" s="1" t="s">
        <v>34</v>
      </c>
      <c r="N77" s="1" t="s">
        <v>97</v>
      </c>
      <c r="O77" s="1" t="s">
        <v>98</v>
      </c>
      <c r="P77" s="1" t="s">
        <v>37</v>
      </c>
      <c r="Q77" s="1"/>
      <c r="R77" s="2">
        <v>43830</v>
      </c>
      <c r="S77" s="1"/>
      <c r="W77" s="1" t="s">
        <v>38</v>
      </c>
      <c r="X77" s="2">
        <v>43838</v>
      </c>
      <c r="Y77" s="2">
        <v>43844</v>
      </c>
      <c r="Z77" s="2">
        <v>43843</v>
      </c>
      <c r="AA77" s="2">
        <v>43838</v>
      </c>
      <c r="AB77" s="2">
        <v>43830</v>
      </c>
      <c r="AC77" s="1"/>
      <c r="AD77">
        <v>13</v>
      </c>
      <c r="AE77">
        <v>394</v>
      </c>
      <c r="AG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78" spans="1:33" x14ac:dyDescent="0.35">
      <c r="A78">
        <v>78</v>
      </c>
      <c r="B78" s="1"/>
      <c r="C78">
        <v>0</v>
      </c>
      <c r="D78" s="1"/>
      <c r="E78" s="1"/>
      <c r="F78" s="1" t="s">
        <v>30</v>
      </c>
      <c r="G78" s="1" t="s">
        <v>371</v>
      </c>
      <c r="H78" s="1" t="s">
        <v>372</v>
      </c>
      <c r="I78" s="1" t="s">
        <v>373</v>
      </c>
      <c r="J78" s="1" t="s">
        <v>374</v>
      </c>
      <c r="K78" s="1"/>
      <c r="L78" s="1"/>
      <c r="M78" s="1" t="s">
        <v>34</v>
      </c>
      <c r="N78" s="1" t="s">
        <v>97</v>
      </c>
      <c r="O78" s="1" t="s">
        <v>98</v>
      </c>
      <c r="P78" s="1" t="s">
        <v>37</v>
      </c>
      <c r="Q78" s="1"/>
      <c r="R78" s="2">
        <v>43830</v>
      </c>
      <c r="S78" s="1"/>
      <c r="W78" s="1" t="s">
        <v>38</v>
      </c>
      <c r="X78" s="2">
        <v>43838</v>
      </c>
      <c r="Y78" s="2">
        <v>43852</v>
      </c>
      <c r="Z78" s="2">
        <v>43851</v>
      </c>
      <c r="AA78" s="2">
        <v>43847</v>
      </c>
      <c r="AB78" s="2">
        <v>43830</v>
      </c>
      <c r="AC78" s="1"/>
      <c r="AD78">
        <v>21</v>
      </c>
      <c r="AE78">
        <v>394</v>
      </c>
      <c r="AG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79" spans="1:33" x14ac:dyDescent="0.35">
      <c r="A79">
        <v>79</v>
      </c>
      <c r="B79" s="1"/>
      <c r="C79">
        <v>0</v>
      </c>
      <c r="D79" s="1"/>
      <c r="E79" s="1"/>
      <c r="F79" s="1" t="s">
        <v>30</v>
      </c>
      <c r="G79" s="1" t="s">
        <v>375</v>
      </c>
      <c r="H79" s="1" t="s">
        <v>376</v>
      </c>
      <c r="I79" s="1"/>
      <c r="J79" s="1" t="s">
        <v>377</v>
      </c>
      <c r="K79" s="1"/>
      <c r="L79" s="1"/>
      <c r="M79" s="1" t="s">
        <v>34</v>
      </c>
      <c r="N79" s="1" t="s">
        <v>378</v>
      </c>
      <c r="O79" s="1" t="s">
        <v>147</v>
      </c>
      <c r="P79" s="1" t="s">
        <v>379</v>
      </c>
      <c r="Q79" s="1"/>
      <c r="R79" s="2">
        <v>43830</v>
      </c>
      <c r="S79" s="1"/>
      <c r="W79" s="1" t="s">
        <v>38</v>
      </c>
      <c r="X79" s="2">
        <v>43838</v>
      </c>
      <c r="Y79" s="2">
        <v>43836</v>
      </c>
      <c r="Z79" s="2">
        <v>43833</v>
      </c>
      <c r="AA79" s="2">
        <v>43832</v>
      </c>
      <c r="AB79" s="2">
        <v>43830</v>
      </c>
      <c r="AC79" s="1"/>
      <c r="AD79">
        <v>3</v>
      </c>
      <c r="AE79">
        <v>394</v>
      </c>
      <c r="AG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80" spans="1:33" x14ac:dyDescent="0.35">
      <c r="A80">
        <v>80</v>
      </c>
      <c r="B80" s="1"/>
      <c r="C80">
        <v>0</v>
      </c>
      <c r="D80" s="1" t="s">
        <v>206</v>
      </c>
      <c r="E80" s="1" t="s">
        <v>380</v>
      </c>
      <c r="F80" s="1" t="s">
        <v>30</v>
      </c>
      <c r="G80" s="1" t="s">
        <v>381</v>
      </c>
      <c r="H80" s="1" t="s">
        <v>382</v>
      </c>
      <c r="I80" s="1" t="s">
        <v>383</v>
      </c>
      <c r="J80" s="1" t="s">
        <v>384</v>
      </c>
      <c r="K80" s="1"/>
      <c r="L80" s="1"/>
      <c r="M80" s="1" t="s">
        <v>34</v>
      </c>
      <c r="N80" s="1" t="s">
        <v>97</v>
      </c>
      <c r="O80" s="1" t="s">
        <v>98</v>
      </c>
      <c r="P80" s="1" t="s">
        <v>37</v>
      </c>
      <c r="Q80" s="1"/>
      <c r="R80" s="2">
        <v>43830</v>
      </c>
      <c r="S80" s="1"/>
      <c r="W80" s="1" t="s">
        <v>38</v>
      </c>
      <c r="X80" s="2">
        <v>43838</v>
      </c>
      <c r="Y80" s="2">
        <v>43839</v>
      </c>
      <c r="Z80" s="2">
        <v>43838</v>
      </c>
      <c r="AA80" s="2">
        <v>43838</v>
      </c>
      <c r="AB80" s="2">
        <v>43830</v>
      </c>
      <c r="AC80" s="1"/>
      <c r="AD80">
        <v>8</v>
      </c>
      <c r="AE80">
        <v>394</v>
      </c>
      <c r="AG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81" spans="1:33" x14ac:dyDescent="0.35">
      <c r="A81">
        <v>81</v>
      </c>
      <c r="B81" s="1"/>
      <c r="C81">
        <v>0</v>
      </c>
      <c r="D81" s="1" t="s">
        <v>206</v>
      </c>
      <c r="E81" s="1" t="s">
        <v>385</v>
      </c>
      <c r="F81" s="1" t="s">
        <v>30</v>
      </c>
      <c r="G81" s="1" t="s">
        <v>386</v>
      </c>
      <c r="H81" s="1" t="s">
        <v>387</v>
      </c>
      <c r="I81" s="1" t="s">
        <v>388</v>
      </c>
      <c r="J81" s="1" t="s">
        <v>389</v>
      </c>
      <c r="K81" s="1"/>
      <c r="L81" s="1"/>
      <c r="M81" s="1" t="s">
        <v>197</v>
      </c>
      <c r="N81" s="1" t="s">
        <v>97</v>
      </c>
      <c r="O81" s="1" t="s">
        <v>98</v>
      </c>
      <c r="P81" s="1" t="s">
        <v>37</v>
      </c>
      <c r="Q81" s="1"/>
      <c r="R81" s="2">
        <v>43830</v>
      </c>
      <c r="S81" s="1"/>
      <c r="W81" s="1" t="s">
        <v>38</v>
      </c>
      <c r="X81" s="2">
        <v>43838</v>
      </c>
      <c r="Y81" s="2">
        <v>43839</v>
      </c>
      <c r="Z81" s="2">
        <v>43839</v>
      </c>
      <c r="AA81" s="2"/>
      <c r="AB81" s="2">
        <v>43830</v>
      </c>
      <c r="AC81" s="1"/>
      <c r="AD81">
        <v>9</v>
      </c>
      <c r="AE81">
        <v>394</v>
      </c>
      <c r="AG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82" spans="1:33" x14ac:dyDescent="0.35">
      <c r="A82">
        <v>82</v>
      </c>
      <c r="B82" s="1"/>
      <c r="C82">
        <v>0</v>
      </c>
      <c r="D82" s="1"/>
      <c r="E82" s="1"/>
      <c r="F82" s="1" t="s">
        <v>30</v>
      </c>
      <c r="G82" s="1" t="s">
        <v>390</v>
      </c>
      <c r="H82" s="1" t="s">
        <v>391</v>
      </c>
      <c r="I82" s="1"/>
      <c r="J82" s="1" t="s">
        <v>392</v>
      </c>
      <c r="K82" s="1"/>
      <c r="L82" s="1"/>
      <c r="M82" s="1" t="s">
        <v>34</v>
      </c>
      <c r="N82" s="1" t="s">
        <v>393</v>
      </c>
      <c r="O82" s="1" t="s">
        <v>394</v>
      </c>
      <c r="P82" s="1" t="s">
        <v>37</v>
      </c>
      <c r="Q82" s="1"/>
      <c r="R82" s="2">
        <v>43833</v>
      </c>
      <c r="S82" s="1"/>
      <c r="W82" s="1" t="s">
        <v>38</v>
      </c>
      <c r="X82" s="2">
        <v>43840</v>
      </c>
      <c r="Y82" s="2">
        <v>43860</v>
      </c>
      <c r="Z82" s="2">
        <v>43857</v>
      </c>
      <c r="AA82" s="2">
        <v>43854</v>
      </c>
      <c r="AB82" s="2">
        <v>43833</v>
      </c>
      <c r="AC82" s="1"/>
      <c r="AD82">
        <v>24</v>
      </c>
      <c r="AE82">
        <v>391</v>
      </c>
      <c r="AG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83" spans="1:33" x14ac:dyDescent="0.35">
      <c r="A83">
        <v>83</v>
      </c>
      <c r="B83" s="1"/>
      <c r="C83">
        <v>0</v>
      </c>
      <c r="D83" s="1" t="s">
        <v>206</v>
      </c>
      <c r="E83" s="1" t="s">
        <v>395</v>
      </c>
      <c r="F83" s="1" t="s">
        <v>30</v>
      </c>
      <c r="G83" s="1" t="s">
        <v>396</v>
      </c>
      <c r="H83" s="1" t="s">
        <v>397</v>
      </c>
      <c r="I83" s="1" t="s">
        <v>398</v>
      </c>
      <c r="J83" s="1" t="s">
        <v>822</v>
      </c>
      <c r="K83" s="1"/>
      <c r="L83" s="1"/>
      <c r="M83" s="1" t="s">
        <v>34</v>
      </c>
      <c r="N83" s="1" t="s">
        <v>97</v>
      </c>
      <c r="O83" s="1" t="s">
        <v>98</v>
      </c>
      <c r="P83" s="1" t="s">
        <v>99</v>
      </c>
      <c r="Q83" s="1"/>
      <c r="R83" s="2">
        <v>43899</v>
      </c>
      <c r="S83" s="1"/>
      <c r="W83" s="1" t="s">
        <v>38</v>
      </c>
      <c r="X83" s="2">
        <v>43843</v>
      </c>
      <c r="Y83" s="2">
        <v>43909</v>
      </c>
      <c r="Z83" s="2">
        <v>43908</v>
      </c>
      <c r="AA83" s="2">
        <v>43901</v>
      </c>
      <c r="AB83" s="2">
        <v>43833</v>
      </c>
      <c r="AC83" s="1"/>
      <c r="AD83">
        <v>75</v>
      </c>
      <c r="AE83">
        <v>391</v>
      </c>
      <c r="AG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75</v>
      </c>
    </row>
    <row r="84" spans="1:33" x14ac:dyDescent="0.35">
      <c r="A84">
        <v>84</v>
      </c>
      <c r="B84" s="1"/>
      <c r="C84">
        <v>0</v>
      </c>
      <c r="D84" s="1" t="s">
        <v>206</v>
      </c>
      <c r="E84" s="1" t="s">
        <v>400</v>
      </c>
      <c r="F84" s="1" t="s">
        <v>30</v>
      </c>
      <c r="G84" s="1" t="s">
        <v>401</v>
      </c>
      <c r="H84" s="1" t="s">
        <v>402</v>
      </c>
      <c r="I84" s="1" t="s">
        <v>403</v>
      </c>
      <c r="J84" s="1" t="s">
        <v>823</v>
      </c>
      <c r="K84" s="1"/>
      <c r="L84" s="1"/>
      <c r="M84" s="1" t="s">
        <v>34</v>
      </c>
      <c r="N84" s="1" t="s">
        <v>97</v>
      </c>
      <c r="O84" s="1" t="s">
        <v>98</v>
      </c>
      <c r="P84" s="1" t="s">
        <v>99</v>
      </c>
      <c r="Q84" s="1"/>
      <c r="R84" s="2">
        <v>43899</v>
      </c>
      <c r="S84" s="1"/>
      <c r="W84" s="1" t="s">
        <v>38</v>
      </c>
      <c r="X84" s="2">
        <v>43843</v>
      </c>
      <c r="Y84" s="2">
        <v>43909</v>
      </c>
      <c r="Z84" s="2">
        <v>43908</v>
      </c>
      <c r="AA84" s="2">
        <v>43901</v>
      </c>
      <c r="AB84" s="2">
        <v>43833</v>
      </c>
      <c r="AC84" s="1"/>
      <c r="AD84">
        <v>75</v>
      </c>
      <c r="AE84">
        <v>391</v>
      </c>
      <c r="AG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75</v>
      </c>
    </row>
    <row r="85" spans="1:33" x14ac:dyDescent="0.35">
      <c r="A85">
        <v>85</v>
      </c>
      <c r="B85" s="1"/>
      <c r="C85">
        <v>0</v>
      </c>
      <c r="D85" s="1" t="s">
        <v>206</v>
      </c>
      <c r="E85" s="1" t="s">
        <v>404</v>
      </c>
      <c r="F85" s="1" t="s">
        <v>30</v>
      </c>
      <c r="G85" s="1" t="s">
        <v>405</v>
      </c>
      <c r="H85" s="1" t="s">
        <v>406</v>
      </c>
      <c r="I85" s="1" t="s">
        <v>407</v>
      </c>
      <c r="J85" s="1" t="s">
        <v>408</v>
      </c>
      <c r="K85" s="1"/>
      <c r="L85" s="1"/>
      <c r="M85" s="1" t="s">
        <v>34</v>
      </c>
      <c r="N85" s="1" t="s">
        <v>97</v>
      </c>
      <c r="O85" s="1" t="s">
        <v>98</v>
      </c>
      <c r="P85" s="1" t="s">
        <v>37</v>
      </c>
      <c r="Q85" s="1"/>
      <c r="R85" s="2">
        <v>43833</v>
      </c>
      <c r="S85" s="1"/>
      <c r="W85" s="1" t="s">
        <v>38</v>
      </c>
      <c r="X85" s="2">
        <v>43843</v>
      </c>
      <c r="Y85" s="2">
        <v>43839</v>
      </c>
      <c r="Z85" s="2">
        <v>43839</v>
      </c>
      <c r="AA85" s="2">
        <v>43838</v>
      </c>
      <c r="AB85" s="2">
        <v>43833</v>
      </c>
      <c r="AC85" s="1"/>
      <c r="AD85">
        <v>6</v>
      </c>
      <c r="AE85">
        <v>391</v>
      </c>
      <c r="AG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86" spans="1:33" x14ac:dyDescent="0.35">
      <c r="A86">
        <v>86</v>
      </c>
      <c r="B86" s="1"/>
      <c r="C86">
        <v>0</v>
      </c>
      <c r="D86" s="1" t="s">
        <v>206</v>
      </c>
      <c r="E86" s="1" t="s">
        <v>409</v>
      </c>
      <c r="F86" s="1" t="s">
        <v>30</v>
      </c>
      <c r="G86" s="1" t="s">
        <v>410</v>
      </c>
      <c r="H86" s="1" t="s">
        <v>411</v>
      </c>
      <c r="I86" s="1" t="s">
        <v>412</v>
      </c>
      <c r="J86" s="1" t="s">
        <v>413</v>
      </c>
      <c r="K86" s="1"/>
      <c r="L86" s="1"/>
      <c r="M86" s="1" t="s">
        <v>34</v>
      </c>
      <c r="N86" s="1" t="s">
        <v>97</v>
      </c>
      <c r="O86" s="1" t="s">
        <v>98</v>
      </c>
      <c r="P86" s="1" t="s">
        <v>37</v>
      </c>
      <c r="Q86" s="1"/>
      <c r="R86" s="2">
        <v>43833</v>
      </c>
      <c r="S86" s="1"/>
      <c r="W86" s="1" t="s">
        <v>38</v>
      </c>
      <c r="X86" s="2">
        <v>43843</v>
      </c>
      <c r="Y86" s="2">
        <v>43839</v>
      </c>
      <c r="Z86" s="2">
        <v>43838</v>
      </c>
      <c r="AA86" s="2">
        <v>43838</v>
      </c>
      <c r="AB86" s="2">
        <v>43833</v>
      </c>
      <c r="AC86" s="1"/>
      <c r="AD86">
        <v>5</v>
      </c>
      <c r="AE86">
        <v>391</v>
      </c>
      <c r="AG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87" spans="1:33" x14ac:dyDescent="0.35">
      <c r="A87">
        <v>87</v>
      </c>
      <c r="B87" s="1"/>
      <c r="C87">
        <v>0</v>
      </c>
      <c r="D87" s="1" t="s">
        <v>206</v>
      </c>
      <c r="E87" s="1" t="s">
        <v>414</v>
      </c>
      <c r="F87" s="1" t="s">
        <v>30</v>
      </c>
      <c r="G87" s="1" t="s">
        <v>415</v>
      </c>
      <c r="H87" s="1" t="s">
        <v>416</v>
      </c>
      <c r="I87" s="1" t="s">
        <v>417</v>
      </c>
      <c r="J87" s="1" t="s">
        <v>824</v>
      </c>
      <c r="K87" s="1"/>
      <c r="L87" s="1"/>
      <c r="M87" s="1" t="s">
        <v>34</v>
      </c>
      <c r="N87" s="1" t="s">
        <v>97</v>
      </c>
      <c r="O87" s="1" t="s">
        <v>98</v>
      </c>
      <c r="P87" s="1" t="s">
        <v>37</v>
      </c>
      <c r="Q87" s="1"/>
      <c r="R87" s="2">
        <v>43833</v>
      </c>
      <c r="S87" s="1"/>
      <c r="W87" s="1" t="s">
        <v>38</v>
      </c>
      <c r="X87" s="2">
        <v>43843</v>
      </c>
      <c r="Y87" s="2">
        <v>43881</v>
      </c>
      <c r="Z87" s="2">
        <v>43880</v>
      </c>
      <c r="AA87" s="2">
        <v>43836</v>
      </c>
      <c r="AB87" s="2">
        <v>43833</v>
      </c>
      <c r="AC87" s="1"/>
      <c r="AD87">
        <v>47</v>
      </c>
      <c r="AE87">
        <v>391</v>
      </c>
      <c r="AG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47</v>
      </c>
    </row>
    <row r="88" spans="1:33" x14ac:dyDescent="0.35">
      <c r="A88">
        <v>88</v>
      </c>
      <c r="B88" s="1"/>
      <c r="C88">
        <v>0</v>
      </c>
      <c r="D88" s="1"/>
      <c r="E88" s="1"/>
      <c r="F88" s="1" t="s">
        <v>30</v>
      </c>
      <c r="G88" s="1" t="s">
        <v>418</v>
      </c>
      <c r="H88" s="1" t="s">
        <v>419</v>
      </c>
      <c r="I88" s="1"/>
      <c r="J88" s="1" t="s">
        <v>420</v>
      </c>
      <c r="K88" s="1"/>
      <c r="L88" s="1"/>
      <c r="M88" s="1" t="s">
        <v>34</v>
      </c>
      <c r="N88" s="1" t="s">
        <v>352</v>
      </c>
      <c r="O88" s="1" t="s">
        <v>44</v>
      </c>
      <c r="P88" s="1" t="s">
        <v>37</v>
      </c>
      <c r="Q88" s="1"/>
      <c r="R88" s="2">
        <v>43836</v>
      </c>
      <c r="S88" s="1"/>
      <c r="W88" s="1" t="s">
        <v>38</v>
      </c>
      <c r="X88" s="2">
        <v>43843</v>
      </c>
      <c r="Y88" s="2">
        <v>43860</v>
      </c>
      <c r="Z88" s="2">
        <v>43854</v>
      </c>
      <c r="AA88" s="2"/>
      <c r="AB88" s="2">
        <v>43836</v>
      </c>
      <c r="AC88" s="1"/>
      <c r="AD88">
        <v>18</v>
      </c>
      <c r="AE88">
        <v>388</v>
      </c>
      <c r="AG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89" spans="1:33" x14ac:dyDescent="0.35">
      <c r="A89">
        <v>89</v>
      </c>
      <c r="B89" s="1"/>
      <c r="C89">
        <v>0</v>
      </c>
      <c r="D89" s="1"/>
      <c r="E89" s="1"/>
      <c r="F89" s="1" t="s">
        <v>30</v>
      </c>
      <c r="G89" s="1" t="s">
        <v>421</v>
      </c>
      <c r="H89" s="1" t="s">
        <v>422</v>
      </c>
      <c r="I89" s="1" t="s">
        <v>423</v>
      </c>
      <c r="J89" s="1" t="s">
        <v>424</v>
      </c>
      <c r="K89" s="1"/>
      <c r="L89" s="1"/>
      <c r="M89" s="1" t="s">
        <v>34</v>
      </c>
      <c r="N89" s="1" t="s">
        <v>129</v>
      </c>
      <c r="O89" s="1" t="s">
        <v>44</v>
      </c>
      <c r="P89" s="1" t="s">
        <v>278</v>
      </c>
      <c r="Q89" s="1"/>
      <c r="R89" s="2">
        <v>43836</v>
      </c>
      <c r="S89" s="1"/>
      <c r="W89" s="1" t="s">
        <v>38</v>
      </c>
      <c r="X89" s="2">
        <v>43843</v>
      </c>
      <c r="Y89" s="2">
        <v>43858</v>
      </c>
      <c r="Z89" s="2">
        <v>43851</v>
      </c>
      <c r="AA89" s="2">
        <v>43836</v>
      </c>
      <c r="AB89" s="2">
        <v>43836</v>
      </c>
      <c r="AC89" s="1"/>
      <c r="AD89">
        <v>15</v>
      </c>
      <c r="AE89">
        <v>388</v>
      </c>
      <c r="AG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0" spans="1:33" x14ac:dyDescent="0.35">
      <c r="A90">
        <v>90</v>
      </c>
      <c r="B90" s="1"/>
      <c r="C90">
        <v>0</v>
      </c>
      <c r="D90" s="1"/>
      <c r="E90" s="1"/>
      <c r="F90" s="1" t="s">
        <v>30</v>
      </c>
      <c r="G90" s="1" t="s">
        <v>425</v>
      </c>
      <c r="H90" s="1" t="s">
        <v>426</v>
      </c>
      <c r="I90" s="1"/>
      <c r="J90" s="1" t="s">
        <v>825</v>
      </c>
      <c r="K90" s="1"/>
      <c r="L90" s="1"/>
      <c r="M90" s="1" t="s">
        <v>197</v>
      </c>
      <c r="N90" s="1" t="s">
        <v>341</v>
      </c>
      <c r="O90" s="1" t="s">
        <v>62</v>
      </c>
      <c r="P90" s="1" t="s">
        <v>37</v>
      </c>
      <c r="Q90" s="1"/>
      <c r="R90" s="2">
        <v>43836</v>
      </c>
      <c r="S90" s="1"/>
      <c r="W90" s="1" t="s">
        <v>38</v>
      </c>
      <c r="X90" s="2">
        <v>43860</v>
      </c>
      <c r="Y90" s="2">
        <v>43895</v>
      </c>
      <c r="Z90" s="2">
        <v>43888</v>
      </c>
      <c r="AA90" s="2">
        <v>43886</v>
      </c>
      <c r="AB90" s="2">
        <v>43836</v>
      </c>
      <c r="AC90" s="1"/>
      <c r="AD90">
        <v>52</v>
      </c>
      <c r="AE90">
        <v>388</v>
      </c>
      <c r="AG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52</v>
      </c>
    </row>
    <row r="91" spans="1:33" x14ac:dyDescent="0.35">
      <c r="A91">
        <v>91</v>
      </c>
      <c r="B91" s="1"/>
      <c r="C91">
        <v>0</v>
      </c>
      <c r="D91" s="1"/>
      <c r="E91" s="1"/>
      <c r="F91" s="1" t="s">
        <v>30</v>
      </c>
      <c r="G91" s="1" t="s">
        <v>427</v>
      </c>
      <c r="H91" s="1" t="s">
        <v>428</v>
      </c>
      <c r="I91" s="1"/>
      <c r="J91" s="1" t="s">
        <v>429</v>
      </c>
      <c r="K91" s="1"/>
      <c r="L91" s="1"/>
      <c r="M91" s="1" t="s">
        <v>34</v>
      </c>
      <c r="N91" s="1" t="s">
        <v>341</v>
      </c>
      <c r="O91" s="1" t="s">
        <v>62</v>
      </c>
      <c r="P91" s="1" t="s">
        <v>37</v>
      </c>
      <c r="Q91" s="1"/>
      <c r="R91" s="2">
        <v>43838</v>
      </c>
      <c r="S91" s="1"/>
      <c r="W91" s="1" t="s">
        <v>38</v>
      </c>
      <c r="X91" s="2">
        <v>43845</v>
      </c>
      <c r="Y91" s="2">
        <v>43839</v>
      </c>
      <c r="Z91" s="2">
        <v>43838</v>
      </c>
      <c r="AA91" s="2">
        <v>43838</v>
      </c>
      <c r="AB91" s="2">
        <v>43838</v>
      </c>
      <c r="AC91" s="1"/>
      <c r="AD91">
        <v>0</v>
      </c>
      <c r="AE91">
        <v>386</v>
      </c>
      <c r="AG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92" spans="1:33" x14ac:dyDescent="0.35">
      <c r="A92">
        <v>92</v>
      </c>
      <c r="B92" s="1"/>
      <c r="C92">
        <v>0</v>
      </c>
      <c r="D92" s="1"/>
      <c r="E92" s="1"/>
      <c r="F92" s="1" t="s">
        <v>30</v>
      </c>
      <c r="G92" s="1" t="s">
        <v>430</v>
      </c>
      <c r="H92" s="1"/>
      <c r="I92" s="1"/>
      <c r="J92" s="1"/>
      <c r="K92" s="1"/>
      <c r="L92" s="1"/>
      <c r="M92" s="1" t="s">
        <v>34</v>
      </c>
      <c r="N92" s="1" t="s">
        <v>129</v>
      </c>
      <c r="O92" s="1" t="s">
        <v>44</v>
      </c>
      <c r="P92" s="1" t="s">
        <v>164</v>
      </c>
      <c r="Q92" s="1"/>
      <c r="R92" s="2"/>
      <c r="S92" s="1"/>
      <c r="W92" s="1" t="s">
        <v>38</v>
      </c>
      <c r="X92" s="2">
        <v>43845</v>
      </c>
      <c r="Y92" s="2"/>
      <c r="Z92" s="2"/>
      <c r="AA92" s="2"/>
      <c r="AB92" s="2">
        <v>43838</v>
      </c>
      <c r="AC92" s="1"/>
      <c r="AE92">
        <v>386</v>
      </c>
      <c r="AG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93" spans="1:33" x14ac:dyDescent="0.35">
      <c r="A93">
        <v>93</v>
      </c>
      <c r="B93" s="1"/>
      <c r="C93">
        <v>0</v>
      </c>
      <c r="D93" s="1"/>
      <c r="E93" s="1" t="s">
        <v>431</v>
      </c>
      <c r="F93" s="1" t="s">
        <v>30</v>
      </c>
      <c r="G93" s="1" t="s">
        <v>432</v>
      </c>
      <c r="H93" s="1" t="s">
        <v>433</v>
      </c>
      <c r="I93" s="1" t="s">
        <v>434</v>
      </c>
      <c r="J93" s="1" t="s">
        <v>826</v>
      </c>
      <c r="K93" s="1"/>
      <c r="L93" s="1"/>
      <c r="M93" s="1" t="s">
        <v>34</v>
      </c>
      <c r="N93" s="1" t="s">
        <v>437</v>
      </c>
      <c r="O93" s="1" t="s">
        <v>44</v>
      </c>
      <c r="P93" s="1" t="s">
        <v>435</v>
      </c>
      <c r="Q93" s="1" t="s">
        <v>436</v>
      </c>
      <c r="R93" s="2">
        <v>43838</v>
      </c>
      <c r="S93" s="1"/>
      <c r="W93" s="1" t="s">
        <v>38</v>
      </c>
      <c r="X93" s="2">
        <v>43845</v>
      </c>
      <c r="Y93" s="2">
        <v>43879</v>
      </c>
      <c r="Z93" s="2">
        <v>43861</v>
      </c>
      <c r="AA93" s="2">
        <v>43860</v>
      </c>
      <c r="AB93" s="2">
        <v>43838</v>
      </c>
      <c r="AC93" s="1"/>
      <c r="AD93">
        <v>23</v>
      </c>
      <c r="AE93">
        <v>386</v>
      </c>
      <c r="AG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94" spans="1:33" x14ac:dyDescent="0.35">
      <c r="A94">
        <v>94</v>
      </c>
      <c r="B94" s="1"/>
      <c r="C94">
        <v>0</v>
      </c>
      <c r="D94" s="1"/>
      <c r="E94" s="1" t="s">
        <v>431</v>
      </c>
      <c r="F94" s="1" t="s">
        <v>30</v>
      </c>
      <c r="G94" s="1" t="s">
        <v>438</v>
      </c>
      <c r="H94" s="1" t="s">
        <v>439</v>
      </c>
      <c r="I94" s="1" t="s">
        <v>440</v>
      </c>
      <c r="J94" s="1" t="s">
        <v>441</v>
      </c>
      <c r="K94" s="1"/>
      <c r="L94" s="1"/>
      <c r="M94" s="1" t="s">
        <v>197</v>
      </c>
      <c r="N94" s="1" t="s">
        <v>437</v>
      </c>
      <c r="O94" s="1" t="s">
        <v>44</v>
      </c>
      <c r="P94" s="1" t="s">
        <v>278</v>
      </c>
      <c r="Q94" s="1"/>
      <c r="R94" s="2">
        <v>43838</v>
      </c>
      <c r="S94" s="1"/>
      <c r="W94" s="1" t="s">
        <v>38</v>
      </c>
      <c r="X94" s="2">
        <v>43841</v>
      </c>
      <c r="Y94" s="2">
        <v>43860</v>
      </c>
      <c r="Z94" s="2">
        <v>43840</v>
      </c>
      <c r="AA94" s="2">
        <v>43838</v>
      </c>
      <c r="AB94" s="2">
        <v>43838</v>
      </c>
      <c r="AC94" s="1"/>
      <c r="AD94">
        <v>2</v>
      </c>
      <c r="AE94">
        <v>386</v>
      </c>
      <c r="AG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95" spans="1:33" x14ac:dyDescent="0.35">
      <c r="A95">
        <v>95</v>
      </c>
      <c r="B95" s="1"/>
      <c r="C95">
        <v>0</v>
      </c>
      <c r="D95" s="1"/>
      <c r="E95" s="1"/>
      <c r="F95" s="1" t="s">
        <v>30</v>
      </c>
      <c r="G95" s="1" t="s">
        <v>442</v>
      </c>
      <c r="H95" s="1" t="s">
        <v>443</v>
      </c>
      <c r="I95" s="1"/>
      <c r="J95" s="1" t="s">
        <v>282</v>
      </c>
      <c r="K95" s="1"/>
      <c r="L95" s="1"/>
      <c r="M95" s="1" t="s">
        <v>34</v>
      </c>
      <c r="N95" s="1" t="s">
        <v>43</v>
      </c>
      <c r="O95" s="1" t="s">
        <v>44</v>
      </c>
      <c r="P95" s="1" t="s">
        <v>37</v>
      </c>
      <c r="Q95" s="1"/>
      <c r="R95" s="2">
        <v>43838</v>
      </c>
      <c r="S95" s="1"/>
      <c r="W95" s="1" t="s">
        <v>38</v>
      </c>
      <c r="X95" s="2">
        <v>43845</v>
      </c>
      <c r="Y95" s="2">
        <v>43859</v>
      </c>
      <c r="Z95" s="2">
        <v>43857</v>
      </c>
      <c r="AA95" s="2">
        <v>43857</v>
      </c>
      <c r="AB95" s="2">
        <v>43838</v>
      </c>
      <c r="AC95" s="1"/>
      <c r="AD95">
        <v>19</v>
      </c>
      <c r="AE95">
        <v>386</v>
      </c>
      <c r="AG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96" spans="1:33" x14ac:dyDescent="0.35">
      <c r="A96">
        <v>96</v>
      </c>
      <c r="B96" s="1"/>
      <c r="C96">
        <v>0</v>
      </c>
      <c r="D96" s="1" t="s">
        <v>111</v>
      </c>
      <c r="E96" s="1" t="s">
        <v>444</v>
      </c>
      <c r="F96" s="1" t="s">
        <v>30</v>
      </c>
      <c r="G96" s="1" t="s">
        <v>445</v>
      </c>
      <c r="H96" s="1" t="s">
        <v>446</v>
      </c>
      <c r="I96" s="1" t="s">
        <v>447</v>
      </c>
      <c r="J96" s="1" t="s">
        <v>448</v>
      </c>
      <c r="K96" s="1"/>
      <c r="L96" s="1"/>
      <c r="M96" s="1" t="s">
        <v>34</v>
      </c>
      <c r="N96" s="1" t="s">
        <v>97</v>
      </c>
      <c r="O96" s="1" t="s">
        <v>98</v>
      </c>
      <c r="P96" s="1" t="s">
        <v>37</v>
      </c>
      <c r="Q96" s="1"/>
      <c r="R96" s="2">
        <v>43838</v>
      </c>
      <c r="S96" s="1"/>
      <c r="W96" s="1" t="s">
        <v>38</v>
      </c>
      <c r="X96" s="2">
        <v>43845</v>
      </c>
      <c r="Y96" s="2">
        <v>43854</v>
      </c>
      <c r="Z96" s="2">
        <v>43853</v>
      </c>
      <c r="AA96" s="2">
        <v>43852</v>
      </c>
      <c r="AB96" s="2">
        <v>43838</v>
      </c>
      <c r="AC96" s="1"/>
      <c r="AD96">
        <v>15</v>
      </c>
      <c r="AE96">
        <v>386</v>
      </c>
      <c r="AG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7" spans="1:33" x14ac:dyDescent="0.35">
      <c r="A97">
        <v>97</v>
      </c>
      <c r="B97" s="1"/>
      <c r="C97">
        <v>0</v>
      </c>
      <c r="D97" s="1" t="s">
        <v>111</v>
      </c>
      <c r="E97" s="1" t="s">
        <v>449</v>
      </c>
      <c r="F97" s="1" t="s">
        <v>30</v>
      </c>
      <c r="G97" s="1" t="s">
        <v>450</v>
      </c>
      <c r="H97" s="1" t="s">
        <v>451</v>
      </c>
      <c r="I97" s="1" t="s">
        <v>452</v>
      </c>
      <c r="J97" s="1" t="s">
        <v>453</v>
      </c>
      <c r="K97" s="1"/>
      <c r="L97" s="1"/>
      <c r="M97" s="1" t="s">
        <v>34</v>
      </c>
      <c r="N97" s="1" t="s">
        <v>97</v>
      </c>
      <c r="O97" s="1" t="s">
        <v>98</v>
      </c>
      <c r="P97" s="1" t="s">
        <v>37</v>
      </c>
      <c r="Q97" s="1"/>
      <c r="R97" s="2">
        <v>43838</v>
      </c>
      <c r="S97" s="1"/>
      <c r="W97" s="1" t="s">
        <v>38</v>
      </c>
      <c r="X97" s="2">
        <v>43845</v>
      </c>
      <c r="Y97" s="2">
        <v>43854</v>
      </c>
      <c r="Z97" s="2">
        <v>43853</v>
      </c>
      <c r="AA97" s="2">
        <v>43852</v>
      </c>
      <c r="AB97" s="2">
        <v>43838</v>
      </c>
      <c r="AC97" s="1"/>
      <c r="AD97">
        <v>15</v>
      </c>
      <c r="AE97">
        <v>386</v>
      </c>
      <c r="AG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8" spans="1:33" x14ac:dyDescent="0.35">
      <c r="A98">
        <v>98</v>
      </c>
      <c r="B98" s="1"/>
      <c r="C98">
        <v>0</v>
      </c>
      <c r="D98" s="1" t="s">
        <v>111</v>
      </c>
      <c r="E98" s="1" t="s">
        <v>454</v>
      </c>
      <c r="F98" s="1" t="s">
        <v>30</v>
      </c>
      <c r="G98" s="1" t="s">
        <v>455</v>
      </c>
      <c r="H98" s="1" t="s">
        <v>456</v>
      </c>
      <c r="I98" s="1" t="s">
        <v>457</v>
      </c>
      <c r="J98" s="1" t="s">
        <v>458</v>
      </c>
      <c r="K98" s="1"/>
      <c r="L98" s="1"/>
      <c r="M98" s="1" t="s">
        <v>34</v>
      </c>
      <c r="N98" s="1" t="s">
        <v>97</v>
      </c>
      <c r="O98" s="1" t="s">
        <v>98</v>
      </c>
      <c r="P98" s="1" t="s">
        <v>37</v>
      </c>
      <c r="Q98" s="1"/>
      <c r="R98" s="2">
        <v>43838</v>
      </c>
      <c r="S98" s="1"/>
      <c r="W98" s="1" t="s">
        <v>38</v>
      </c>
      <c r="X98" s="2">
        <v>43845</v>
      </c>
      <c r="Y98" s="2">
        <v>43854</v>
      </c>
      <c r="Z98" s="2">
        <v>43853</v>
      </c>
      <c r="AA98" s="2">
        <v>43853</v>
      </c>
      <c r="AB98" s="2">
        <v>43838</v>
      </c>
      <c r="AC98" s="1"/>
      <c r="AD98">
        <v>15</v>
      </c>
      <c r="AE98">
        <v>386</v>
      </c>
      <c r="AG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9" spans="1:33" x14ac:dyDescent="0.35">
      <c r="A99">
        <v>99</v>
      </c>
      <c r="B99" s="1"/>
      <c r="C99">
        <v>0</v>
      </c>
      <c r="D99" s="1" t="s">
        <v>206</v>
      </c>
      <c r="E99" s="1"/>
      <c r="F99" s="1" t="s">
        <v>30</v>
      </c>
      <c r="G99" s="1" t="s">
        <v>459</v>
      </c>
      <c r="H99" s="1" t="s">
        <v>460</v>
      </c>
      <c r="I99" s="1" t="s">
        <v>461</v>
      </c>
      <c r="J99" s="1" t="s">
        <v>462</v>
      </c>
      <c r="K99" s="1"/>
      <c r="L99" s="1"/>
      <c r="M99" s="1" t="s">
        <v>34</v>
      </c>
      <c r="N99" s="1" t="s">
        <v>97</v>
      </c>
      <c r="O99" s="1" t="s">
        <v>98</v>
      </c>
      <c r="P99" s="1" t="s">
        <v>37</v>
      </c>
      <c r="Q99" s="1"/>
      <c r="R99" s="2">
        <v>43838</v>
      </c>
      <c r="S99" s="1"/>
      <c r="W99" s="1" t="s">
        <v>38</v>
      </c>
      <c r="X99" s="2">
        <v>43845</v>
      </c>
      <c r="Y99" s="2">
        <v>43854</v>
      </c>
      <c r="Z99" s="2">
        <v>43853</v>
      </c>
      <c r="AA99" s="2">
        <v>43852</v>
      </c>
      <c r="AB99" s="2">
        <v>43838</v>
      </c>
      <c r="AC99" s="1"/>
      <c r="AD99">
        <v>15</v>
      </c>
      <c r="AE99">
        <v>386</v>
      </c>
      <c r="AG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00" spans="1:33" x14ac:dyDescent="0.35">
      <c r="A100">
        <v>100</v>
      </c>
      <c r="B100" s="1"/>
      <c r="C100">
        <v>0</v>
      </c>
      <c r="D100" s="1" t="s">
        <v>206</v>
      </c>
      <c r="E100" s="1" t="s">
        <v>217</v>
      </c>
      <c r="F100" s="1" t="s">
        <v>30</v>
      </c>
      <c r="G100" s="1" t="s">
        <v>463</v>
      </c>
      <c r="H100" s="1" t="s">
        <v>464</v>
      </c>
      <c r="I100" s="1" t="s">
        <v>465</v>
      </c>
      <c r="J100" s="1" t="s">
        <v>399</v>
      </c>
      <c r="K100" s="1"/>
      <c r="L100" s="1"/>
      <c r="M100" s="1" t="s">
        <v>34</v>
      </c>
      <c r="N100" s="1" t="s">
        <v>97</v>
      </c>
      <c r="O100" s="1" t="s">
        <v>98</v>
      </c>
      <c r="P100" s="1" t="s">
        <v>37</v>
      </c>
      <c r="Q100" s="1"/>
      <c r="R100" s="2">
        <v>43838</v>
      </c>
      <c r="S100" s="1"/>
      <c r="W100" s="1" t="s">
        <v>38</v>
      </c>
      <c r="X100" s="2">
        <v>43845</v>
      </c>
      <c r="Y100" s="2">
        <v>43859</v>
      </c>
      <c r="Z100" s="2">
        <v>43858</v>
      </c>
      <c r="AA100" s="2">
        <v>43857</v>
      </c>
      <c r="AB100" s="2">
        <v>43838</v>
      </c>
      <c r="AC100" s="1"/>
      <c r="AD100">
        <v>20</v>
      </c>
      <c r="AE100">
        <v>386</v>
      </c>
      <c r="AG1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101" spans="1:33" x14ac:dyDescent="0.35">
      <c r="A101">
        <v>101</v>
      </c>
      <c r="B101" s="1"/>
      <c r="C101">
        <v>0</v>
      </c>
      <c r="D101" s="1" t="s">
        <v>111</v>
      </c>
      <c r="E101" s="1" t="s">
        <v>454</v>
      </c>
      <c r="F101" s="1" t="s">
        <v>30</v>
      </c>
      <c r="G101" s="1" t="s">
        <v>466</v>
      </c>
      <c r="H101" s="1" t="s">
        <v>467</v>
      </c>
      <c r="I101" s="1" t="s">
        <v>468</v>
      </c>
      <c r="J101" s="1" t="s">
        <v>399</v>
      </c>
      <c r="K101" s="1"/>
      <c r="L101" s="1"/>
      <c r="M101" s="1" t="s">
        <v>34</v>
      </c>
      <c r="N101" s="1" t="s">
        <v>97</v>
      </c>
      <c r="O101" s="1" t="s">
        <v>98</v>
      </c>
      <c r="P101" s="1" t="s">
        <v>37</v>
      </c>
      <c r="Q101" s="1"/>
      <c r="R101" s="2">
        <v>43839</v>
      </c>
      <c r="S101" s="1"/>
      <c r="W101" s="1" t="s">
        <v>38</v>
      </c>
      <c r="X101" s="2">
        <v>43845</v>
      </c>
      <c r="Y101" s="2">
        <v>43859</v>
      </c>
      <c r="Z101" s="2">
        <v>43858</v>
      </c>
      <c r="AA101" s="2">
        <v>43853</v>
      </c>
      <c r="AB101" s="2">
        <v>43839</v>
      </c>
      <c r="AC101" s="1"/>
      <c r="AD101">
        <v>19</v>
      </c>
      <c r="AE101">
        <v>385</v>
      </c>
      <c r="AG1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102" spans="1:33" x14ac:dyDescent="0.35">
      <c r="A102">
        <v>102</v>
      </c>
      <c r="B102" s="1"/>
      <c r="C102">
        <v>0</v>
      </c>
      <c r="D102" s="1" t="s">
        <v>206</v>
      </c>
      <c r="E102" s="1" t="s">
        <v>469</v>
      </c>
      <c r="F102" s="1" t="s">
        <v>30</v>
      </c>
      <c r="G102" s="1" t="s">
        <v>470</v>
      </c>
      <c r="H102" s="1" t="s">
        <v>471</v>
      </c>
      <c r="I102" s="1" t="s">
        <v>472</v>
      </c>
      <c r="J102" s="1" t="s">
        <v>399</v>
      </c>
      <c r="K102" s="1"/>
      <c r="L102" s="1"/>
      <c r="M102" s="1" t="s">
        <v>34</v>
      </c>
      <c r="N102" s="1" t="s">
        <v>97</v>
      </c>
      <c r="O102" s="1" t="s">
        <v>98</v>
      </c>
      <c r="P102" s="1" t="s">
        <v>37</v>
      </c>
      <c r="Q102" s="1"/>
      <c r="R102" s="2">
        <v>43839</v>
      </c>
      <c r="S102" s="1"/>
      <c r="W102" s="1" t="s">
        <v>38</v>
      </c>
      <c r="X102" s="2">
        <v>43845</v>
      </c>
      <c r="Y102" s="2">
        <v>43852</v>
      </c>
      <c r="Z102" s="2">
        <v>43852</v>
      </c>
      <c r="AA102" s="2">
        <v>43852</v>
      </c>
      <c r="AB102" s="2">
        <v>43839</v>
      </c>
      <c r="AC102" s="1"/>
      <c r="AD102">
        <v>13</v>
      </c>
      <c r="AE102">
        <v>385</v>
      </c>
      <c r="AG1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03" spans="1:33" x14ac:dyDescent="0.35">
      <c r="A103">
        <v>103</v>
      </c>
      <c r="B103" s="1"/>
      <c r="C103">
        <v>0</v>
      </c>
      <c r="D103" s="1"/>
      <c r="E103" s="1"/>
      <c r="F103" s="1" t="s">
        <v>30</v>
      </c>
      <c r="G103" s="1" t="s">
        <v>473</v>
      </c>
      <c r="H103" s="1" t="s">
        <v>474</v>
      </c>
      <c r="I103" s="1"/>
      <c r="J103" s="1" t="s">
        <v>1894</v>
      </c>
      <c r="K103" s="1"/>
      <c r="L103" s="1"/>
      <c r="M103" s="1" t="s">
        <v>34</v>
      </c>
      <c r="N103" s="1" t="s">
        <v>43</v>
      </c>
      <c r="O103" s="1" t="s">
        <v>44</v>
      </c>
      <c r="P103" s="1" t="s">
        <v>37</v>
      </c>
      <c r="Q103" s="1"/>
      <c r="R103" s="2">
        <v>43839</v>
      </c>
      <c r="S103" s="1"/>
      <c r="W103" s="1" t="s">
        <v>38</v>
      </c>
      <c r="X103" s="2">
        <v>43845</v>
      </c>
      <c r="Y103" s="2">
        <v>43986</v>
      </c>
      <c r="Z103" s="2">
        <v>43985</v>
      </c>
      <c r="AA103" s="2">
        <v>43978</v>
      </c>
      <c r="AB103" s="2">
        <v>43839</v>
      </c>
      <c r="AC103" s="1"/>
      <c r="AD103">
        <v>146</v>
      </c>
      <c r="AE103">
        <v>385</v>
      </c>
      <c r="AG1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146</v>
      </c>
    </row>
    <row r="104" spans="1:33" x14ac:dyDescent="0.35">
      <c r="A104">
        <v>104</v>
      </c>
      <c r="B104" s="1"/>
      <c r="C104">
        <v>0</v>
      </c>
      <c r="D104" s="1"/>
      <c r="E104" s="1"/>
      <c r="F104" s="1" t="s">
        <v>30</v>
      </c>
      <c r="G104" s="1" t="s">
        <v>475</v>
      </c>
      <c r="H104" s="1" t="s">
        <v>476</v>
      </c>
      <c r="I104" s="1"/>
      <c r="J104" s="1" t="s">
        <v>477</v>
      </c>
      <c r="K104" s="1"/>
      <c r="L104" s="1"/>
      <c r="M104" s="1" t="s">
        <v>34</v>
      </c>
      <c r="N104" s="1" t="s">
        <v>341</v>
      </c>
      <c r="O104" s="1" t="s">
        <v>62</v>
      </c>
      <c r="P104" s="1" t="s">
        <v>37</v>
      </c>
      <c r="Q104" s="1"/>
      <c r="R104" s="2">
        <v>43839</v>
      </c>
      <c r="S104" s="1"/>
      <c r="W104" s="1" t="s">
        <v>38</v>
      </c>
      <c r="X104" s="2">
        <v>43846</v>
      </c>
      <c r="Y104" s="2">
        <v>43843</v>
      </c>
      <c r="Z104" s="2">
        <v>43843</v>
      </c>
      <c r="AA104" s="2">
        <v>43843</v>
      </c>
      <c r="AB104" s="2">
        <v>43839</v>
      </c>
      <c r="AC104" s="1"/>
      <c r="AD104">
        <v>4</v>
      </c>
      <c r="AE104">
        <v>385</v>
      </c>
      <c r="AG1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05" spans="1:33" x14ac:dyDescent="0.35">
      <c r="A105">
        <v>105</v>
      </c>
      <c r="B105" s="1"/>
      <c r="C105">
        <v>0</v>
      </c>
      <c r="D105" s="1"/>
      <c r="E105" s="1"/>
      <c r="F105" s="1" t="s">
        <v>30</v>
      </c>
      <c r="G105" s="1" t="s">
        <v>478</v>
      </c>
      <c r="H105" s="1" t="s">
        <v>479</v>
      </c>
      <c r="I105" s="1"/>
      <c r="J105" s="1" t="s">
        <v>480</v>
      </c>
      <c r="K105" s="1"/>
      <c r="L105" s="1"/>
      <c r="M105" s="1" t="s">
        <v>197</v>
      </c>
      <c r="N105" s="1" t="s">
        <v>129</v>
      </c>
      <c r="O105" s="1" t="s">
        <v>44</v>
      </c>
      <c r="P105" s="1" t="s">
        <v>37</v>
      </c>
      <c r="Q105" s="1"/>
      <c r="R105" s="2">
        <v>43840</v>
      </c>
      <c r="S105" s="1"/>
      <c r="W105" s="1" t="s">
        <v>38</v>
      </c>
      <c r="X105" s="2">
        <v>43843</v>
      </c>
      <c r="Y105" s="2">
        <v>43843</v>
      </c>
      <c r="Z105" s="2">
        <v>43843</v>
      </c>
      <c r="AA105" s="2"/>
      <c r="AB105" s="2">
        <v>43840</v>
      </c>
      <c r="AC105" s="1"/>
      <c r="AD105">
        <v>3</v>
      </c>
      <c r="AE105">
        <v>384</v>
      </c>
      <c r="AG1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06" spans="1:33" x14ac:dyDescent="0.35">
      <c r="A106">
        <v>106</v>
      </c>
      <c r="B106" s="1"/>
      <c r="C106">
        <v>0</v>
      </c>
      <c r="D106" s="1"/>
      <c r="E106" s="1"/>
      <c r="F106" s="1" t="s">
        <v>30</v>
      </c>
      <c r="G106" s="1" t="s">
        <v>481</v>
      </c>
      <c r="H106" s="1" t="s">
        <v>482</v>
      </c>
      <c r="I106" s="1"/>
      <c r="J106" s="1" t="s">
        <v>827</v>
      </c>
      <c r="K106" s="1"/>
      <c r="L106" s="1"/>
      <c r="M106" s="1" t="s">
        <v>34</v>
      </c>
      <c r="N106" s="1" t="s">
        <v>483</v>
      </c>
      <c r="O106" s="1" t="s">
        <v>484</v>
      </c>
      <c r="P106" s="1" t="s">
        <v>164</v>
      </c>
      <c r="Q106" s="1"/>
      <c r="R106" s="2">
        <v>43843</v>
      </c>
      <c r="S106" s="1"/>
      <c r="V106">
        <v>1</v>
      </c>
      <c r="W106" s="1" t="s">
        <v>38</v>
      </c>
      <c r="X106" s="2">
        <v>43903</v>
      </c>
      <c r="Y106" s="2">
        <v>43902</v>
      </c>
      <c r="Z106" s="2">
        <v>43864</v>
      </c>
      <c r="AA106" s="2">
        <v>43895</v>
      </c>
      <c r="AB106" s="2">
        <v>43843</v>
      </c>
      <c r="AC106" s="1"/>
      <c r="AD106">
        <v>21</v>
      </c>
      <c r="AE106">
        <v>381</v>
      </c>
      <c r="AG1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07" spans="1:33" x14ac:dyDescent="0.35">
      <c r="A107">
        <v>107</v>
      </c>
      <c r="B107" s="1"/>
      <c r="C107">
        <v>0</v>
      </c>
      <c r="D107" s="1"/>
      <c r="E107" s="1" t="s">
        <v>485</v>
      </c>
      <c r="F107" s="1" t="s">
        <v>30</v>
      </c>
      <c r="G107" s="1" t="s">
        <v>486</v>
      </c>
      <c r="H107" s="1" t="s">
        <v>487</v>
      </c>
      <c r="I107" s="1"/>
      <c r="J107" s="1" t="s">
        <v>828</v>
      </c>
      <c r="K107" s="1"/>
      <c r="L107" s="1"/>
      <c r="M107" s="1" t="s">
        <v>197</v>
      </c>
      <c r="N107" s="1" t="s">
        <v>483</v>
      </c>
      <c r="O107" s="1" t="s">
        <v>484</v>
      </c>
      <c r="P107" s="1" t="s">
        <v>37</v>
      </c>
      <c r="Q107" s="1"/>
      <c r="R107" s="2">
        <v>43887</v>
      </c>
      <c r="S107" s="1"/>
      <c r="W107" s="1" t="s">
        <v>38</v>
      </c>
      <c r="X107" s="2">
        <v>43890</v>
      </c>
      <c r="Y107" s="2">
        <v>43930</v>
      </c>
      <c r="Z107" s="2">
        <v>43923</v>
      </c>
      <c r="AA107" s="2"/>
      <c r="AB107" s="2">
        <v>43843</v>
      </c>
      <c r="AC107" s="1"/>
      <c r="AD107">
        <v>80</v>
      </c>
      <c r="AE107">
        <v>381</v>
      </c>
      <c r="AG1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80</v>
      </c>
    </row>
    <row r="108" spans="1:33" x14ac:dyDescent="0.35">
      <c r="A108">
        <v>108</v>
      </c>
      <c r="B108" s="1"/>
      <c r="C108">
        <v>0</v>
      </c>
      <c r="D108" s="1"/>
      <c r="E108" s="1" t="s">
        <v>488</v>
      </c>
      <c r="F108" s="1" t="s">
        <v>30</v>
      </c>
      <c r="G108" s="1" t="s">
        <v>489</v>
      </c>
      <c r="H108" s="1" t="s">
        <v>490</v>
      </c>
      <c r="I108" s="1"/>
      <c r="J108" s="1" t="s">
        <v>491</v>
      </c>
      <c r="K108" s="1"/>
      <c r="L108" s="1"/>
      <c r="M108" s="1" t="s">
        <v>34</v>
      </c>
      <c r="N108" s="1" t="s">
        <v>483</v>
      </c>
      <c r="O108" s="1" t="s">
        <v>484</v>
      </c>
      <c r="P108" s="1" t="s">
        <v>37</v>
      </c>
      <c r="Q108" s="1"/>
      <c r="R108" s="2">
        <v>43843</v>
      </c>
      <c r="S108" s="1"/>
      <c r="W108" s="1" t="s">
        <v>38</v>
      </c>
      <c r="X108" s="2">
        <v>43850</v>
      </c>
      <c r="Y108" s="2">
        <v>43844</v>
      </c>
      <c r="Z108" s="2">
        <v>43843</v>
      </c>
      <c r="AA108" s="2"/>
      <c r="AB108" s="2">
        <v>43843</v>
      </c>
      <c r="AC108" s="1"/>
      <c r="AD108">
        <v>0</v>
      </c>
      <c r="AE108">
        <v>381</v>
      </c>
      <c r="AG1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09" spans="1:33" x14ac:dyDescent="0.35">
      <c r="A109">
        <v>109</v>
      </c>
      <c r="B109" s="1"/>
      <c r="C109">
        <v>0</v>
      </c>
      <c r="D109" s="1"/>
      <c r="E109" s="1" t="s">
        <v>492</v>
      </c>
      <c r="F109" s="1" t="s">
        <v>30</v>
      </c>
      <c r="G109" s="1" t="s">
        <v>493</v>
      </c>
      <c r="H109" s="1" t="s">
        <v>494</v>
      </c>
      <c r="I109" s="1"/>
      <c r="J109" s="1" t="s">
        <v>495</v>
      </c>
      <c r="K109" s="1"/>
      <c r="L109" s="1"/>
      <c r="M109" s="1" t="s">
        <v>34</v>
      </c>
      <c r="N109" s="1" t="s">
        <v>483</v>
      </c>
      <c r="O109" s="1" t="s">
        <v>484</v>
      </c>
      <c r="P109" s="1" t="s">
        <v>37</v>
      </c>
      <c r="Q109" s="1"/>
      <c r="R109" s="2">
        <v>43843</v>
      </c>
      <c r="S109" s="1"/>
      <c r="W109" s="1" t="s">
        <v>38</v>
      </c>
      <c r="X109" s="2">
        <v>43850</v>
      </c>
      <c r="Y109" s="2">
        <v>43860</v>
      </c>
      <c r="Z109" s="2">
        <v>43858</v>
      </c>
      <c r="AA109" s="2"/>
      <c r="AB109" s="2">
        <v>43843</v>
      </c>
      <c r="AC109" s="1"/>
      <c r="AD109">
        <v>15</v>
      </c>
      <c r="AE109">
        <v>381</v>
      </c>
      <c r="AG1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10" spans="1:33" x14ac:dyDescent="0.35">
      <c r="A110">
        <v>110</v>
      </c>
      <c r="B110" s="1"/>
      <c r="C110">
        <v>0</v>
      </c>
      <c r="D110" s="1"/>
      <c r="E110" s="1" t="s">
        <v>496</v>
      </c>
      <c r="F110" s="1" t="s">
        <v>30</v>
      </c>
      <c r="G110" s="1" t="s">
        <v>497</v>
      </c>
      <c r="H110" s="1" t="s">
        <v>498</v>
      </c>
      <c r="I110" s="1"/>
      <c r="J110" s="1" t="s">
        <v>829</v>
      </c>
      <c r="K110" s="1"/>
      <c r="L110" s="1"/>
      <c r="M110" s="1" t="s">
        <v>34</v>
      </c>
      <c r="N110" s="1" t="s">
        <v>483</v>
      </c>
      <c r="O110" s="1" t="s">
        <v>484</v>
      </c>
      <c r="P110" s="1" t="s">
        <v>37</v>
      </c>
      <c r="Q110" s="1"/>
      <c r="R110" s="2">
        <v>43843</v>
      </c>
      <c r="S110" s="1"/>
      <c r="W110" s="1" t="s">
        <v>38</v>
      </c>
      <c r="X110" s="2">
        <v>43850</v>
      </c>
      <c r="Y110" s="2">
        <v>43909</v>
      </c>
      <c r="Z110" s="2">
        <v>43906</v>
      </c>
      <c r="AA110" s="2"/>
      <c r="AB110" s="2">
        <v>43843</v>
      </c>
      <c r="AC110" s="1"/>
      <c r="AD110">
        <v>63</v>
      </c>
      <c r="AE110">
        <v>381</v>
      </c>
      <c r="AG1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63</v>
      </c>
    </row>
    <row r="111" spans="1:33" x14ac:dyDescent="0.35">
      <c r="A111">
        <v>111</v>
      </c>
      <c r="B111" s="1"/>
      <c r="C111">
        <v>0</v>
      </c>
      <c r="D111" s="1"/>
      <c r="E111" s="1" t="s">
        <v>499</v>
      </c>
      <c r="F111" s="1" t="s">
        <v>30</v>
      </c>
      <c r="G111" s="1" t="s">
        <v>500</v>
      </c>
      <c r="H111" s="1" t="s">
        <v>501</v>
      </c>
      <c r="I111" s="1"/>
      <c r="J111" s="1" t="s">
        <v>830</v>
      </c>
      <c r="K111" s="1"/>
      <c r="L111" s="1"/>
      <c r="M111" s="1" t="s">
        <v>34</v>
      </c>
      <c r="N111" s="1" t="s">
        <v>483</v>
      </c>
      <c r="O111" s="1" t="s">
        <v>484</v>
      </c>
      <c r="P111" s="1" t="s">
        <v>37</v>
      </c>
      <c r="Q111" s="1"/>
      <c r="R111" s="2">
        <v>43843</v>
      </c>
      <c r="S111" s="1"/>
      <c r="W111" s="1" t="s">
        <v>38</v>
      </c>
      <c r="X111" s="2">
        <v>43850</v>
      </c>
      <c r="Y111" s="2">
        <v>43874</v>
      </c>
      <c r="Z111" s="2">
        <v>43874</v>
      </c>
      <c r="AA111" s="2"/>
      <c r="AB111" s="2">
        <v>43843</v>
      </c>
      <c r="AC111" s="1"/>
      <c r="AD111">
        <v>31</v>
      </c>
      <c r="AE111">
        <v>381</v>
      </c>
      <c r="AG1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2" spans="1:33" x14ac:dyDescent="0.35">
      <c r="A112">
        <v>112</v>
      </c>
      <c r="B112" s="1"/>
      <c r="C112">
        <v>0</v>
      </c>
      <c r="D112" s="1"/>
      <c r="E112" s="1" t="s">
        <v>502</v>
      </c>
      <c r="F112" s="1" t="s">
        <v>30</v>
      </c>
      <c r="G112" s="1" t="s">
        <v>503</v>
      </c>
      <c r="H112" s="1" t="s">
        <v>504</v>
      </c>
      <c r="I112" s="1"/>
      <c r="J112" s="1" t="s">
        <v>831</v>
      </c>
      <c r="K112" s="1"/>
      <c r="L112" s="1"/>
      <c r="M112" s="1" t="s">
        <v>34</v>
      </c>
      <c r="N112" s="1" t="s">
        <v>483</v>
      </c>
      <c r="O112" s="1" t="s">
        <v>484</v>
      </c>
      <c r="P112" s="1" t="s">
        <v>37</v>
      </c>
      <c r="Q112" s="1"/>
      <c r="R112" s="2">
        <v>43843</v>
      </c>
      <c r="S112" s="1"/>
      <c r="W112" s="1" t="s">
        <v>38</v>
      </c>
      <c r="X112" s="2">
        <v>43850</v>
      </c>
      <c r="Y112" s="2">
        <v>43874</v>
      </c>
      <c r="Z112" s="2">
        <v>43874</v>
      </c>
      <c r="AA112" s="2"/>
      <c r="AB112" s="2">
        <v>43843</v>
      </c>
      <c r="AC112" s="1"/>
      <c r="AD112">
        <v>31</v>
      </c>
      <c r="AE112">
        <v>381</v>
      </c>
      <c r="AG1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3" spans="1:33" x14ac:dyDescent="0.35">
      <c r="A113">
        <v>113</v>
      </c>
      <c r="B113" s="1"/>
      <c r="C113">
        <v>0</v>
      </c>
      <c r="D113" s="1"/>
      <c r="E113" s="1" t="s">
        <v>502</v>
      </c>
      <c r="F113" s="1" t="s">
        <v>30</v>
      </c>
      <c r="G113" s="1" t="s">
        <v>505</v>
      </c>
      <c r="H113" s="1" t="s">
        <v>506</v>
      </c>
      <c r="I113" s="1"/>
      <c r="J113" s="1" t="s">
        <v>831</v>
      </c>
      <c r="K113" s="1"/>
      <c r="L113" s="1"/>
      <c r="M113" s="1" t="s">
        <v>34</v>
      </c>
      <c r="N113" s="1" t="s">
        <v>483</v>
      </c>
      <c r="O113" s="1" t="s">
        <v>484</v>
      </c>
      <c r="P113" s="1" t="s">
        <v>37</v>
      </c>
      <c r="Q113" s="1"/>
      <c r="R113" s="2">
        <v>43843</v>
      </c>
      <c r="S113" s="1"/>
      <c r="W113" s="1" t="s">
        <v>38</v>
      </c>
      <c r="X113" s="2">
        <v>43850</v>
      </c>
      <c r="Y113" s="2">
        <v>43874</v>
      </c>
      <c r="Z113" s="2">
        <v>43874</v>
      </c>
      <c r="AA113" s="2"/>
      <c r="AB113" s="2">
        <v>43843</v>
      </c>
      <c r="AC113" s="1"/>
      <c r="AD113">
        <v>31</v>
      </c>
      <c r="AE113">
        <v>381</v>
      </c>
      <c r="AG1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4" spans="1:33" x14ac:dyDescent="0.35">
      <c r="A114">
        <v>114</v>
      </c>
      <c r="B114" s="1"/>
      <c r="C114">
        <v>0</v>
      </c>
      <c r="D114" s="1"/>
      <c r="E114" s="1" t="s">
        <v>502</v>
      </c>
      <c r="F114" s="1" t="s">
        <v>30</v>
      </c>
      <c r="G114" s="1" t="s">
        <v>507</v>
      </c>
      <c r="H114" s="1" t="s">
        <v>508</v>
      </c>
      <c r="I114" s="1"/>
      <c r="J114" s="1" t="s">
        <v>509</v>
      </c>
      <c r="K114" s="1"/>
      <c r="L114" s="1"/>
      <c r="M114" s="1" t="s">
        <v>34</v>
      </c>
      <c r="N114" s="1" t="s">
        <v>483</v>
      </c>
      <c r="O114" s="1" t="s">
        <v>484</v>
      </c>
      <c r="P114" s="1" t="s">
        <v>37</v>
      </c>
      <c r="Q114" s="1"/>
      <c r="R114" s="2">
        <v>43843</v>
      </c>
      <c r="S114" s="1"/>
      <c r="W114" s="1" t="s">
        <v>38</v>
      </c>
      <c r="X114" s="2">
        <v>43850</v>
      </c>
      <c r="Y114" s="2">
        <v>43844</v>
      </c>
      <c r="Z114" s="2">
        <v>43843</v>
      </c>
      <c r="AA114" s="2"/>
      <c r="AB114" s="2">
        <v>43843</v>
      </c>
      <c r="AC114" s="1"/>
      <c r="AD114">
        <v>0</v>
      </c>
      <c r="AE114">
        <v>381</v>
      </c>
      <c r="AG1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15" spans="1:33" x14ac:dyDescent="0.35">
      <c r="A115">
        <v>115</v>
      </c>
      <c r="B115" s="1"/>
      <c r="C115">
        <v>0</v>
      </c>
      <c r="D115" s="1"/>
      <c r="E115" s="1" t="s">
        <v>502</v>
      </c>
      <c r="F115" s="1" t="s">
        <v>30</v>
      </c>
      <c r="G115" s="1" t="s">
        <v>510</v>
      </c>
      <c r="H115" s="1" t="s">
        <v>511</v>
      </c>
      <c r="I115" s="1"/>
      <c r="J115" s="1" t="s">
        <v>832</v>
      </c>
      <c r="K115" s="1"/>
      <c r="L115" s="1"/>
      <c r="M115" s="1" t="s">
        <v>34</v>
      </c>
      <c r="N115" s="1" t="s">
        <v>483</v>
      </c>
      <c r="O115" s="1" t="s">
        <v>484</v>
      </c>
      <c r="P115" s="1" t="s">
        <v>37</v>
      </c>
      <c r="Q115" s="1"/>
      <c r="R115" s="2">
        <v>43843</v>
      </c>
      <c r="S115" s="1"/>
      <c r="W115" s="1" t="s">
        <v>38</v>
      </c>
      <c r="X115" s="2">
        <v>43850</v>
      </c>
      <c r="Y115" s="2">
        <v>43874</v>
      </c>
      <c r="Z115" s="2">
        <v>43874</v>
      </c>
      <c r="AA115" s="2"/>
      <c r="AB115" s="2">
        <v>43843</v>
      </c>
      <c r="AC115" s="1"/>
      <c r="AD115">
        <v>31</v>
      </c>
      <c r="AE115">
        <v>381</v>
      </c>
      <c r="AG1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6" spans="1:33" x14ac:dyDescent="0.35">
      <c r="A116">
        <v>116</v>
      </c>
      <c r="B116" s="1"/>
      <c r="C116">
        <v>0</v>
      </c>
      <c r="D116" s="1"/>
      <c r="E116" s="1" t="s">
        <v>502</v>
      </c>
      <c r="F116" s="1" t="s">
        <v>30</v>
      </c>
      <c r="G116" s="1" t="s">
        <v>512</v>
      </c>
      <c r="H116" s="1" t="s">
        <v>513</v>
      </c>
      <c r="I116" s="1"/>
      <c r="J116" s="1" t="s">
        <v>831</v>
      </c>
      <c r="K116" s="1"/>
      <c r="L116" s="1"/>
      <c r="M116" s="1" t="s">
        <v>34</v>
      </c>
      <c r="N116" s="1" t="s">
        <v>483</v>
      </c>
      <c r="O116" s="1" t="s">
        <v>484</v>
      </c>
      <c r="P116" s="1" t="s">
        <v>37</v>
      </c>
      <c r="Q116" s="1"/>
      <c r="R116" s="2">
        <v>43843</v>
      </c>
      <c r="S116" s="1"/>
      <c r="W116" s="1" t="s">
        <v>38</v>
      </c>
      <c r="X116" s="2">
        <v>43850</v>
      </c>
      <c r="Y116" s="2">
        <v>43874</v>
      </c>
      <c r="Z116" s="2">
        <v>43874</v>
      </c>
      <c r="AA116" s="2"/>
      <c r="AB116" s="2">
        <v>43843</v>
      </c>
      <c r="AC116" s="1"/>
      <c r="AD116">
        <v>31</v>
      </c>
      <c r="AE116">
        <v>381</v>
      </c>
      <c r="AG1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7" spans="1:33" x14ac:dyDescent="0.35">
      <c r="A117">
        <v>117</v>
      </c>
      <c r="B117" s="1"/>
      <c r="C117">
        <v>0</v>
      </c>
      <c r="D117" s="1"/>
      <c r="E117" s="1" t="s">
        <v>502</v>
      </c>
      <c r="F117" s="1" t="s">
        <v>30</v>
      </c>
      <c r="G117" s="1" t="s">
        <v>514</v>
      </c>
      <c r="H117" s="1" t="s">
        <v>515</v>
      </c>
      <c r="I117" s="1"/>
      <c r="J117" s="1" t="s">
        <v>833</v>
      </c>
      <c r="K117" s="1"/>
      <c r="L117" s="1"/>
      <c r="M117" s="1" t="s">
        <v>34</v>
      </c>
      <c r="N117" s="1" t="s">
        <v>483</v>
      </c>
      <c r="O117" s="1" t="s">
        <v>484</v>
      </c>
      <c r="P117" s="1" t="s">
        <v>37</v>
      </c>
      <c r="Q117" s="1"/>
      <c r="R117" s="2">
        <v>43843</v>
      </c>
      <c r="S117" s="1"/>
      <c r="W117" s="1" t="s">
        <v>38</v>
      </c>
      <c r="X117" s="2">
        <v>43850</v>
      </c>
      <c r="Y117" s="2">
        <v>43874</v>
      </c>
      <c r="Z117" s="2">
        <v>43874</v>
      </c>
      <c r="AA117" s="2"/>
      <c r="AB117" s="2">
        <v>43843</v>
      </c>
      <c r="AC117" s="1"/>
      <c r="AD117">
        <v>31</v>
      </c>
      <c r="AE117">
        <v>381</v>
      </c>
      <c r="AG1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8" spans="1:33" x14ac:dyDescent="0.35">
      <c r="A118">
        <v>118</v>
      </c>
      <c r="B118" s="1"/>
      <c r="C118">
        <v>0</v>
      </c>
      <c r="D118" s="1"/>
      <c r="E118" s="1" t="s">
        <v>502</v>
      </c>
      <c r="F118" s="1" t="s">
        <v>30</v>
      </c>
      <c r="G118" s="1" t="s">
        <v>516</v>
      </c>
      <c r="H118" s="1" t="s">
        <v>517</v>
      </c>
      <c r="I118" s="1"/>
      <c r="J118" s="1" t="s">
        <v>833</v>
      </c>
      <c r="K118" s="1"/>
      <c r="L118" s="1"/>
      <c r="M118" s="1" t="s">
        <v>34</v>
      </c>
      <c r="N118" s="1" t="s">
        <v>483</v>
      </c>
      <c r="O118" s="1" t="s">
        <v>484</v>
      </c>
      <c r="P118" s="1" t="s">
        <v>37</v>
      </c>
      <c r="Q118" s="1"/>
      <c r="R118" s="2">
        <v>43843</v>
      </c>
      <c r="S118" s="1"/>
      <c r="W118" s="1" t="s">
        <v>38</v>
      </c>
      <c r="X118" s="2">
        <v>43850</v>
      </c>
      <c r="Y118" s="2">
        <v>43874</v>
      </c>
      <c r="Z118" s="2">
        <v>43874</v>
      </c>
      <c r="AA118" s="2"/>
      <c r="AB118" s="2">
        <v>43843</v>
      </c>
      <c r="AC118" s="1"/>
      <c r="AD118">
        <v>31</v>
      </c>
      <c r="AE118">
        <v>381</v>
      </c>
      <c r="AG1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9" spans="1:33" x14ac:dyDescent="0.35">
      <c r="A119">
        <v>119</v>
      </c>
      <c r="B119" s="1"/>
      <c r="C119">
        <v>0</v>
      </c>
      <c r="D119" s="1"/>
      <c r="E119" s="1" t="s">
        <v>502</v>
      </c>
      <c r="F119" s="1" t="s">
        <v>30</v>
      </c>
      <c r="G119" s="1" t="s">
        <v>518</v>
      </c>
      <c r="H119" s="1" t="s">
        <v>519</v>
      </c>
      <c r="I119" s="1"/>
      <c r="J119" s="1" t="s">
        <v>831</v>
      </c>
      <c r="K119" s="1"/>
      <c r="L119" s="1"/>
      <c r="M119" s="1" t="s">
        <v>34</v>
      </c>
      <c r="N119" s="1" t="s">
        <v>483</v>
      </c>
      <c r="O119" s="1" t="s">
        <v>484</v>
      </c>
      <c r="P119" s="1" t="s">
        <v>37</v>
      </c>
      <c r="Q119" s="1"/>
      <c r="R119" s="2">
        <v>43843</v>
      </c>
      <c r="S119" s="1"/>
      <c r="W119" s="1" t="s">
        <v>38</v>
      </c>
      <c r="X119" s="2">
        <v>43850</v>
      </c>
      <c r="Y119" s="2">
        <v>43874</v>
      </c>
      <c r="Z119" s="2">
        <v>43874</v>
      </c>
      <c r="AA119" s="2"/>
      <c r="AB119" s="2">
        <v>43843</v>
      </c>
      <c r="AC119" s="1"/>
      <c r="AD119">
        <v>31</v>
      </c>
      <c r="AE119">
        <v>381</v>
      </c>
      <c r="AG1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20" spans="1:33" x14ac:dyDescent="0.35">
      <c r="A120">
        <v>120</v>
      </c>
      <c r="B120" s="1"/>
      <c r="C120">
        <v>0</v>
      </c>
      <c r="D120" s="1"/>
      <c r="E120" s="1" t="s">
        <v>502</v>
      </c>
      <c r="F120" s="1" t="s">
        <v>30</v>
      </c>
      <c r="G120" s="1" t="s">
        <v>520</v>
      </c>
      <c r="H120" s="1" t="s">
        <v>521</v>
      </c>
      <c r="I120" s="1"/>
      <c r="J120" s="1" t="s">
        <v>522</v>
      </c>
      <c r="K120" s="1"/>
      <c r="L120" s="1"/>
      <c r="M120" s="1" t="s">
        <v>34</v>
      </c>
      <c r="N120" s="1" t="s">
        <v>483</v>
      </c>
      <c r="O120" s="1" t="s">
        <v>484</v>
      </c>
      <c r="P120" s="1" t="s">
        <v>37</v>
      </c>
      <c r="Q120" s="1"/>
      <c r="R120" s="2">
        <v>43843</v>
      </c>
      <c r="S120" s="1"/>
      <c r="W120" s="1" t="s">
        <v>38</v>
      </c>
      <c r="X120" s="2">
        <v>43850</v>
      </c>
      <c r="Y120" s="2">
        <v>43860</v>
      </c>
      <c r="Z120" s="2">
        <v>43851</v>
      </c>
      <c r="AA120" s="2"/>
      <c r="AB120" s="2">
        <v>43843</v>
      </c>
      <c r="AC120" s="1"/>
      <c r="AD120">
        <v>8</v>
      </c>
      <c r="AE120">
        <v>381</v>
      </c>
      <c r="AG1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21" spans="1:33" x14ac:dyDescent="0.35">
      <c r="A121">
        <v>121</v>
      </c>
      <c r="B121" s="1"/>
      <c r="C121">
        <v>0</v>
      </c>
      <c r="D121" s="1"/>
      <c r="E121" s="1" t="s">
        <v>523</v>
      </c>
      <c r="F121" s="1" t="s">
        <v>30</v>
      </c>
      <c r="G121" s="1" t="s">
        <v>524</v>
      </c>
      <c r="H121" s="1" t="s">
        <v>525</v>
      </c>
      <c r="I121" s="1"/>
      <c r="J121" s="1" t="s">
        <v>831</v>
      </c>
      <c r="K121" s="1"/>
      <c r="L121" s="1"/>
      <c r="M121" s="1" t="s">
        <v>34</v>
      </c>
      <c r="N121" s="1" t="s">
        <v>483</v>
      </c>
      <c r="O121" s="1" t="s">
        <v>484</v>
      </c>
      <c r="P121" s="1" t="s">
        <v>37</v>
      </c>
      <c r="Q121" s="1"/>
      <c r="R121" s="2">
        <v>43843</v>
      </c>
      <c r="S121" s="1"/>
      <c r="W121" s="1" t="s">
        <v>38</v>
      </c>
      <c r="X121" s="2">
        <v>43850</v>
      </c>
      <c r="Y121" s="2">
        <v>43874</v>
      </c>
      <c r="Z121" s="2">
        <v>43874</v>
      </c>
      <c r="AA121" s="2"/>
      <c r="AB121" s="2">
        <v>43843</v>
      </c>
      <c r="AC121" s="1"/>
      <c r="AD121">
        <v>31</v>
      </c>
      <c r="AE121">
        <v>381</v>
      </c>
      <c r="AG1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22" spans="1:33" x14ac:dyDescent="0.35">
      <c r="A122">
        <v>122</v>
      </c>
      <c r="B122" s="1"/>
      <c r="C122">
        <v>0</v>
      </c>
      <c r="D122" s="1"/>
      <c r="E122" s="1" t="s">
        <v>526</v>
      </c>
      <c r="F122" s="1" t="s">
        <v>30</v>
      </c>
      <c r="G122" s="1" t="s">
        <v>527</v>
      </c>
      <c r="H122" s="1" t="s">
        <v>528</v>
      </c>
      <c r="I122" s="1"/>
      <c r="J122" s="1" t="s">
        <v>529</v>
      </c>
      <c r="K122" s="1"/>
      <c r="L122" s="1"/>
      <c r="M122" s="1" t="s">
        <v>34</v>
      </c>
      <c r="N122" s="1" t="s">
        <v>530</v>
      </c>
      <c r="O122" s="1" t="s">
        <v>531</v>
      </c>
      <c r="P122" s="1" t="s">
        <v>37</v>
      </c>
      <c r="Q122" s="1"/>
      <c r="R122" s="2">
        <v>43843</v>
      </c>
      <c r="S122" s="1"/>
      <c r="W122" s="1" t="s">
        <v>38</v>
      </c>
      <c r="X122" s="2">
        <v>43850</v>
      </c>
      <c r="Y122" s="2">
        <v>43844</v>
      </c>
      <c r="Z122" s="2">
        <v>43843</v>
      </c>
      <c r="AA122" s="2"/>
      <c r="AB122" s="2">
        <v>43843</v>
      </c>
      <c r="AC122" s="1"/>
      <c r="AD122">
        <v>0</v>
      </c>
      <c r="AE122">
        <v>381</v>
      </c>
      <c r="AG1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23" spans="1:33" x14ac:dyDescent="0.35">
      <c r="A123">
        <v>123</v>
      </c>
      <c r="B123" s="1"/>
      <c r="C123">
        <v>0</v>
      </c>
      <c r="D123" s="1"/>
      <c r="E123" s="1"/>
      <c r="F123" s="1" t="s">
        <v>30</v>
      </c>
      <c r="G123" s="1" t="s">
        <v>532</v>
      </c>
      <c r="H123" s="1" t="s">
        <v>533</v>
      </c>
      <c r="I123" s="1" t="s">
        <v>534</v>
      </c>
      <c r="J123" s="1" t="s">
        <v>535</v>
      </c>
      <c r="K123" s="1"/>
      <c r="L123" s="1"/>
      <c r="M123" s="1" t="s">
        <v>34</v>
      </c>
      <c r="N123" s="1" t="s">
        <v>276</v>
      </c>
      <c r="O123" s="1" t="s">
        <v>277</v>
      </c>
      <c r="P123" s="1" t="s">
        <v>278</v>
      </c>
      <c r="Q123" s="1"/>
      <c r="R123" s="2">
        <v>43843</v>
      </c>
      <c r="S123" s="1"/>
      <c r="W123" s="1" t="s">
        <v>38</v>
      </c>
      <c r="X123" s="2">
        <v>43850</v>
      </c>
      <c r="Y123" s="2">
        <v>43860</v>
      </c>
      <c r="Z123" s="2">
        <v>43858</v>
      </c>
      <c r="AA123" s="2">
        <v>43857</v>
      </c>
      <c r="AB123" s="2">
        <v>43843</v>
      </c>
      <c r="AC123" s="1"/>
      <c r="AD123">
        <v>15</v>
      </c>
      <c r="AE123">
        <v>381</v>
      </c>
      <c r="AG1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24" spans="1:33" x14ac:dyDescent="0.35">
      <c r="A124">
        <v>124</v>
      </c>
      <c r="B124" s="1"/>
      <c r="C124">
        <v>0</v>
      </c>
      <c r="D124" s="1" t="s">
        <v>206</v>
      </c>
      <c r="E124" s="1"/>
      <c r="F124" s="1" t="s">
        <v>30</v>
      </c>
      <c r="G124" s="1" t="s">
        <v>536</v>
      </c>
      <c r="H124" s="1" t="s">
        <v>537</v>
      </c>
      <c r="I124" s="1" t="s">
        <v>538</v>
      </c>
      <c r="J124" s="1" t="s">
        <v>282</v>
      </c>
      <c r="K124" s="1"/>
      <c r="L124" s="1"/>
      <c r="M124" s="1" t="s">
        <v>197</v>
      </c>
      <c r="N124" s="1" t="s">
        <v>97</v>
      </c>
      <c r="O124" s="1" t="s">
        <v>98</v>
      </c>
      <c r="P124" s="1" t="s">
        <v>37</v>
      </c>
      <c r="Q124" s="1"/>
      <c r="R124" s="2">
        <v>43843</v>
      </c>
      <c r="S124" s="1"/>
      <c r="W124" s="1" t="s">
        <v>38</v>
      </c>
      <c r="X124" s="2">
        <v>43850</v>
      </c>
      <c r="Y124" s="2">
        <v>43854</v>
      </c>
      <c r="Z124" s="2">
        <v>43853</v>
      </c>
      <c r="AA124" s="2">
        <v>43853</v>
      </c>
      <c r="AB124" s="2">
        <v>43843</v>
      </c>
      <c r="AC124" s="1"/>
      <c r="AD124">
        <v>10</v>
      </c>
      <c r="AE124">
        <v>381</v>
      </c>
      <c r="AG1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25" spans="1:33" x14ac:dyDescent="0.35">
      <c r="A125">
        <v>125</v>
      </c>
      <c r="B125" s="1"/>
      <c r="C125">
        <v>0</v>
      </c>
      <c r="D125" s="1" t="s">
        <v>539</v>
      </c>
      <c r="E125" s="1" t="s">
        <v>540</v>
      </c>
      <c r="F125" s="1" t="s">
        <v>30</v>
      </c>
      <c r="G125" s="1" t="s">
        <v>541</v>
      </c>
      <c r="H125" s="1" t="s">
        <v>542</v>
      </c>
      <c r="I125" s="1"/>
      <c r="J125" s="1" t="s">
        <v>543</v>
      </c>
      <c r="K125" s="1"/>
      <c r="L125" s="1"/>
      <c r="M125" s="1" t="s">
        <v>34</v>
      </c>
      <c r="N125" s="1" t="s">
        <v>359</v>
      </c>
      <c r="O125" s="1" t="s">
        <v>360</v>
      </c>
      <c r="P125" s="1" t="s">
        <v>37</v>
      </c>
      <c r="Q125" s="1"/>
      <c r="R125" s="2">
        <v>43844</v>
      </c>
      <c r="S125" s="1"/>
      <c r="W125" s="1" t="s">
        <v>38</v>
      </c>
      <c r="X125" s="2">
        <v>43851</v>
      </c>
      <c r="Y125" s="2">
        <v>43860</v>
      </c>
      <c r="Z125" s="2">
        <v>43851</v>
      </c>
      <c r="AA125" s="2"/>
      <c r="AB125" s="2">
        <v>43844</v>
      </c>
      <c r="AC125" s="1"/>
      <c r="AD125">
        <v>7</v>
      </c>
      <c r="AE125">
        <v>380</v>
      </c>
      <c r="AG1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26" spans="1:33" x14ac:dyDescent="0.35">
      <c r="A126">
        <v>126</v>
      </c>
      <c r="B126" s="1"/>
      <c r="C126">
        <v>0</v>
      </c>
      <c r="D126" s="1"/>
      <c r="E126" s="1"/>
      <c r="F126" s="1" t="s">
        <v>30</v>
      </c>
      <c r="G126" s="1" t="s">
        <v>544</v>
      </c>
      <c r="H126" s="1" t="s">
        <v>545</v>
      </c>
      <c r="I126" s="1"/>
      <c r="J126" s="1" t="s">
        <v>546</v>
      </c>
      <c r="K126" s="1"/>
      <c r="L126" s="1"/>
      <c r="M126" s="1" t="s">
        <v>197</v>
      </c>
      <c r="N126" s="1" t="s">
        <v>192</v>
      </c>
      <c r="O126" s="1" t="s">
        <v>193</v>
      </c>
      <c r="P126" s="1" t="s">
        <v>37</v>
      </c>
      <c r="Q126" s="1"/>
      <c r="R126" s="2">
        <v>43844</v>
      </c>
      <c r="S126" s="1"/>
      <c r="W126" s="1" t="s">
        <v>38</v>
      </c>
      <c r="X126" s="2">
        <v>43849</v>
      </c>
      <c r="Y126" s="2">
        <v>43860</v>
      </c>
      <c r="Z126" s="2">
        <v>43853</v>
      </c>
      <c r="AA126" s="2">
        <v>43851</v>
      </c>
      <c r="AB126" s="2">
        <v>43844</v>
      </c>
      <c r="AC126" s="1"/>
      <c r="AD126">
        <v>9</v>
      </c>
      <c r="AE126">
        <v>380</v>
      </c>
      <c r="AG1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27" spans="1:33" x14ac:dyDescent="0.35">
      <c r="A127">
        <v>127</v>
      </c>
      <c r="B127" s="1"/>
      <c r="C127">
        <v>0</v>
      </c>
      <c r="D127" s="1"/>
      <c r="E127" s="1" t="s">
        <v>547</v>
      </c>
      <c r="F127" s="1" t="s">
        <v>30</v>
      </c>
      <c r="G127" s="1" t="s">
        <v>548</v>
      </c>
      <c r="H127" s="1" t="s">
        <v>549</v>
      </c>
      <c r="I127" s="1"/>
      <c r="J127" s="1" t="s">
        <v>550</v>
      </c>
      <c r="K127" s="1"/>
      <c r="L127" s="1"/>
      <c r="M127" s="1" t="s">
        <v>197</v>
      </c>
      <c r="N127" s="1" t="s">
        <v>43</v>
      </c>
      <c r="O127" s="1" t="s">
        <v>44</v>
      </c>
      <c r="P127" s="1" t="s">
        <v>37</v>
      </c>
      <c r="Q127" s="1"/>
      <c r="R127" s="2">
        <v>43844</v>
      </c>
      <c r="S127" s="1"/>
      <c r="W127" s="1" t="s">
        <v>38</v>
      </c>
      <c r="X127" s="2">
        <v>43853</v>
      </c>
      <c r="Y127" s="2">
        <v>43853</v>
      </c>
      <c r="Z127" s="2">
        <v>43853</v>
      </c>
      <c r="AA127" s="2">
        <v>43852</v>
      </c>
      <c r="AB127" s="2">
        <v>43844</v>
      </c>
      <c r="AC127" s="1"/>
      <c r="AD127">
        <v>9</v>
      </c>
      <c r="AE127">
        <v>380</v>
      </c>
      <c r="AG1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28" spans="1:33" x14ac:dyDescent="0.35">
      <c r="A128">
        <v>128</v>
      </c>
      <c r="B128" s="1"/>
      <c r="C128">
        <v>0</v>
      </c>
      <c r="D128" s="1"/>
      <c r="E128" s="1"/>
      <c r="F128" s="1" t="s">
        <v>30</v>
      </c>
      <c r="G128" s="1" t="s">
        <v>551</v>
      </c>
      <c r="H128" s="1" t="s">
        <v>552</v>
      </c>
      <c r="I128" s="1"/>
      <c r="J128" s="1" t="s">
        <v>834</v>
      </c>
      <c r="K128" s="1"/>
      <c r="L128" s="1"/>
      <c r="M128" s="1" t="s">
        <v>34</v>
      </c>
      <c r="N128" s="1" t="s">
        <v>341</v>
      </c>
      <c r="O128" s="1" t="s">
        <v>62</v>
      </c>
      <c r="P128" s="1" t="s">
        <v>37</v>
      </c>
      <c r="Q128" s="1"/>
      <c r="R128" s="2">
        <v>43844</v>
      </c>
      <c r="S128" s="1"/>
      <c r="W128" s="1" t="s">
        <v>38</v>
      </c>
      <c r="X128" s="2">
        <v>43851</v>
      </c>
      <c r="Y128" s="2">
        <v>43873</v>
      </c>
      <c r="Z128" s="2">
        <v>43873</v>
      </c>
      <c r="AA128" s="2">
        <v>43845</v>
      </c>
      <c r="AB128" s="2">
        <v>43844</v>
      </c>
      <c r="AC128" s="1"/>
      <c r="AD128">
        <v>29</v>
      </c>
      <c r="AE128">
        <v>380</v>
      </c>
      <c r="AG1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29" spans="1:33" x14ac:dyDescent="0.35">
      <c r="A129">
        <v>129</v>
      </c>
      <c r="B129" s="1"/>
      <c r="C129">
        <v>0</v>
      </c>
      <c r="D129" s="1"/>
      <c r="E129" s="1" t="s">
        <v>553</v>
      </c>
      <c r="F129" s="1" t="s">
        <v>30</v>
      </c>
      <c r="G129" s="1" t="s">
        <v>554</v>
      </c>
      <c r="H129" s="1" t="s">
        <v>555</v>
      </c>
      <c r="I129" s="1"/>
      <c r="J129" s="1" t="s">
        <v>556</v>
      </c>
      <c r="K129" s="1"/>
      <c r="L129" s="1"/>
      <c r="M129" s="1" t="s">
        <v>34</v>
      </c>
      <c r="N129" s="1" t="s">
        <v>164</v>
      </c>
      <c r="O129" s="1"/>
      <c r="P129" s="1" t="s">
        <v>63</v>
      </c>
      <c r="Q129" s="1"/>
      <c r="R129" s="2">
        <v>43845</v>
      </c>
      <c r="S129" s="1"/>
      <c r="W129" s="1" t="s">
        <v>38</v>
      </c>
      <c r="X129" s="2">
        <v>43851</v>
      </c>
      <c r="Y129" s="2">
        <v>43853</v>
      </c>
      <c r="Z129" s="2">
        <v>43850</v>
      </c>
      <c r="AA129" s="2">
        <v>43845</v>
      </c>
      <c r="AB129" s="2">
        <v>43845</v>
      </c>
      <c r="AC129" s="1"/>
      <c r="AD129">
        <v>5</v>
      </c>
      <c r="AE129">
        <v>379</v>
      </c>
      <c r="AG1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30" spans="1:33" x14ac:dyDescent="0.35">
      <c r="A130">
        <v>130</v>
      </c>
      <c r="B130" s="1"/>
      <c r="C130">
        <v>0</v>
      </c>
      <c r="D130" s="1" t="s">
        <v>557</v>
      </c>
      <c r="E130" s="1" t="s">
        <v>558</v>
      </c>
      <c r="F130" s="1" t="s">
        <v>30</v>
      </c>
      <c r="G130" s="1" t="s">
        <v>559</v>
      </c>
      <c r="H130" s="1" t="s">
        <v>560</v>
      </c>
      <c r="I130" s="1"/>
      <c r="J130" s="1" t="s">
        <v>561</v>
      </c>
      <c r="K130" s="1"/>
      <c r="L130" s="1"/>
      <c r="M130" s="1" t="s">
        <v>34</v>
      </c>
      <c r="N130" s="1" t="s">
        <v>43</v>
      </c>
      <c r="O130" s="1" t="s">
        <v>44</v>
      </c>
      <c r="P130" s="1" t="s">
        <v>37</v>
      </c>
      <c r="Q130" s="1"/>
      <c r="R130" s="2">
        <v>43845</v>
      </c>
      <c r="S130" s="1"/>
      <c r="W130" s="1" t="s">
        <v>38</v>
      </c>
      <c r="X130" s="2">
        <v>43851</v>
      </c>
      <c r="Y130" s="2">
        <v>43853</v>
      </c>
      <c r="Z130" s="2">
        <v>43850</v>
      </c>
      <c r="AA130" s="2"/>
      <c r="AB130" s="2">
        <v>43845</v>
      </c>
      <c r="AC130" s="1"/>
      <c r="AD130">
        <v>5</v>
      </c>
      <c r="AE130">
        <v>379</v>
      </c>
      <c r="AG1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31" spans="1:33" x14ac:dyDescent="0.35">
      <c r="A131">
        <v>131</v>
      </c>
      <c r="B131" s="1"/>
      <c r="C131">
        <v>0</v>
      </c>
      <c r="D131" s="1" t="s">
        <v>111</v>
      </c>
      <c r="E131" s="1" t="s">
        <v>562</v>
      </c>
      <c r="F131" s="1" t="s">
        <v>30</v>
      </c>
      <c r="G131" s="1" t="s">
        <v>563</v>
      </c>
      <c r="H131" s="1" t="s">
        <v>564</v>
      </c>
      <c r="I131" s="1" t="s">
        <v>565</v>
      </c>
      <c r="J131" s="1" t="s">
        <v>566</v>
      </c>
      <c r="K131" s="1"/>
      <c r="L131" s="1"/>
      <c r="M131" s="1" t="s">
        <v>34</v>
      </c>
      <c r="N131" s="1" t="s">
        <v>97</v>
      </c>
      <c r="O131" s="1" t="s">
        <v>98</v>
      </c>
      <c r="P131" s="1" t="s">
        <v>37</v>
      </c>
      <c r="Q131" s="1"/>
      <c r="R131" s="2">
        <v>43845</v>
      </c>
      <c r="S131" s="1"/>
      <c r="W131" s="1" t="s">
        <v>38</v>
      </c>
      <c r="X131" s="2">
        <v>43852</v>
      </c>
      <c r="Y131" s="2">
        <v>43854</v>
      </c>
      <c r="Z131" s="2">
        <v>43853</v>
      </c>
      <c r="AA131" s="2">
        <v>43853</v>
      </c>
      <c r="AB131" s="2">
        <v>43845</v>
      </c>
      <c r="AC131" s="1"/>
      <c r="AD131">
        <v>8</v>
      </c>
      <c r="AE131">
        <v>379</v>
      </c>
      <c r="AG1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32" spans="1:33" x14ac:dyDescent="0.35">
      <c r="A132">
        <v>132</v>
      </c>
      <c r="B132" s="1"/>
      <c r="C132">
        <v>0</v>
      </c>
      <c r="D132" s="1" t="s">
        <v>111</v>
      </c>
      <c r="E132" s="1" t="s">
        <v>567</v>
      </c>
      <c r="F132" s="1" t="s">
        <v>30</v>
      </c>
      <c r="G132" s="1" t="s">
        <v>568</v>
      </c>
      <c r="H132" s="1" t="s">
        <v>569</v>
      </c>
      <c r="I132" s="1" t="s">
        <v>570</v>
      </c>
      <c r="J132" s="1" t="s">
        <v>835</v>
      </c>
      <c r="K132" s="1"/>
      <c r="L132" s="1"/>
      <c r="M132" s="1" t="s">
        <v>34</v>
      </c>
      <c r="N132" s="1" t="s">
        <v>97</v>
      </c>
      <c r="O132" s="1" t="s">
        <v>98</v>
      </c>
      <c r="P132" s="1" t="s">
        <v>37</v>
      </c>
      <c r="Q132" s="1"/>
      <c r="R132" s="2">
        <v>43845</v>
      </c>
      <c r="S132" s="1"/>
      <c r="W132" s="1" t="s">
        <v>38</v>
      </c>
      <c r="X132" s="2">
        <v>43852</v>
      </c>
      <c r="Y132" s="2">
        <v>43871</v>
      </c>
      <c r="Z132" s="2">
        <v>43866</v>
      </c>
      <c r="AA132" s="2">
        <v>43846</v>
      </c>
      <c r="AB132" s="2">
        <v>43845</v>
      </c>
      <c r="AC132" s="1"/>
      <c r="AD132">
        <v>21</v>
      </c>
      <c r="AE132">
        <v>379</v>
      </c>
      <c r="AG1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33" spans="1:33" x14ac:dyDescent="0.35">
      <c r="A133">
        <v>133</v>
      </c>
      <c r="B133" s="1"/>
      <c r="C133">
        <v>0</v>
      </c>
      <c r="D133" s="1" t="s">
        <v>111</v>
      </c>
      <c r="E133" s="1" t="s">
        <v>571</v>
      </c>
      <c r="F133" s="1" t="s">
        <v>30</v>
      </c>
      <c r="G133" s="1" t="s">
        <v>572</v>
      </c>
      <c r="H133" s="1" t="s">
        <v>573</v>
      </c>
      <c r="I133" s="1" t="s">
        <v>574</v>
      </c>
      <c r="J133" s="1"/>
      <c r="K133" s="1"/>
      <c r="L133" s="1"/>
      <c r="M133" s="1" t="s">
        <v>34</v>
      </c>
      <c r="N133" s="1" t="s">
        <v>97</v>
      </c>
      <c r="O133" s="1" t="s">
        <v>98</v>
      </c>
      <c r="P133" s="1" t="s">
        <v>37</v>
      </c>
      <c r="Q133" s="1"/>
      <c r="R133" s="2">
        <v>43845</v>
      </c>
      <c r="S133" s="1"/>
      <c r="W133" s="1" t="s">
        <v>38</v>
      </c>
      <c r="X133" s="2">
        <v>43852</v>
      </c>
      <c r="Y133" s="2">
        <v>43907</v>
      </c>
      <c r="Z133" s="2"/>
      <c r="AA133" s="2">
        <v>43846</v>
      </c>
      <c r="AB133" s="2">
        <v>43845</v>
      </c>
      <c r="AC133" s="1"/>
      <c r="AE133">
        <v>379</v>
      </c>
      <c r="AG1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34" spans="1:33" x14ac:dyDescent="0.35">
      <c r="A134">
        <v>134</v>
      </c>
      <c r="B134" s="1"/>
      <c r="C134">
        <v>0</v>
      </c>
      <c r="D134" s="1"/>
      <c r="E134" s="1"/>
      <c r="F134" s="1" t="s">
        <v>30</v>
      </c>
      <c r="G134" s="1" t="s">
        <v>575</v>
      </c>
      <c r="H134" s="1" t="s">
        <v>576</v>
      </c>
      <c r="I134" s="1"/>
      <c r="J134" s="1" t="s">
        <v>577</v>
      </c>
      <c r="K134" s="1"/>
      <c r="L134" s="1"/>
      <c r="M134" s="1" t="s">
        <v>34</v>
      </c>
      <c r="N134" s="1" t="s">
        <v>341</v>
      </c>
      <c r="O134" s="1" t="s">
        <v>62</v>
      </c>
      <c r="P134" s="1" t="s">
        <v>37</v>
      </c>
      <c r="Q134" s="1"/>
      <c r="R134" s="2">
        <v>43845</v>
      </c>
      <c r="S134" s="1"/>
      <c r="W134" s="1" t="s">
        <v>38</v>
      </c>
      <c r="X134" s="2">
        <v>43852</v>
      </c>
      <c r="Y134" s="2">
        <v>43859</v>
      </c>
      <c r="Z134" s="2">
        <v>43854</v>
      </c>
      <c r="AA134" s="2">
        <v>43854</v>
      </c>
      <c r="AB134" s="2">
        <v>43845</v>
      </c>
      <c r="AC134" s="1"/>
      <c r="AD134">
        <v>9</v>
      </c>
      <c r="AE134">
        <v>379</v>
      </c>
      <c r="AG1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35" spans="1:33" x14ac:dyDescent="0.35">
      <c r="A135">
        <v>135</v>
      </c>
      <c r="B135" s="1"/>
      <c r="C135">
        <v>0</v>
      </c>
      <c r="D135" s="1" t="s">
        <v>111</v>
      </c>
      <c r="E135" s="1" t="s">
        <v>578</v>
      </c>
      <c r="F135" s="1" t="s">
        <v>30</v>
      </c>
      <c r="G135" s="1" t="s">
        <v>579</v>
      </c>
      <c r="H135" s="1" t="s">
        <v>580</v>
      </c>
      <c r="I135" s="1" t="s">
        <v>581</v>
      </c>
      <c r="J135" s="1" t="s">
        <v>836</v>
      </c>
      <c r="K135" s="1"/>
      <c r="L135" s="1"/>
      <c r="M135" s="1" t="s">
        <v>34</v>
      </c>
      <c r="N135" s="1" t="s">
        <v>97</v>
      </c>
      <c r="O135" s="1" t="s">
        <v>98</v>
      </c>
      <c r="P135" s="1" t="s">
        <v>37</v>
      </c>
      <c r="Q135" s="1"/>
      <c r="R135" s="2">
        <v>43845</v>
      </c>
      <c r="S135" s="1"/>
      <c r="W135" s="1" t="s">
        <v>38</v>
      </c>
      <c r="X135" s="2">
        <v>43852</v>
      </c>
      <c r="Y135" s="2">
        <v>43874</v>
      </c>
      <c r="Z135" s="2">
        <v>43874</v>
      </c>
      <c r="AA135" s="2">
        <v>43857</v>
      </c>
      <c r="AB135" s="2">
        <v>43845</v>
      </c>
      <c r="AC135" s="1"/>
      <c r="AD135">
        <v>29</v>
      </c>
      <c r="AE135">
        <v>379</v>
      </c>
      <c r="AG1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36" spans="1:33" x14ac:dyDescent="0.35">
      <c r="A136">
        <v>136</v>
      </c>
      <c r="B136" s="1"/>
      <c r="C136">
        <v>0</v>
      </c>
      <c r="D136" s="1"/>
      <c r="E136" s="1"/>
      <c r="F136" s="1" t="s">
        <v>30</v>
      </c>
      <c r="G136" s="1" t="s">
        <v>582</v>
      </c>
      <c r="H136" s="1" t="s">
        <v>583</v>
      </c>
      <c r="I136" s="1"/>
      <c r="J136" s="1" t="s">
        <v>584</v>
      </c>
      <c r="K136" s="1"/>
      <c r="L136" s="1"/>
      <c r="M136" s="1" t="s">
        <v>34</v>
      </c>
      <c r="N136" s="1" t="s">
        <v>585</v>
      </c>
      <c r="O136" s="1" t="s">
        <v>586</v>
      </c>
      <c r="P136" s="1" t="s">
        <v>278</v>
      </c>
      <c r="Q136" s="1"/>
      <c r="R136" s="2">
        <v>43845</v>
      </c>
      <c r="S136" s="1"/>
      <c r="W136" s="1" t="s">
        <v>38</v>
      </c>
      <c r="X136" s="2">
        <v>43852</v>
      </c>
      <c r="Y136" s="2">
        <v>43854</v>
      </c>
      <c r="Z136" s="2">
        <v>43852</v>
      </c>
      <c r="AA136" s="2">
        <v>43845</v>
      </c>
      <c r="AB136" s="2">
        <v>43845</v>
      </c>
      <c r="AC136" s="1"/>
      <c r="AD136">
        <v>7</v>
      </c>
      <c r="AE136">
        <v>379</v>
      </c>
      <c r="AG1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37" spans="1:33" x14ac:dyDescent="0.35">
      <c r="A137">
        <v>137</v>
      </c>
      <c r="B137" s="1"/>
      <c r="C137">
        <v>0</v>
      </c>
      <c r="D137" s="1"/>
      <c r="E137" s="1"/>
      <c r="F137" s="1" t="s">
        <v>30</v>
      </c>
      <c r="G137" s="1" t="s">
        <v>587</v>
      </c>
      <c r="H137" s="1" t="s">
        <v>588</v>
      </c>
      <c r="I137" s="1"/>
      <c r="J137" s="1"/>
      <c r="K137" s="1"/>
      <c r="L137" s="1"/>
      <c r="M137" s="1" t="s">
        <v>34</v>
      </c>
      <c r="N137" s="1" t="s">
        <v>585</v>
      </c>
      <c r="O137" s="1" t="s">
        <v>586</v>
      </c>
      <c r="P137" s="1" t="s">
        <v>164</v>
      </c>
      <c r="Q137" s="1"/>
      <c r="R137" s="2">
        <v>43866</v>
      </c>
      <c r="S137" s="1"/>
      <c r="W137" s="1" t="s">
        <v>38</v>
      </c>
      <c r="X137" s="2"/>
      <c r="Y137" s="2">
        <v>43920</v>
      </c>
      <c r="Z137" s="2"/>
      <c r="AA137" s="2"/>
      <c r="AB137" s="2">
        <v>43845</v>
      </c>
      <c r="AC137" s="1"/>
      <c r="AE137">
        <v>379</v>
      </c>
      <c r="AG1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38" spans="1:33" x14ac:dyDescent="0.35">
      <c r="A138">
        <v>138</v>
      </c>
      <c r="B138" s="1"/>
      <c r="C138">
        <v>0</v>
      </c>
      <c r="D138" s="1" t="s">
        <v>206</v>
      </c>
      <c r="E138" s="1" t="s">
        <v>589</v>
      </c>
      <c r="F138" s="1" t="s">
        <v>30</v>
      </c>
      <c r="G138" s="1" t="s">
        <v>590</v>
      </c>
      <c r="H138" s="1" t="s">
        <v>591</v>
      </c>
      <c r="I138" s="1" t="s">
        <v>592</v>
      </c>
      <c r="J138" s="1" t="s">
        <v>2182</v>
      </c>
      <c r="K138" s="1"/>
      <c r="L138" s="1"/>
      <c r="M138" s="1" t="s">
        <v>34</v>
      </c>
      <c r="N138" s="1" t="s">
        <v>97</v>
      </c>
      <c r="O138" s="1" t="s">
        <v>98</v>
      </c>
      <c r="P138" s="1" t="s">
        <v>37</v>
      </c>
      <c r="Q138" s="1"/>
      <c r="R138" s="2">
        <v>44041</v>
      </c>
      <c r="S138" s="1"/>
      <c r="W138" s="1" t="s">
        <v>38</v>
      </c>
      <c r="X138" s="2">
        <v>43852</v>
      </c>
      <c r="Y138" s="2">
        <v>44054</v>
      </c>
      <c r="Z138" s="2">
        <v>44041</v>
      </c>
      <c r="AA138" s="2">
        <v>43852</v>
      </c>
      <c r="AB138" s="2">
        <v>43845</v>
      </c>
      <c r="AC138" s="1"/>
      <c r="AD138">
        <v>196</v>
      </c>
      <c r="AE138">
        <v>379</v>
      </c>
      <c r="AG1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196</v>
      </c>
    </row>
    <row r="139" spans="1:33" x14ac:dyDescent="0.35">
      <c r="A139">
        <v>139</v>
      </c>
      <c r="B139" s="1"/>
      <c r="C139">
        <v>0</v>
      </c>
      <c r="D139" s="1" t="s">
        <v>206</v>
      </c>
      <c r="E139" s="1" t="s">
        <v>593</v>
      </c>
      <c r="F139" s="1" t="s">
        <v>30</v>
      </c>
      <c r="G139" s="1" t="s">
        <v>594</v>
      </c>
      <c r="H139" s="1" t="s">
        <v>595</v>
      </c>
      <c r="I139" s="1" t="s">
        <v>596</v>
      </c>
      <c r="J139" s="1" t="s">
        <v>597</v>
      </c>
      <c r="K139" s="1"/>
      <c r="L139" s="1"/>
      <c r="M139" s="1" t="s">
        <v>34</v>
      </c>
      <c r="N139" s="1" t="s">
        <v>97</v>
      </c>
      <c r="O139" s="1" t="s">
        <v>98</v>
      </c>
      <c r="P139" s="1" t="s">
        <v>37</v>
      </c>
      <c r="Q139" s="1"/>
      <c r="R139" s="2">
        <v>43845</v>
      </c>
      <c r="S139" s="1"/>
      <c r="W139" s="1" t="s">
        <v>38</v>
      </c>
      <c r="X139" s="2">
        <v>43852</v>
      </c>
      <c r="Y139" s="2">
        <v>43854</v>
      </c>
      <c r="Z139" s="2">
        <v>43854</v>
      </c>
      <c r="AA139" s="2">
        <v>43853</v>
      </c>
      <c r="AB139" s="2">
        <v>43845</v>
      </c>
      <c r="AC139" s="1"/>
      <c r="AD139">
        <v>9</v>
      </c>
      <c r="AE139">
        <v>379</v>
      </c>
      <c r="AG1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40" spans="1:33" x14ac:dyDescent="0.35">
      <c r="A140">
        <v>140</v>
      </c>
      <c r="B140" s="1"/>
      <c r="C140">
        <v>0</v>
      </c>
      <c r="D140" s="1"/>
      <c r="E140" s="1"/>
      <c r="F140" s="1" t="s">
        <v>30</v>
      </c>
      <c r="G140" s="1" t="s">
        <v>598</v>
      </c>
      <c r="H140" s="1" t="s">
        <v>599</v>
      </c>
      <c r="I140" s="1"/>
      <c r="J140" s="1" t="s">
        <v>2367</v>
      </c>
      <c r="K140" s="1"/>
      <c r="L140" s="1"/>
      <c r="M140" s="1" t="s">
        <v>197</v>
      </c>
      <c r="N140" s="1" t="s">
        <v>341</v>
      </c>
      <c r="O140" s="1" t="s">
        <v>62</v>
      </c>
      <c r="P140" s="1" t="s">
        <v>99</v>
      </c>
      <c r="Q140" s="1"/>
      <c r="R140" s="2">
        <v>43859</v>
      </c>
      <c r="S140" s="1"/>
      <c r="W140" s="1" t="s">
        <v>38</v>
      </c>
      <c r="X140" s="2">
        <v>43852</v>
      </c>
      <c r="Y140" s="2">
        <v>43909</v>
      </c>
      <c r="Z140" s="2">
        <v>43904</v>
      </c>
      <c r="AA140" s="2">
        <v>43874</v>
      </c>
      <c r="AB140" s="2">
        <v>43845</v>
      </c>
      <c r="AC140" s="1"/>
      <c r="AD140">
        <v>59</v>
      </c>
      <c r="AE140">
        <v>379</v>
      </c>
      <c r="AG1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59</v>
      </c>
    </row>
    <row r="141" spans="1:33" x14ac:dyDescent="0.35">
      <c r="A141">
        <v>141</v>
      </c>
      <c r="B141" s="1"/>
      <c r="C141">
        <v>0</v>
      </c>
      <c r="D141" s="1" t="s">
        <v>206</v>
      </c>
      <c r="E141" s="1" t="s">
        <v>600</v>
      </c>
      <c r="F141" s="1" t="s">
        <v>30</v>
      </c>
      <c r="G141" s="1" t="s">
        <v>601</v>
      </c>
      <c r="H141" s="1" t="s">
        <v>602</v>
      </c>
      <c r="I141" s="1"/>
      <c r="J141" s="1" t="s">
        <v>837</v>
      </c>
      <c r="K141" s="1"/>
      <c r="L141" s="1"/>
      <c r="M141" s="1" t="s">
        <v>34</v>
      </c>
      <c r="N141" s="1" t="s">
        <v>97</v>
      </c>
      <c r="O141" s="1" t="s">
        <v>98</v>
      </c>
      <c r="P141" s="1" t="s">
        <v>37</v>
      </c>
      <c r="Q141" s="1"/>
      <c r="R141" s="2">
        <v>43845</v>
      </c>
      <c r="S141" s="1"/>
      <c r="W141" s="1" t="s">
        <v>38</v>
      </c>
      <c r="X141" s="2">
        <v>43861</v>
      </c>
      <c r="Y141" s="2">
        <v>43871</v>
      </c>
      <c r="Z141" s="2">
        <v>43866</v>
      </c>
      <c r="AA141" s="2">
        <v>43865</v>
      </c>
      <c r="AB141" s="2">
        <v>43845</v>
      </c>
      <c r="AC141" s="1"/>
      <c r="AD141">
        <v>21</v>
      </c>
      <c r="AE141">
        <v>379</v>
      </c>
      <c r="AG1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42" spans="1:33" x14ac:dyDescent="0.35">
      <c r="A142">
        <v>142</v>
      </c>
      <c r="B142" s="1"/>
      <c r="C142">
        <v>0</v>
      </c>
      <c r="D142" s="1"/>
      <c r="E142" s="1"/>
      <c r="F142" s="1" t="s">
        <v>30</v>
      </c>
      <c r="G142" s="1" t="s">
        <v>603</v>
      </c>
      <c r="H142" s="1" t="s">
        <v>604</v>
      </c>
      <c r="I142" s="1" t="s">
        <v>605</v>
      </c>
      <c r="J142" s="1" t="s">
        <v>838</v>
      </c>
      <c r="K142" s="1"/>
      <c r="L142" s="1"/>
      <c r="M142" s="1" t="s">
        <v>34</v>
      </c>
      <c r="N142" s="1" t="s">
        <v>97</v>
      </c>
      <c r="O142" s="1" t="s">
        <v>98</v>
      </c>
      <c r="P142" s="1" t="s">
        <v>37</v>
      </c>
      <c r="Q142" s="1"/>
      <c r="R142" s="2">
        <v>43845</v>
      </c>
      <c r="S142" s="1"/>
      <c r="W142" s="1" t="s">
        <v>38</v>
      </c>
      <c r="X142" s="2">
        <v>43852</v>
      </c>
      <c r="Y142" s="2">
        <v>43871</v>
      </c>
      <c r="Z142" s="2">
        <v>43866</v>
      </c>
      <c r="AA142" s="2">
        <v>43847</v>
      </c>
      <c r="AB142" s="2">
        <v>43845</v>
      </c>
      <c r="AC142" s="1"/>
      <c r="AD142">
        <v>21</v>
      </c>
      <c r="AE142">
        <v>379</v>
      </c>
      <c r="AG1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43" spans="1:33" x14ac:dyDescent="0.35">
      <c r="A143">
        <v>143</v>
      </c>
      <c r="B143" s="1"/>
      <c r="C143">
        <v>0</v>
      </c>
      <c r="D143" s="1"/>
      <c r="E143" s="1"/>
      <c r="F143" s="1" t="s">
        <v>30</v>
      </c>
      <c r="G143" s="1" t="s">
        <v>606</v>
      </c>
      <c r="H143" s="1" t="s">
        <v>607</v>
      </c>
      <c r="I143" s="1"/>
      <c r="J143" s="1" t="s">
        <v>839</v>
      </c>
      <c r="K143" s="1"/>
      <c r="L143" s="1"/>
      <c r="M143" s="1" t="s">
        <v>34</v>
      </c>
      <c r="N143" s="1" t="s">
        <v>483</v>
      </c>
      <c r="O143" s="1" t="s">
        <v>484</v>
      </c>
      <c r="P143" s="1" t="s">
        <v>37</v>
      </c>
      <c r="Q143" s="1"/>
      <c r="R143" s="2">
        <v>43845</v>
      </c>
      <c r="S143" s="1"/>
      <c r="W143" s="1" t="s">
        <v>38</v>
      </c>
      <c r="X143" s="2">
        <v>43852</v>
      </c>
      <c r="Y143" s="2">
        <v>43874</v>
      </c>
      <c r="Z143" s="2">
        <v>43874</v>
      </c>
      <c r="AA143" s="2">
        <v>43846</v>
      </c>
      <c r="AB143" s="2">
        <v>43845</v>
      </c>
      <c r="AC143" s="1"/>
      <c r="AD143">
        <v>29</v>
      </c>
      <c r="AE143">
        <v>379</v>
      </c>
      <c r="AG1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44" spans="1:33" x14ac:dyDescent="0.35">
      <c r="A144">
        <v>144</v>
      </c>
      <c r="B144" s="1"/>
      <c r="C144">
        <v>0</v>
      </c>
      <c r="D144" s="1"/>
      <c r="E144" s="1"/>
      <c r="F144" s="1" t="s">
        <v>30</v>
      </c>
      <c r="G144" s="1" t="s">
        <v>608</v>
      </c>
      <c r="H144" s="1" t="s">
        <v>609</v>
      </c>
      <c r="I144" s="1"/>
      <c r="J144" s="1" t="s">
        <v>840</v>
      </c>
      <c r="K144" s="1"/>
      <c r="L144" s="1"/>
      <c r="M144" s="1" t="s">
        <v>34</v>
      </c>
      <c r="N144" s="1" t="s">
        <v>483</v>
      </c>
      <c r="O144" s="1" t="s">
        <v>484</v>
      </c>
      <c r="P144" s="1" t="s">
        <v>37</v>
      </c>
      <c r="Q144" s="1"/>
      <c r="R144" s="2">
        <v>43846</v>
      </c>
      <c r="S144" s="1"/>
      <c r="W144" s="1" t="s">
        <v>38</v>
      </c>
      <c r="X144" s="2">
        <v>43852</v>
      </c>
      <c r="Y144" s="2">
        <v>43879</v>
      </c>
      <c r="Z144" s="2">
        <v>43875</v>
      </c>
      <c r="AA144" s="2">
        <v>43847</v>
      </c>
      <c r="AB144" s="2">
        <v>43846</v>
      </c>
      <c r="AC144" s="1"/>
      <c r="AD144">
        <v>29</v>
      </c>
      <c r="AE144">
        <v>378</v>
      </c>
      <c r="AG1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45" spans="1:33" x14ac:dyDescent="0.35">
      <c r="A145">
        <v>145</v>
      </c>
      <c r="B145" s="1"/>
      <c r="C145">
        <v>0</v>
      </c>
      <c r="D145" s="1"/>
      <c r="E145" s="1"/>
      <c r="F145" s="1" t="s">
        <v>30</v>
      </c>
      <c r="G145" s="1" t="s">
        <v>610</v>
      </c>
      <c r="H145" s="1" t="s">
        <v>611</v>
      </c>
      <c r="I145" s="1"/>
      <c r="J145" s="1" t="s">
        <v>841</v>
      </c>
      <c r="K145" s="1"/>
      <c r="L145" s="1"/>
      <c r="M145" s="1" t="s">
        <v>34</v>
      </c>
      <c r="N145" s="1" t="s">
        <v>483</v>
      </c>
      <c r="O145" s="1" t="s">
        <v>484</v>
      </c>
      <c r="P145" s="1" t="s">
        <v>37</v>
      </c>
      <c r="Q145" s="1"/>
      <c r="R145" s="2">
        <v>43846</v>
      </c>
      <c r="S145" s="1"/>
      <c r="W145" s="1" t="s">
        <v>38</v>
      </c>
      <c r="X145" s="2">
        <v>43852</v>
      </c>
      <c r="Y145" s="2">
        <v>43874</v>
      </c>
      <c r="Z145" s="2">
        <v>43874</v>
      </c>
      <c r="AA145" s="2">
        <v>43847</v>
      </c>
      <c r="AB145" s="2">
        <v>43846</v>
      </c>
      <c r="AC145" s="1"/>
      <c r="AD145">
        <v>28</v>
      </c>
      <c r="AE145">
        <v>378</v>
      </c>
      <c r="AG1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6" spans="1:33" x14ac:dyDescent="0.35">
      <c r="A146">
        <v>146</v>
      </c>
      <c r="B146" s="1"/>
      <c r="C146">
        <v>0</v>
      </c>
      <c r="D146" s="1"/>
      <c r="E146" s="1" t="s">
        <v>612</v>
      </c>
      <c r="F146" s="1" t="s">
        <v>30</v>
      </c>
      <c r="G146" s="1" t="s">
        <v>613</v>
      </c>
      <c r="H146" s="1" t="s">
        <v>614</v>
      </c>
      <c r="I146" s="1"/>
      <c r="J146" s="1" t="s">
        <v>842</v>
      </c>
      <c r="K146" s="1"/>
      <c r="L146" s="1"/>
      <c r="M146" s="1" t="s">
        <v>34</v>
      </c>
      <c r="N146" s="1" t="s">
        <v>378</v>
      </c>
      <c r="O146" s="1" t="s">
        <v>147</v>
      </c>
      <c r="P146" s="1" t="s">
        <v>37</v>
      </c>
      <c r="Q146" s="1"/>
      <c r="R146" s="2">
        <v>43846</v>
      </c>
      <c r="S146" s="1"/>
      <c r="W146" s="1" t="s">
        <v>38</v>
      </c>
      <c r="X146" s="2">
        <v>43853</v>
      </c>
      <c r="Y146" s="2">
        <v>43879</v>
      </c>
      <c r="Z146" s="2">
        <v>43874</v>
      </c>
      <c r="AA146" s="2">
        <v>43872</v>
      </c>
      <c r="AB146" s="2">
        <v>43846</v>
      </c>
      <c r="AC146" s="1"/>
      <c r="AD146">
        <v>28</v>
      </c>
      <c r="AE146">
        <v>378</v>
      </c>
      <c r="AG1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7" spans="1:33" x14ac:dyDescent="0.35">
      <c r="A147">
        <v>147</v>
      </c>
      <c r="B147" s="1"/>
      <c r="C147">
        <v>0</v>
      </c>
      <c r="D147" s="1"/>
      <c r="E147" s="1" t="s">
        <v>615</v>
      </c>
      <c r="F147" s="1" t="s">
        <v>30</v>
      </c>
      <c r="G147" s="1" t="s">
        <v>616</v>
      </c>
      <c r="H147" s="1" t="s">
        <v>617</v>
      </c>
      <c r="I147" s="1"/>
      <c r="J147" s="1" t="s">
        <v>618</v>
      </c>
      <c r="K147" s="1"/>
      <c r="L147" s="1"/>
      <c r="M147" s="1" t="s">
        <v>34</v>
      </c>
      <c r="N147" s="1" t="s">
        <v>378</v>
      </c>
      <c r="O147" s="1" t="s">
        <v>147</v>
      </c>
      <c r="P147" s="1" t="s">
        <v>379</v>
      </c>
      <c r="Q147" s="1"/>
      <c r="R147" s="2">
        <v>43846</v>
      </c>
      <c r="S147" s="1"/>
      <c r="W147" s="1" t="s">
        <v>38</v>
      </c>
      <c r="X147" s="2">
        <v>43853</v>
      </c>
      <c r="Y147" s="2">
        <v>43860</v>
      </c>
      <c r="Z147" s="2">
        <v>43854</v>
      </c>
      <c r="AA147" s="2">
        <v>43846</v>
      </c>
      <c r="AB147" s="2">
        <v>43846</v>
      </c>
      <c r="AC147" s="1"/>
      <c r="AD147">
        <v>8</v>
      </c>
      <c r="AE147">
        <v>378</v>
      </c>
      <c r="AG1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48" spans="1:33" x14ac:dyDescent="0.35">
      <c r="A148">
        <v>148</v>
      </c>
      <c r="B148" s="1"/>
      <c r="C148">
        <v>0</v>
      </c>
      <c r="D148" s="1" t="s">
        <v>111</v>
      </c>
      <c r="E148" s="1" t="s">
        <v>619</v>
      </c>
      <c r="F148" s="1" t="s">
        <v>30</v>
      </c>
      <c r="G148" s="1" t="s">
        <v>620</v>
      </c>
      <c r="H148" s="1" t="s">
        <v>621</v>
      </c>
      <c r="I148" s="1" t="s">
        <v>622</v>
      </c>
      <c r="J148" s="1" t="s">
        <v>399</v>
      </c>
      <c r="K148" s="1"/>
      <c r="L148" s="1"/>
      <c r="M148" s="1" t="s">
        <v>34</v>
      </c>
      <c r="N148" s="1" t="s">
        <v>97</v>
      </c>
      <c r="O148" s="1" t="s">
        <v>98</v>
      </c>
      <c r="P148" s="1" t="s">
        <v>37</v>
      </c>
      <c r="Q148" s="1"/>
      <c r="R148" s="2">
        <v>43846</v>
      </c>
      <c r="S148" s="1"/>
      <c r="W148" s="1" t="s">
        <v>38</v>
      </c>
      <c r="X148" s="2">
        <v>43853</v>
      </c>
      <c r="Y148" s="2">
        <v>43854</v>
      </c>
      <c r="Z148" s="2">
        <v>43853</v>
      </c>
      <c r="AA148" s="2">
        <v>43852</v>
      </c>
      <c r="AB148" s="2">
        <v>43846</v>
      </c>
      <c r="AC148" s="1"/>
      <c r="AD148">
        <v>7</v>
      </c>
      <c r="AE148">
        <v>378</v>
      </c>
      <c r="AG1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49" spans="1:33" x14ac:dyDescent="0.35">
      <c r="A149">
        <v>149</v>
      </c>
      <c r="B149" s="1"/>
      <c r="C149">
        <v>0</v>
      </c>
      <c r="D149" s="1"/>
      <c r="E149" s="1"/>
      <c r="F149" s="1" t="s">
        <v>30</v>
      </c>
      <c r="G149" s="1" t="s">
        <v>623</v>
      </c>
      <c r="H149" s="1" t="s">
        <v>624</v>
      </c>
      <c r="I149" s="1"/>
      <c r="J149" s="1" t="s">
        <v>843</v>
      </c>
      <c r="K149" s="1"/>
      <c r="L149" s="1"/>
      <c r="M149" s="1" t="s">
        <v>34</v>
      </c>
      <c r="N149" s="1" t="s">
        <v>245</v>
      </c>
      <c r="O149" s="1" t="s">
        <v>147</v>
      </c>
      <c r="P149" s="1" t="s">
        <v>37</v>
      </c>
      <c r="Q149" s="1"/>
      <c r="R149" s="2">
        <v>43846</v>
      </c>
      <c r="S149" s="1"/>
      <c r="W149" s="1" t="s">
        <v>38</v>
      </c>
      <c r="X149" s="2">
        <v>43853</v>
      </c>
      <c r="Y149" s="2">
        <v>43881</v>
      </c>
      <c r="Z149" s="2">
        <v>43874</v>
      </c>
      <c r="AA149" s="2">
        <v>43872</v>
      </c>
      <c r="AB149" s="2">
        <v>43846</v>
      </c>
      <c r="AC149" s="1"/>
      <c r="AD149">
        <v>28</v>
      </c>
      <c r="AE149">
        <v>378</v>
      </c>
      <c r="AG1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0" spans="1:33" x14ac:dyDescent="0.35">
      <c r="A150">
        <v>150</v>
      </c>
      <c r="B150" s="1"/>
      <c r="C150">
        <v>0</v>
      </c>
      <c r="D150" s="1"/>
      <c r="E150" s="1"/>
      <c r="F150" s="1" t="s">
        <v>30</v>
      </c>
      <c r="G150" s="1" t="s">
        <v>625</v>
      </c>
      <c r="H150" s="1" t="s">
        <v>626</v>
      </c>
      <c r="I150" s="1"/>
      <c r="J150" s="1" t="s">
        <v>844</v>
      </c>
      <c r="K150" s="1"/>
      <c r="L150" s="1"/>
      <c r="M150" s="1" t="s">
        <v>34</v>
      </c>
      <c r="N150" s="1" t="s">
        <v>245</v>
      </c>
      <c r="O150" s="1" t="s">
        <v>147</v>
      </c>
      <c r="P150" s="1" t="s">
        <v>379</v>
      </c>
      <c r="Q150" s="1"/>
      <c r="R150" s="2">
        <v>43846</v>
      </c>
      <c r="S150" s="1"/>
      <c r="W150" s="1" t="s">
        <v>38</v>
      </c>
      <c r="X150" s="2">
        <v>43853</v>
      </c>
      <c r="Y150" s="2">
        <v>43881</v>
      </c>
      <c r="Z150" s="2">
        <v>43874</v>
      </c>
      <c r="AA150" s="2">
        <v>43874</v>
      </c>
      <c r="AB150" s="2">
        <v>43846</v>
      </c>
      <c r="AC150" s="1"/>
      <c r="AD150">
        <v>28</v>
      </c>
      <c r="AE150">
        <v>378</v>
      </c>
      <c r="AG1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1" spans="1:33" x14ac:dyDescent="0.35">
      <c r="A151">
        <v>151</v>
      </c>
      <c r="B151" s="1"/>
      <c r="C151">
        <v>0</v>
      </c>
      <c r="D151" s="1"/>
      <c r="E151" s="1" t="s">
        <v>627</v>
      </c>
      <c r="F151" s="1" t="s">
        <v>30</v>
      </c>
      <c r="G151" s="1" t="s">
        <v>628</v>
      </c>
      <c r="H151" s="1" t="s">
        <v>629</v>
      </c>
      <c r="I151" s="1"/>
      <c r="J151" s="1" t="s">
        <v>845</v>
      </c>
      <c r="K151" s="1"/>
      <c r="L151" s="1"/>
      <c r="M151" s="1" t="s">
        <v>34</v>
      </c>
      <c r="N151" s="1" t="s">
        <v>245</v>
      </c>
      <c r="O151" s="1" t="s">
        <v>147</v>
      </c>
      <c r="P151" s="1" t="s">
        <v>37</v>
      </c>
      <c r="Q151" s="1"/>
      <c r="R151" s="2">
        <v>43846</v>
      </c>
      <c r="S151" s="1"/>
      <c r="W151" s="1" t="s">
        <v>38</v>
      </c>
      <c r="X151" s="2">
        <v>43853</v>
      </c>
      <c r="Y151" s="2">
        <v>43881</v>
      </c>
      <c r="Z151" s="2">
        <v>43874</v>
      </c>
      <c r="AA151" s="2">
        <v>43872</v>
      </c>
      <c r="AB151" s="2">
        <v>43846</v>
      </c>
      <c r="AC151" s="1"/>
      <c r="AD151">
        <v>28</v>
      </c>
      <c r="AE151">
        <v>378</v>
      </c>
      <c r="AG1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2" spans="1:33" x14ac:dyDescent="0.35">
      <c r="A152">
        <v>152</v>
      </c>
      <c r="B152" s="1"/>
      <c r="C152">
        <v>0</v>
      </c>
      <c r="D152" s="1"/>
      <c r="E152" s="1" t="s">
        <v>630</v>
      </c>
      <c r="F152" s="1" t="s">
        <v>30</v>
      </c>
      <c r="G152" s="1" t="s">
        <v>631</v>
      </c>
      <c r="H152" s="1" t="s">
        <v>632</v>
      </c>
      <c r="I152" s="1"/>
      <c r="J152" s="1" t="s">
        <v>846</v>
      </c>
      <c r="K152" s="1"/>
      <c r="L152" s="1"/>
      <c r="M152" s="1" t="s">
        <v>34</v>
      </c>
      <c r="N152" s="1" t="s">
        <v>245</v>
      </c>
      <c r="O152" s="1" t="s">
        <v>147</v>
      </c>
      <c r="P152" s="1" t="s">
        <v>37</v>
      </c>
      <c r="Q152" s="1"/>
      <c r="R152" s="2">
        <v>43846</v>
      </c>
      <c r="S152" s="1"/>
      <c r="W152" s="1" t="s">
        <v>38</v>
      </c>
      <c r="X152" s="2">
        <v>43853</v>
      </c>
      <c r="Y152" s="2">
        <v>43881</v>
      </c>
      <c r="Z152" s="2">
        <v>43874</v>
      </c>
      <c r="AA152" s="2">
        <v>43872</v>
      </c>
      <c r="AB152" s="2">
        <v>43846</v>
      </c>
      <c r="AC152" s="1"/>
      <c r="AD152">
        <v>28</v>
      </c>
      <c r="AE152">
        <v>378</v>
      </c>
      <c r="AG1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3" spans="1:33" x14ac:dyDescent="0.35">
      <c r="A153">
        <v>153</v>
      </c>
      <c r="B153" s="1"/>
      <c r="C153">
        <v>0</v>
      </c>
      <c r="D153" s="1"/>
      <c r="E153" s="1" t="s">
        <v>633</v>
      </c>
      <c r="F153" s="1" t="s">
        <v>30</v>
      </c>
      <c r="G153" s="1" t="s">
        <v>634</v>
      </c>
      <c r="H153" s="1" t="s">
        <v>635</v>
      </c>
      <c r="I153" s="1"/>
      <c r="J153" s="1" t="s">
        <v>847</v>
      </c>
      <c r="K153" s="1"/>
      <c r="L153" s="1"/>
      <c r="M153" s="1" t="s">
        <v>34</v>
      </c>
      <c r="N153" s="1" t="s">
        <v>245</v>
      </c>
      <c r="O153" s="1" t="s">
        <v>147</v>
      </c>
      <c r="P153" s="1" t="s">
        <v>37</v>
      </c>
      <c r="Q153" s="1"/>
      <c r="R153" s="2">
        <v>43846</v>
      </c>
      <c r="S153" s="1"/>
      <c r="W153" s="1" t="s">
        <v>38</v>
      </c>
      <c r="X153" s="2">
        <v>43853</v>
      </c>
      <c r="Y153" s="2">
        <v>43881</v>
      </c>
      <c r="Z153" s="2">
        <v>43874</v>
      </c>
      <c r="AA153" s="2">
        <v>43872</v>
      </c>
      <c r="AB153" s="2">
        <v>43846</v>
      </c>
      <c r="AC153" s="1"/>
      <c r="AD153">
        <v>28</v>
      </c>
      <c r="AE153">
        <v>378</v>
      </c>
      <c r="AG1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4" spans="1:33" x14ac:dyDescent="0.35">
      <c r="A154">
        <v>154</v>
      </c>
      <c r="B154" s="1"/>
      <c r="C154">
        <v>0</v>
      </c>
      <c r="D154" s="1"/>
      <c r="E154" s="1" t="s">
        <v>636</v>
      </c>
      <c r="F154" s="1" t="s">
        <v>30</v>
      </c>
      <c r="G154" s="1" t="s">
        <v>637</v>
      </c>
      <c r="H154" s="1" t="s">
        <v>638</v>
      </c>
      <c r="I154" s="1"/>
      <c r="J154" s="1" t="s">
        <v>848</v>
      </c>
      <c r="K154" s="1"/>
      <c r="L154" s="1"/>
      <c r="M154" s="1" t="s">
        <v>34</v>
      </c>
      <c r="N154" s="1" t="s">
        <v>245</v>
      </c>
      <c r="O154" s="1" t="s">
        <v>147</v>
      </c>
      <c r="P154" s="1" t="s">
        <v>37</v>
      </c>
      <c r="Q154" s="1"/>
      <c r="R154" s="2">
        <v>43846</v>
      </c>
      <c r="S154" s="1"/>
      <c r="W154" s="1" t="s">
        <v>38</v>
      </c>
      <c r="X154" s="2">
        <v>43853</v>
      </c>
      <c r="Y154" s="2">
        <v>43881</v>
      </c>
      <c r="Z154" s="2">
        <v>43874</v>
      </c>
      <c r="AA154" s="2">
        <v>43872</v>
      </c>
      <c r="AB154" s="2">
        <v>43846</v>
      </c>
      <c r="AC154" s="1"/>
      <c r="AD154">
        <v>28</v>
      </c>
      <c r="AE154">
        <v>378</v>
      </c>
      <c r="AG1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5" spans="1:33" x14ac:dyDescent="0.35">
      <c r="A155">
        <v>155</v>
      </c>
      <c r="B155" s="1"/>
      <c r="C155">
        <v>0</v>
      </c>
      <c r="D155" s="1"/>
      <c r="E155" s="1" t="s">
        <v>639</v>
      </c>
      <c r="F155" s="1" t="s">
        <v>30</v>
      </c>
      <c r="G155" s="1" t="s">
        <v>640</v>
      </c>
      <c r="H155" s="1" t="s">
        <v>641</v>
      </c>
      <c r="I155" s="1"/>
      <c r="J155" s="1" t="s">
        <v>849</v>
      </c>
      <c r="K155" s="1"/>
      <c r="L155" s="1"/>
      <c r="M155" s="1" t="s">
        <v>34</v>
      </c>
      <c r="N155" s="1" t="s">
        <v>245</v>
      </c>
      <c r="O155" s="1" t="s">
        <v>147</v>
      </c>
      <c r="P155" s="1" t="s">
        <v>37</v>
      </c>
      <c r="Q155" s="1"/>
      <c r="R155" s="2">
        <v>43846</v>
      </c>
      <c r="S155" s="1"/>
      <c r="W155" s="1" t="s">
        <v>38</v>
      </c>
      <c r="X155" s="2">
        <v>43853</v>
      </c>
      <c r="Y155" s="2">
        <v>43881</v>
      </c>
      <c r="Z155" s="2">
        <v>43874</v>
      </c>
      <c r="AA155" s="2">
        <v>43872</v>
      </c>
      <c r="AB155" s="2">
        <v>43846</v>
      </c>
      <c r="AC155" s="1"/>
      <c r="AD155">
        <v>28</v>
      </c>
      <c r="AE155">
        <v>378</v>
      </c>
      <c r="AG1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6" spans="1:33" x14ac:dyDescent="0.35">
      <c r="A156">
        <v>156</v>
      </c>
      <c r="B156" s="1"/>
      <c r="C156">
        <v>0</v>
      </c>
      <c r="D156" s="1"/>
      <c r="E156" s="1" t="s">
        <v>642</v>
      </c>
      <c r="F156" s="1" t="s">
        <v>30</v>
      </c>
      <c r="G156" s="1" t="s">
        <v>643</v>
      </c>
      <c r="H156" s="1" t="s">
        <v>644</v>
      </c>
      <c r="I156" s="1"/>
      <c r="J156" s="1" t="s">
        <v>645</v>
      </c>
      <c r="K156" s="1"/>
      <c r="L156" s="1"/>
      <c r="M156" s="1" t="s">
        <v>197</v>
      </c>
      <c r="N156" s="1" t="s">
        <v>43</v>
      </c>
      <c r="O156" s="1" t="s">
        <v>44</v>
      </c>
      <c r="P156" s="1" t="s">
        <v>63</v>
      </c>
      <c r="Q156" s="1"/>
      <c r="R156" s="2">
        <v>43847</v>
      </c>
      <c r="S156" s="1"/>
      <c r="V156">
        <v>5000</v>
      </c>
      <c r="W156" s="1" t="s">
        <v>38</v>
      </c>
      <c r="X156" s="2">
        <v>43850</v>
      </c>
      <c r="Y156" s="2">
        <v>43850</v>
      </c>
      <c r="Z156" s="2">
        <v>43850</v>
      </c>
      <c r="AA156" s="2">
        <v>43847</v>
      </c>
      <c r="AB156" s="2">
        <v>43847</v>
      </c>
      <c r="AC156" s="1"/>
      <c r="AD156">
        <v>3</v>
      </c>
      <c r="AE156">
        <v>377</v>
      </c>
      <c r="AG1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57" spans="1:33" x14ac:dyDescent="0.35">
      <c r="A157">
        <v>157</v>
      </c>
      <c r="B157" s="1"/>
      <c r="C157">
        <v>0</v>
      </c>
      <c r="D157" s="1"/>
      <c r="E157" s="1"/>
      <c r="F157" s="1" t="s">
        <v>30</v>
      </c>
      <c r="G157" s="1" t="s">
        <v>646</v>
      </c>
      <c r="H157" s="1" t="s">
        <v>647</v>
      </c>
      <c r="I157" s="1"/>
      <c r="J157" s="1" t="s">
        <v>648</v>
      </c>
      <c r="K157" s="1"/>
      <c r="L157" s="1"/>
      <c r="M157" s="1" t="s">
        <v>34</v>
      </c>
      <c r="N157" s="1" t="s">
        <v>341</v>
      </c>
      <c r="O157" s="1" t="s">
        <v>62</v>
      </c>
      <c r="P157" s="1" t="s">
        <v>37</v>
      </c>
      <c r="Q157" s="1"/>
      <c r="R157" s="2">
        <v>43847</v>
      </c>
      <c r="S157" s="1"/>
      <c r="W157" s="1" t="s">
        <v>38</v>
      </c>
      <c r="X157" s="2">
        <v>43854</v>
      </c>
      <c r="Y157" s="2">
        <v>43853</v>
      </c>
      <c r="Z157" s="2">
        <v>43850</v>
      </c>
      <c r="AA157" s="2">
        <v>43847</v>
      </c>
      <c r="AB157" s="2">
        <v>43847</v>
      </c>
      <c r="AC157" s="1"/>
      <c r="AD157">
        <v>3</v>
      </c>
      <c r="AE157">
        <v>377</v>
      </c>
      <c r="AG1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58" spans="1:33" x14ac:dyDescent="0.35">
      <c r="A158">
        <v>158</v>
      </c>
      <c r="B158" s="1"/>
      <c r="C158">
        <v>0</v>
      </c>
      <c r="D158" s="1"/>
      <c r="E158" s="1" t="s">
        <v>649</v>
      </c>
      <c r="F158" s="1" t="s">
        <v>30</v>
      </c>
      <c r="G158" s="1" t="s">
        <v>650</v>
      </c>
      <c r="H158" s="1" t="s">
        <v>651</v>
      </c>
      <c r="I158" s="1" t="s">
        <v>652</v>
      </c>
      <c r="J158" s="1" t="s">
        <v>850</v>
      </c>
      <c r="K158" s="1"/>
      <c r="L158" s="1"/>
      <c r="M158" s="1" t="s">
        <v>34</v>
      </c>
      <c r="N158" s="1" t="s">
        <v>97</v>
      </c>
      <c r="O158" s="1" t="s">
        <v>98</v>
      </c>
      <c r="P158" s="1" t="s">
        <v>37</v>
      </c>
      <c r="Q158" s="1"/>
      <c r="R158" s="2">
        <v>43847</v>
      </c>
      <c r="S158" s="1"/>
      <c r="W158" s="1" t="s">
        <v>38</v>
      </c>
      <c r="X158" s="2">
        <v>43854</v>
      </c>
      <c r="Y158" s="2">
        <v>43865</v>
      </c>
      <c r="Z158" s="2">
        <v>43864</v>
      </c>
      <c r="AA158" s="2">
        <v>43847</v>
      </c>
      <c r="AB158" s="2">
        <v>43847</v>
      </c>
      <c r="AC158" s="1"/>
      <c r="AD158">
        <v>17</v>
      </c>
      <c r="AE158">
        <v>377</v>
      </c>
      <c r="AG1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159" spans="1:33" x14ac:dyDescent="0.35">
      <c r="A159">
        <v>159</v>
      </c>
      <c r="B159" s="1"/>
      <c r="C159">
        <v>0</v>
      </c>
      <c r="D159" s="1" t="s">
        <v>206</v>
      </c>
      <c r="E159" s="1" t="s">
        <v>653</v>
      </c>
      <c r="F159" s="1" t="s">
        <v>30</v>
      </c>
      <c r="G159" s="1" t="s">
        <v>654</v>
      </c>
      <c r="H159" s="1" t="s">
        <v>655</v>
      </c>
      <c r="I159" s="1" t="s">
        <v>656</v>
      </c>
      <c r="J159" s="1" t="s">
        <v>657</v>
      </c>
      <c r="K159" s="1"/>
      <c r="L159" s="1"/>
      <c r="M159" s="1" t="s">
        <v>34</v>
      </c>
      <c r="N159" s="1" t="s">
        <v>97</v>
      </c>
      <c r="O159" s="1" t="s">
        <v>98</v>
      </c>
      <c r="P159" s="1" t="s">
        <v>37</v>
      </c>
      <c r="Q159" s="1"/>
      <c r="R159" s="2">
        <v>43847</v>
      </c>
      <c r="S159" s="1"/>
      <c r="W159" s="1" t="s">
        <v>38</v>
      </c>
      <c r="X159" s="2">
        <v>43854</v>
      </c>
      <c r="Y159" s="2">
        <v>43854</v>
      </c>
      <c r="Z159" s="2">
        <v>43854</v>
      </c>
      <c r="AA159" s="2">
        <v>43854</v>
      </c>
      <c r="AB159" s="2">
        <v>43847</v>
      </c>
      <c r="AC159" s="1"/>
      <c r="AD159">
        <v>7</v>
      </c>
      <c r="AE159">
        <v>377</v>
      </c>
      <c r="AG1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60" spans="1:33" x14ac:dyDescent="0.35">
      <c r="A160">
        <v>160</v>
      </c>
      <c r="B160" s="1"/>
      <c r="C160">
        <v>0</v>
      </c>
      <c r="D160" s="1" t="s">
        <v>206</v>
      </c>
      <c r="E160" s="1" t="s">
        <v>658</v>
      </c>
      <c r="F160" s="1" t="s">
        <v>30</v>
      </c>
      <c r="G160" s="1" t="s">
        <v>659</v>
      </c>
      <c r="H160" s="1" t="s">
        <v>660</v>
      </c>
      <c r="I160" s="1" t="s">
        <v>661</v>
      </c>
      <c r="J160" s="1" t="s">
        <v>399</v>
      </c>
      <c r="K160" s="1"/>
      <c r="L160" s="1"/>
      <c r="M160" s="1" t="s">
        <v>197</v>
      </c>
      <c r="N160" s="1" t="s">
        <v>97</v>
      </c>
      <c r="O160" s="1" t="s">
        <v>98</v>
      </c>
      <c r="P160" s="1" t="s">
        <v>37</v>
      </c>
      <c r="Q160" s="1"/>
      <c r="R160" s="2">
        <v>43847</v>
      </c>
      <c r="S160" s="1"/>
      <c r="W160" s="1" t="s">
        <v>38</v>
      </c>
      <c r="X160" s="2">
        <v>43853</v>
      </c>
      <c r="Y160" s="2">
        <v>43859</v>
      </c>
      <c r="Z160" s="2">
        <v>43859</v>
      </c>
      <c r="AA160" s="2">
        <v>43857</v>
      </c>
      <c r="AB160" s="2">
        <v>43847</v>
      </c>
      <c r="AC160" s="1"/>
      <c r="AD160">
        <v>12</v>
      </c>
      <c r="AE160">
        <v>377</v>
      </c>
      <c r="AG1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161" spans="1:33" x14ac:dyDescent="0.35">
      <c r="A161">
        <v>161</v>
      </c>
      <c r="B161" s="1"/>
      <c r="C161">
        <v>0</v>
      </c>
      <c r="D161" s="1" t="s">
        <v>206</v>
      </c>
      <c r="E161" s="1" t="s">
        <v>231</v>
      </c>
      <c r="F161" s="1" t="s">
        <v>30</v>
      </c>
      <c r="G161" s="1" t="s">
        <v>662</v>
      </c>
      <c r="H161" s="1" t="s">
        <v>663</v>
      </c>
      <c r="I161" s="1" t="s">
        <v>664</v>
      </c>
      <c r="J161" s="1" t="s">
        <v>851</v>
      </c>
      <c r="K161" s="1"/>
      <c r="L161" s="1"/>
      <c r="M161" s="1" t="s">
        <v>34</v>
      </c>
      <c r="N161" s="1" t="s">
        <v>97</v>
      </c>
      <c r="O161" s="1" t="s">
        <v>98</v>
      </c>
      <c r="P161" s="1" t="s">
        <v>37</v>
      </c>
      <c r="Q161" s="1"/>
      <c r="R161" s="2">
        <v>43847</v>
      </c>
      <c r="S161" s="1"/>
      <c r="W161" s="1" t="s">
        <v>38</v>
      </c>
      <c r="X161" s="2">
        <v>43854</v>
      </c>
      <c r="Y161" s="2">
        <v>43908</v>
      </c>
      <c r="Z161" s="2">
        <v>43908</v>
      </c>
      <c r="AA161" s="2">
        <v>43907</v>
      </c>
      <c r="AB161" s="2">
        <v>43847</v>
      </c>
      <c r="AC161" s="1"/>
      <c r="AD161">
        <v>61</v>
      </c>
      <c r="AE161">
        <v>377</v>
      </c>
      <c r="AG1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61</v>
      </c>
    </row>
    <row r="162" spans="1:33" x14ac:dyDescent="0.35">
      <c r="A162">
        <v>162</v>
      </c>
      <c r="B162" s="1"/>
      <c r="C162">
        <v>0</v>
      </c>
      <c r="D162" s="1"/>
      <c r="E162" s="1"/>
      <c r="F162" s="1" t="s">
        <v>30</v>
      </c>
      <c r="G162" s="1" t="s">
        <v>666</v>
      </c>
      <c r="H162" s="1" t="s">
        <v>667</v>
      </c>
      <c r="I162" s="1" t="s">
        <v>668</v>
      </c>
      <c r="J162" s="1" t="s">
        <v>669</v>
      </c>
      <c r="K162" s="1"/>
      <c r="L162" s="1"/>
      <c r="M162" s="1" t="s">
        <v>197</v>
      </c>
      <c r="N162" s="1" t="s">
        <v>437</v>
      </c>
      <c r="O162" s="1" t="s">
        <v>44</v>
      </c>
      <c r="P162" s="1" t="s">
        <v>198</v>
      </c>
      <c r="Q162" s="1" t="s">
        <v>199</v>
      </c>
      <c r="R162" s="2">
        <v>43851</v>
      </c>
      <c r="S162" s="1"/>
      <c r="W162" s="1" t="s">
        <v>38</v>
      </c>
      <c r="X162" s="2">
        <v>43860</v>
      </c>
      <c r="Y162" s="2">
        <v>43860</v>
      </c>
      <c r="Z162" s="2">
        <v>43857</v>
      </c>
      <c r="AA162" s="2">
        <v>43858</v>
      </c>
      <c r="AB162" s="2">
        <v>43851</v>
      </c>
      <c r="AC162" s="1"/>
      <c r="AD162">
        <v>6</v>
      </c>
      <c r="AE162">
        <v>373</v>
      </c>
      <c r="AG1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3" spans="1:33" x14ac:dyDescent="0.35">
      <c r="A163">
        <v>163</v>
      </c>
      <c r="B163" s="1"/>
      <c r="C163">
        <v>0</v>
      </c>
      <c r="D163" s="1"/>
      <c r="E163" s="1"/>
      <c r="F163" s="1" t="s">
        <v>30</v>
      </c>
      <c r="G163" s="1" t="s">
        <v>670</v>
      </c>
      <c r="H163" s="1" t="s">
        <v>671</v>
      </c>
      <c r="I163" s="1"/>
      <c r="J163" s="1" t="s">
        <v>672</v>
      </c>
      <c r="K163" s="1"/>
      <c r="L163" s="1"/>
      <c r="M163" s="1" t="s">
        <v>34</v>
      </c>
      <c r="N163" s="1" t="s">
        <v>341</v>
      </c>
      <c r="O163" s="1" t="s">
        <v>62</v>
      </c>
      <c r="P163" s="1" t="s">
        <v>37</v>
      </c>
      <c r="Q163" s="1"/>
      <c r="R163" s="2">
        <v>43851</v>
      </c>
      <c r="S163" s="1"/>
      <c r="W163" s="1" t="s">
        <v>38</v>
      </c>
      <c r="X163" s="2">
        <v>43858</v>
      </c>
      <c r="Y163" s="2">
        <v>43860</v>
      </c>
      <c r="Z163" s="2">
        <v>43859</v>
      </c>
      <c r="AA163" s="2">
        <v>43858</v>
      </c>
      <c r="AB163" s="2">
        <v>43851</v>
      </c>
      <c r="AC163" s="1"/>
      <c r="AD163">
        <v>8</v>
      </c>
      <c r="AE163">
        <v>373</v>
      </c>
      <c r="AG1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64" spans="1:33" x14ac:dyDescent="0.35">
      <c r="A164">
        <v>164</v>
      </c>
      <c r="B164" s="1"/>
      <c r="C164">
        <v>0</v>
      </c>
      <c r="D164" s="1"/>
      <c r="E164" s="1"/>
      <c r="F164" s="1" t="s">
        <v>30</v>
      </c>
      <c r="G164" s="1" t="s">
        <v>673</v>
      </c>
      <c r="H164" s="1" t="s">
        <v>674</v>
      </c>
      <c r="I164" s="1"/>
      <c r="J164" s="1" t="s">
        <v>1439</v>
      </c>
      <c r="K164" s="1"/>
      <c r="L164" s="1"/>
      <c r="M164" s="1" t="s">
        <v>34</v>
      </c>
      <c r="N164" s="1" t="s">
        <v>276</v>
      </c>
      <c r="O164" s="1" t="s">
        <v>277</v>
      </c>
      <c r="P164" s="1" t="s">
        <v>278</v>
      </c>
      <c r="Q164" s="1"/>
      <c r="R164" s="2">
        <v>43851</v>
      </c>
      <c r="S164" s="1"/>
      <c r="W164" s="1" t="s">
        <v>38</v>
      </c>
      <c r="X164" s="2">
        <v>43858</v>
      </c>
      <c r="Y164" s="2">
        <v>43865</v>
      </c>
      <c r="Z164" s="2">
        <v>43861</v>
      </c>
      <c r="AA164" s="2">
        <v>43857</v>
      </c>
      <c r="AB164" s="2">
        <v>43851</v>
      </c>
      <c r="AC164" s="1"/>
      <c r="AD164">
        <v>10</v>
      </c>
      <c r="AE164">
        <v>373</v>
      </c>
      <c r="AG1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65" spans="1:33" x14ac:dyDescent="0.35">
      <c r="A165">
        <v>165</v>
      </c>
      <c r="B165" s="1"/>
      <c r="C165">
        <v>0</v>
      </c>
      <c r="D165" s="1"/>
      <c r="E165" s="1" t="s">
        <v>675</v>
      </c>
      <c r="F165" s="1" t="s">
        <v>30</v>
      </c>
      <c r="G165" s="1" t="s">
        <v>676</v>
      </c>
      <c r="H165" s="1" t="s">
        <v>677</v>
      </c>
      <c r="I165" s="1"/>
      <c r="J165" s="1" t="s">
        <v>678</v>
      </c>
      <c r="K165" s="1"/>
      <c r="L165" s="1"/>
      <c r="M165" s="1" t="s">
        <v>197</v>
      </c>
      <c r="N165" s="1" t="s">
        <v>245</v>
      </c>
      <c r="O165" s="1" t="s">
        <v>147</v>
      </c>
      <c r="P165" s="1" t="s">
        <v>379</v>
      </c>
      <c r="Q165" s="1"/>
      <c r="R165" s="2">
        <v>43852</v>
      </c>
      <c r="S165" s="1"/>
      <c r="W165" s="1" t="s">
        <v>38</v>
      </c>
      <c r="X165" s="2">
        <v>43855</v>
      </c>
      <c r="Y165" s="2">
        <v>43860</v>
      </c>
      <c r="Z165" s="2">
        <v>43854</v>
      </c>
      <c r="AA165" s="2">
        <v>43853</v>
      </c>
      <c r="AB165" s="2">
        <v>43852</v>
      </c>
      <c r="AC165" s="1"/>
      <c r="AD165">
        <v>2</v>
      </c>
      <c r="AE165">
        <v>372</v>
      </c>
      <c r="AG1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166" spans="1:33" x14ac:dyDescent="0.35">
      <c r="A166">
        <v>166</v>
      </c>
      <c r="B166" s="1"/>
      <c r="C166">
        <v>0</v>
      </c>
      <c r="D166" s="1"/>
      <c r="E166" s="1"/>
      <c r="F166" s="1" t="s">
        <v>30</v>
      </c>
      <c r="G166" s="1" t="s">
        <v>679</v>
      </c>
      <c r="H166" s="1" t="s">
        <v>680</v>
      </c>
      <c r="I166" s="1"/>
      <c r="J166" s="1" t="s">
        <v>681</v>
      </c>
      <c r="K166" s="1"/>
      <c r="L166" s="1"/>
      <c r="M166" s="1" t="s">
        <v>34</v>
      </c>
      <c r="N166" s="1" t="s">
        <v>276</v>
      </c>
      <c r="O166" s="1" t="s">
        <v>277</v>
      </c>
      <c r="P166" s="1" t="s">
        <v>278</v>
      </c>
      <c r="Q166" s="1"/>
      <c r="R166" s="2">
        <v>43852</v>
      </c>
      <c r="S166" s="1"/>
      <c r="W166" s="1" t="s">
        <v>38</v>
      </c>
      <c r="X166" s="2">
        <v>43859</v>
      </c>
      <c r="Y166" s="2">
        <v>43860</v>
      </c>
      <c r="Z166" s="2">
        <v>43858</v>
      </c>
      <c r="AA166" s="2">
        <v>43857</v>
      </c>
      <c r="AB166" s="2">
        <v>43852</v>
      </c>
      <c r="AC166" s="1"/>
      <c r="AD166">
        <v>6</v>
      </c>
      <c r="AE166">
        <v>372</v>
      </c>
      <c r="AG1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7" spans="1:33" x14ac:dyDescent="0.35">
      <c r="A167">
        <v>167</v>
      </c>
      <c r="B167" s="1"/>
      <c r="C167">
        <v>0</v>
      </c>
      <c r="D167" s="1"/>
      <c r="E167" s="1" t="s">
        <v>682</v>
      </c>
      <c r="F167" s="1" t="s">
        <v>30</v>
      </c>
      <c r="G167" s="1" t="s">
        <v>683</v>
      </c>
      <c r="H167" s="1" t="s">
        <v>684</v>
      </c>
      <c r="I167" s="1"/>
      <c r="J167" s="1" t="s">
        <v>685</v>
      </c>
      <c r="K167" s="1"/>
      <c r="L167" s="1"/>
      <c r="M167" s="1" t="s">
        <v>34</v>
      </c>
      <c r="N167" s="1" t="s">
        <v>245</v>
      </c>
      <c r="O167" s="1" t="s">
        <v>147</v>
      </c>
      <c r="P167" s="1" t="s">
        <v>37</v>
      </c>
      <c r="Q167" s="1"/>
      <c r="R167" s="2">
        <v>43852</v>
      </c>
      <c r="S167" s="1"/>
      <c r="W167" s="1" t="s">
        <v>38</v>
      </c>
      <c r="X167" s="2">
        <v>43859</v>
      </c>
      <c r="Y167" s="2">
        <v>43860</v>
      </c>
      <c r="Z167" s="2">
        <v>43859</v>
      </c>
      <c r="AA167" s="2">
        <v>43857</v>
      </c>
      <c r="AB167" s="2">
        <v>43852</v>
      </c>
      <c r="AC167" s="1"/>
      <c r="AD167">
        <v>7</v>
      </c>
      <c r="AE167">
        <v>372</v>
      </c>
      <c r="AG1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68" spans="1:33" x14ac:dyDescent="0.35">
      <c r="A168">
        <v>168</v>
      </c>
      <c r="B168" s="1"/>
      <c r="C168">
        <v>0</v>
      </c>
      <c r="D168" s="1"/>
      <c r="E168" s="1"/>
      <c r="F168" s="1" t="s">
        <v>30</v>
      </c>
      <c r="G168" s="1" t="s">
        <v>686</v>
      </c>
      <c r="H168" s="1" t="s">
        <v>687</v>
      </c>
      <c r="I168" s="1"/>
      <c r="J168" s="1" t="s">
        <v>688</v>
      </c>
      <c r="K168" s="1"/>
      <c r="L168" s="1"/>
      <c r="M168" s="1" t="s">
        <v>197</v>
      </c>
      <c r="N168" s="1" t="s">
        <v>192</v>
      </c>
      <c r="O168" s="1" t="s">
        <v>193</v>
      </c>
      <c r="P168" s="1" t="s">
        <v>37</v>
      </c>
      <c r="Q168" s="1"/>
      <c r="R168" s="2">
        <v>43852</v>
      </c>
      <c r="S168" s="1"/>
      <c r="W168" s="1" t="s">
        <v>38</v>
      </c>
      <c r="X168" s="2">
        <v>43853</v>
      </c>
      <c r="Y168" s="2">
        <v>43859</v>
      </c>
      <c r="Z168" s="2">
        <v>43858</v>
      </c>
      <c r="AA168" s="2">
        <v>43853</v>
      </c>
      <c r="AB168" s="2">
        <v>43852</v>
      </c>
      <c r="AC168" s="1"/>
      <c r="AD168">
        <v>6</v>
      </c>
      <c r="AE168">
        <v>372</v>
      </c>
      <c r="AG1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9" spans="1:33" x14ac:dyDescent="0.35">
      <c r="A169">
        <v>169</v>
      </c>
      <c r="B169" s="1"/>
      <c r="C169">
        <v>0</v>
      </c>
      <c r="D169" s="1"/>
      <c r="E169" s="1" t="s">
        <v>689</v>
      </c>
      <c r="F169" s="1" t="s">
        <v>30</v>
      </c>
      <c r="G169" s="1" t="s">
        <v>690</v>
      </c>
      <c r="H169" s="1" t="s">
        <v>691</v>
      </c>
      <c r="I169" s="1"/>
      <c r="J169" s="1" t="s">
        <v>692</v>
      </c>
      <c r="K169" s="1"/>
      <c r="L169" s="1"/>
      <c r="M169" s="1" t="s">
        <v>197</v>
      </c>
      <c r="N169" s="1" t="s">
        <v>61</v>
      </c>
      <c r="O169" s="1" t="s">
        <v>62</v>
      </c>
      <c r="P169" s="1" t="s">
        <v>37</v>
      </c>
      <c r="Q169" s="1"/>
      <c r="R169" s="2">
        <v>43853</v>
      </c>
      <c r="S169" s="1"/>
      <c r="W169" s="1" t="s">
        <v>38</v>
      </c>
      <c r="X169" s="2">
        <v>43855</v>
      </c>
      <c r="Y169" s="2">
        <v>43860</v>
      </c>
      <c r="Z169" s="2">
        <v>43859</v>
      </c>
      <c r="AA169" s="2">
        <v>43854</v>
      </c>
      <c r="AB169" s="2">
        <v>43853</v>
      </c>
      <c r="AC169" s="1"/>
      <c r="AD169">
        <v>6</v>
      </c>
      <c r="AE169">
        <v>371</v>
      </c>
      <c r="AG1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70" spans="1:33" x14ac:dyDescent="0.35">
      <c r="A170">
        <v>170</v>
      </c>
      <c r="B170" s="1"/>
      <c r="C170">
        <v>0</v>
      </c>
      <c r="D170" s="1"/>
      <c r="E170" s="1" t="s">
        <v>693</v>
      </c>
      <c r="F170" s="1" t="s">
        <v>30</v>
      </c>
      <c r="G170" s="1" t="s">
        <v>694</v>
      </c>
      <c r="H170" s="1" t="s">
        <v>695</v>
      </c>
      <c r="I170" s="1"/>
      <c r="J170" s="1" t="s">
        <v>852</v>
      </c>
      <c r="K170" s="1"/>
      <c r="L170" s="1"/>
      <c r="M170" s="1" t="s">
        <v>34</v>
      </c>
      <c r="N170" s="1" t="s">
        <v>853</v>
      </c>
      <c r="O170" s="1" t="s">
        <v>854</v>
      </c>
      <c r="P170" s="1" t="s">
        <v>37</v>
      </c>
      <c r="Q170" s="1"/>
      <c r="R170" s="2">
        <v>43853</v>
      </c>
      <c r="S170" s="1"/>
      <c r="W170" s="1" t="s">
        <v>38</v>
      </c>
      <c r="X170" s="2">
        <v>43859</v>
      </c>
      <c r="Y170" s="2">
        <v>43879</v>
      </c>
      <c r="Z170" s="2">
        <v>43871</v>
      </c>
      <c r="AA170" s="2"/>
      <c r="AB170" s="2">
        <v>43853</v>
      </c>
      <c r="AC170" s="1"/>
      <c r="AD170">
        <v>18</v>
      </c>
      <c r="AE170">
        <v>371</v>
      </c>
      <c r="AG1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171" spans="1:33" x14ac:dyDescent="0.35">
      <c r="A171">
        <v>171</v>
      </c>
      <c r="B171" s="1"/>
      <c r="C171">
        <v>0</v>
      </c>
      <c r="D171" s="1"/>
      <c r="E171" s="1"/>
      <c r="F171" s="1" t="s">
        <v>30</v>
      </c>
      <c r="G171" s="1" t="s">
        <v>696</v>
      </c>
      <c r="H171" s="1" t="s">
        <v>697</v>
      </c>
      <c r="I171" s="1"/>
      <c r="J171" s="1" t="s">
        <v>698</v>
      </c>
      <c r="K171" s="1"/>
      <c r="L171" s="1"/>
      <c r="M171" s="1" t="s">
        <v>34</v>
      </c>
      <c r="N171" s="1" t="s">
        <v>43</v>
      </c>
      <c r="O171" s="1" t="s">
        <v>44</v>
      </c>
      <c r="P171" s="1" t="s">
        <v>37</v>
      </c>
      <c r="Q171" s="1"/>
      <c r="R171" s="2">
        <v>43853</v>
      </c>
      <c r="S171" s="1"/>
      <c r="W171" s="1" t="s">
        <v>38</v>
      </c>
      <c r="X171" s="2">
        <v>43859</v>
      </c>
      <c r="Y171" s="2">
        <v>43860</v>
      </c>
      <c r="Z171" s="2">
        <v>43859</v>
      </c>
      <c r="AA171" s="2"/>
      <c r="AB171" s="2">
        <v>43853</v>
      </c>
      <c r="AC171" s="1"/>
      <c r="AD171">
        <v>6</v>
      </c>
      <c r="AE171">
        <v>371</v>
      </c>
      <c r="AG1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72" spans="1:33" x14ac:dyDescent="0.35">
      <c r="A172">
        <v>172</v>
      </c>
      <c r="B172" s="1"/>
      <c r="C172">
        <v>0</v>
      </c>
      <c r="D172" s="1"/>
      <c r="E172" s="1" t="s">
        <v>699</v>
      </c>
      <c r="F172" s="1" t="s">
        <v>30</v>
      </c>
      <c r="G172" s="1" t="s">
        <v>700</v>
      </c>
      <c r="H172" s="1" t="s">
        <v>701</v>
      </c>
      <c r="I172" s="1"/>
      <c r="J172" s="1" t="s">
        <v>855</v>
      </c>
      <c r="K172" s="1"/>
      <c r="L172" s="1"/>
      <c r="M172" s="1" t="s">
        <v>34</v>
      </c>
      <c r="N172" s="1" t="s">
        <v>341</v>
      </c>
      <c r="O172" s="1" t="s">
        <v>62</v>
      </c>
      <c r="P172" s="1" t="s">
        <v>37</v>
      </c>
      <c r="Q172" s="1"/>
      <c r="R172" s="2">
        <v>43853</v>
      </c>
      <c r="S172" s="1"/>
      <c r="W172" s="1" t="s">
        <v>38</v>
      </c>
      <c r="X172" s="2">
        <v>43860</v>
      </c>
      <c r="Y172" s="2">
        <v>43871</v>
      </c>
      <c r="Z172" s="2">
        <v>43864</v>
      </c>
      <c r="AA172" s="2">
        <v>43860</v>
      </c>
      <c r="AB172" s="2">
        <v>43853</v>
      </c>
      <c r="AC172" s="1"/>
      <c r="AD172">
        <v>11</v>
      </c>
      <c r="AE172">
        <v>371</v>
      </c>
      <c r="AG1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173" spans="1:33" x14ac:dyDescent="0.35">
      <c r="A173">
        <v>173</v>
      </c>
      <c r="B173" s="1"/>
      <c r="C173">
        <v>0</v>
      </c>
      <c r="D173" s="1"/>
      <c r="E173" s="1" t="s">
        <v>702</v>
      </c>
      <c r="F173" s="1" t="s">
        <v>30</v>
      </c>
      <c r="G173" s="1" t="s">
        <v>703</v>
      </c>
      <c r="H173" s="1" t="s">
        <v>704</v>
      </c>
      <c r="I173" s="1"/>
      <c r="J173" s="1" t="s">
        <v>856</v>
      </c>
      <c r="K173" s="1"/>
      <c r="L173" s="1"/>
      <c r="M173" s="1" t="s">
        <v>197</v>
      </c>
      <c r="N173" s="1" t="s">
        <v>341</v>
      </c>
      <c r="O173" s="1" t="s">
        <v>62</v>
      </c>
      <c r="P173" s="1" t="s">
        <v>37</v>
      </c>
      <c r="Q173" s="1"/>
      <c r="R173" s="2">
        <v>43853</v>
      </c>
      <c r="S173" s="1"/>
      <c r="W173" s="1" t="s">
        <v>38</v>
      </c>
      <c r="X173" s="2">
        <v>43858</v>
      </c>
      <c r="Y173" s="2">
        <v>43889</v>
      </c>
      <c r="Z173" s="2">
        <v>43888</v>
      </c>
      <c r="AA173" s="2">
        <v>43886</v>
      </c>
      <c r="AB173" s="2">
        <v>43853</v>
      </c>
      <c r="AC173" s="1"/>
      <c r="AD173">
        <v>35</v>
      </c>
      <c r="AE173">
        <v>371</v>
      </c>
      <c r="AG1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174" spans="1:33" x14ac:dyDescent="0.35">
      <c r="A174">
        <v>174</v>
      </c>
      <c r="B174" s="1"/>
      <c r="C174">
        <v>0</v>
      </c>
      <c r="D174" s="1"/>
      <c r="E174" s="1" t="s">
        <v>705</v>
      </c>
      <c r="F174" s="1" t="s">
        <v>30</v>
      </c>
      <c r="G174" s="1" t="s">
        <v>706</v>
      </c>
      <c r="H174" s="1" t="s">
        <v>707</v>
      </c>
      <c r="I174" s="1"/>
      <c r="J174" s="1" t="s">
        <v>857</v>
      </c>
      <c r="K174" s="1"/>
      <c r="L174" s="1"/>
      <c r="M174" s="1" t="s">
        <v>197</v>
      </c>
      <c r="N174" s="1" t="s">
        <v>341</v>
      </c>
      <c r="O174" s="1" t="s">
        <v>62</v>
      </c>
      <c r="P174" s="1" t="s">
        <v>37</v>
      </c>
      <c r="Q174" s="1"/>
      <c r="R174" s="2">
        <v>43853</v>
      </c>
      <c r="S174" s="1"/>
      <c r="W174" s="1" t="s">
        <v>38</v>
      </c>
      <c r="X174" s="2">
        <v>43858</v>
      </c>
      <c r="Y174" s="2">
        <v>43871</v>
      </c>
      <c r="Z174" s="2">
        <v>43866</v>
      </c>
      <c r="AA174" s="2">
        <v>43858</v>
      </c>
      <c r="AB174" s="2">
        <v>43853</v>
      </c>
      <c r="AC174" s="1"/>
      <c r="AD174">
        <v>13</v>
      </c>
      <c r="AE174">
        <v>371</v>
      </c>
      <c r="AG1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75" spans="1:33" x14ac:dyDescent="0.35">
      <c r="A175">
        <v>175</v>
      </c>
      <c r="B175" s="1"/>
      <c r="C175">
        <v>0</v>
      </c>
      <c r="D175" s="1"/>
      <c r="E175" s="1" t="s">
        <v>708</v>
      </c>
      <c r="F175" s="1" t="s">
        <v>30</v>
      </c>
      <c r="G175" s="1" t="s">
        <v>709</v>
      </c>
      <c r="H175" s="1" t="s">
        <v>710</v>
      </c>
      <c r="I175" s="1"/>
      <c r="J175" s="1" t="s">
        <v>858</v>
      </c>
      <c r="K175" s="1"/>
      <c r="L175" s="1"/>
      <c r="M175" s="1" t="s">
        <v>34</v>
      </c>
      <c r="N175" s="1" t="s">
        <v>341</v>
      </c>
      <c r="O175" s="1" t="s">
        <v>62</v>
      </c>
      <c r="P175" s="1" t="s">
        <v>37</v>
      </c>
      <c r="Q175" s="1"/>
      <c r="R175" s="2">
        <v>43853</v>
      </c>
      <c r="S175" s="1"/>
      <c r="W175" s="1" t="s">
        <v>38</v>
      </c>
      <c r="X175" s="2">
        <v>43860</v>
      </c>
      <c r="Y175" s="2">
        <v>43880</v>
      </c>
      <c r="Z175" s="2">
        <v>43879</v>
      </c>
      <c r="AA175" s="2"/>
      <c r="AB175" s="2">
        <v>43853</v>
      </c>
      <c r="AC175" s="1"/>
      <c r="AD175">
        <v>26</v>
      </c>
      <c r="AE175">
        <v>371</v>
      </c>
      <c r="AG1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176" spans="1:33" x14ac:dyDescent="0.35">
      <c r="A176">
        <v>176</v>
      </c>
      <c r="B176" s="1"/>
      <c r="C176">
        <v>0</v>
      </c>
      <c r="D176" s="1"/>
      <c r="E176" s="1" t="s">
        <v>711</v>
      </c>
      <c r="F176" s="1" t="s">
        <v>30</v>
      </c>
      <c r="G176" s="1" t="s">
        <v>712</v>
      </c>
      <c r="H176" s="1" t="s">
        <v>713</v>
      </c>
      <c r="I176" s="1"/>
      <c r="J176" s="1" t="s">
        <v>282</v>
      </c>
      <c r="K176" s="1"/>
      <c r="L176" s="1"/>
      <c r="M176" s="1" t="s">
        <v>197</v>
      </c>
      <c r="N176" s="1" t="s">
        <v>341</v>
      </c>
      <c r="O176" s="1" t="s">
        <v>62</v>
      </c>
      <c r="P176" s="1" t="s">
        <v>37</v>
      </c>
      <c r="Q176" s="1"/>
      <c r="R176" s="2">
        <v>43853</v>
      </c>
      <c r="S176" s="1"/>
      <c r="W176" s="1" t="s">
        <v>38</v>
      </c>
      <c r="X176" s="2">
        <v>43857</v>
      </c>
      <c r="Y176" s="2">
        <v>43859</v>
      </c>
      <c r="Z176" s="2">
        <v>43857</v>
      </c>
      <c r="AA176" s="2">
        <v>43857</v>
      </c>
      <c r="AB176" s="2">
        <v>43853</v>
      </c>
      <c r="AC176" s="1"/>
      <c r="AD176">
        <v>4</v>
      </c>
      <c r="AE176">
        <v>371</v>
      </c>
      <c r="AG1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77" spans="1:33" x14ac:dyDescent="0.35">
      <c r="A177">
        <v>177</v>
      </c>
      <c r="B177" s="1"/>
      <c r="C177">
        <v>0</v>
      </c>
      <c r="D177" s="1"/>
      <c r="E177" s="1" t="s">
        <v>714</v>
      </c>
      <c r="F177" s="1" t="s">
        <v>30</v>
      </c>
      <c r="G177" s="1" t="s">
        <v>715</v>
      </c>
      <c r="H177" s="1" t="s">
        <v>716</v>
      </c>
      <c r="I177" s="1"/>
      <c r="J177" s="1" t="s">
        <v>859</v>
      </c>
      <c r="K177" s="1"/>
      <c r="L177" s="1"/>
      <c r="M177" s="1" t="s">
        <v>34</v>
      </c>
      <c r="N177" s="1" t="s">
        <v>341</v>
      </c>
      <c r="O177" s="1" t="s">
        <v>62</v>
      </c>
      <c r="P177" s="1" t="s">
        <v>37</v>
      </c>
      <c r="Q177" s="1"/>
      <c r="R177" s="2">
        <v>43853</v>
      </c>
      <c r="S177" s="1"/>
      <c r="W177" s="1" t="s">
        <v>38</v>
      </c>
      <c r="X177" s="2">
        <v>43860</v>
      </c>
      <c r="Y177" s="2">
        <v>43878</v>
      </c>
      <c r="Z177" s="2">
        <v>43866</v>
      </c>
      <c r="AA177" s="2">
        <v>43865</v>
      </c>
      <c r="AB177" s="2">
        <v>43853</v>
      </c>
      <c r="AC177" s="1"/>
      <c r="AD177">
        <v>13</v>
      </c>
      <c r="AE177">
        <v>371</v>
      </c>
      <c r="AG1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78" spans="1:33" x14ac:dyDescent="0.35">
      <c r="A178">
        <v>178</v>
      </c>
      <c r="B178" s="1"/>
      <c r="C178">
        <v>0</v>
      </c>
      <c r="D178" s="1"/>
      <c r="E178" s="1" t="s">
        <v>717</v>
      </c>
      <c r="F178" s="1" t="s">
        <v>30</v>
      </c>
      <c r="G178" s="1" t="s">
        <v>718</v>
      </c>
      <c r="H178" s="1" t="s">
        <v>719</v>
      </c>
      <c r="I178" s="1"/>
      <c r="J178" s="1" t="s">
        <v>860</v>
      </c>
      <c r="K178" s="1"/>
      <c r="L178" s="1"/>
      <c r="M178" s="1" t="s">
        <v>197</v>
      </c>
      <c r="N178" s="1" t="s">
        <v>341</v>
      </c>
      <c r="O178" s="1" t="s">
        <v>62</v>
      </c>
      <c r="P178" s="1" t="s">
        <v>37</v>
      </c>
      <c r="Q178" s="1"/>
      <c r="R178" s="2">
        <v>43853</v>
      </c>
      <c r="S178" s="1"/>
      <c r="W178" s="1" t="s">
        <v>38</v>
      </c>
      <c r="X178" s="2">
        <v>43858</v>
      </c>
      <c r="Y178" s="2">
        <v>43878</v>
      </c>
      <c r="Z178" s="2">
        <v>43875</v>
      </c>
      <c r="AA178" s="2"/>
      <c r="AB178" s="2">
        <v>43853</v>
      </c>
      <c r="AC178" s="1"/>
      <c r="AD178">
        <v>22</v>
      </c>
      <c r="AE178">
        <v>371</v>
      </c>
      <c r="AG1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179" spans="1:33" x14ac:dyDescent="0.35">
      <c r="A179">
        <v>179</v>
      </c>
      <c r="B179" s="1"/>
      <c r="C179">
        <v>0</v>
      </c>
      <c r="D179" s="1"/>
      <c r="E179" s="1" t="s">
        <v>720</v>
      </c>
      <c r="F179" s="1" t="s">
        <v>30</v>
      </c>
      <c r="G179" s="1" t="s">
        <v>721</v>
      </c>
      <c r="H179" s="1" t="s">
        <v>722</v>
      </c>
      <c r="I179" s="1"/>
      <c r="J179" s="1" t="s">
        <v>861</v>
      </c>
      <c r="K179" s="1"/>
      <c r="L179" s="1"/>
      <c r="M179" s="1" t="s">
        <v>197</v>
      </c>
      <c r="N179" s="1" t="s">
        <v>341</v>
      </c>
      <c r="O179" s="1" t="s">
        <v>62</v>
      </c>
      <c r="P179" s="1" t="s">
        <v>37</v>
      </c>
      <c r="Q179" s="1"/>
      <c r="R179" s="2">
        <v>43853</v>
      </c>
      <c r="S179" s="1"/>
      <c r="W179" s="1" t="s">
        <v>38</v>
      </c>
      <c r="X179" s="2">
        <v>43858</v>
      </c>
      <c r="Y179" s="2">
        <v>43871</v>
      </c>
      <c r="Z179" s="2">
        <v>43867</v>
      </c>
      <c r="AA179" s="2">
        <v>43858</v>
      </c>
      <c r="AB179" s="2">
        <v>43853</v>
      </c>
      <c r="AC179" s="1"/>
      <c r="AD179">
        <v>14</v>
      </c>
      <c r="AE179">
        <v>371</v>
      </c>
      <c r="AG1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180" spans="1:33" x14ac:dyDescent="0.35">
      <c r="A180">
        <v>180</v>
      </c>
      <c r="B180" s="1"/>
      <c r="C180">
        <v>0</v>
      </c>
      <c r="D180" s="1"/>
      <c r="E180" s="1" t="s">
        <v>723</v>
      </c>
      <c r="F180" s="1" t="s">
        <v>30</v>
      </c>
      <c r="G180" s="1" t="s">
        <v>724</v>
      </c>
      <c r="H180" s="1" t="s">
        <v>725</v>
      </c>
      <c r="I180" s="1"/>
      <c r="J180" s="1" t="s">
        <v>726</v>
      </c>
      <c r="K180" s="1"/>
      <c r="L180" s="1"/>
      <c r="M180" s="1" t="s">
        <v>197</v>
      </c>
      <c r="N180" s="1" t="s">
        <v>341</v>
      </c>
      <c r="O180" s="1" t="s">
        <v>62</v>
      </c>
      <c r="P180" s="1" t="s">
        <v>37</v>
      </c>
      <c r="Q180" s="1"/>
      <c r="R180" s="2">
        <v>43853</v>
      </c>
      <c r="S180" s="1"/>
      <c r="W180" s="1" t="s">
        <v>38</v>
      </c>
      <c r="X180" s="2">
        <v>43858</v>
      </c>
      <c r="Y180" s="2">
        <v>43860</v>
      </c>
      <c r="Z180" s="2">
        <v>43859</v>
      </c>
      <c r="AA180" s="2">
        <v>43859</v>
      </c>
      <c r="AB180" s="2">
        <v>43853</v>
      </c>
      <c r="AC180" s="1"/>
      <c r="AD180">
        <v>6</v>
      </c>
      <c r="AE180">
        <v>371</v>
      </c>
      <c r="AG1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81" spans="1:33" x14ac:dyDescent="0.35">
      <c r="A181">
        <v>181</v>
      </c>
      <c r="B181" s="1"/>
      <c r="C181">
        <v>0</v>
      </c>
      <c r="D181" s="1"/>
      <c r="E181" s="1" t="s">
        <v>727</v>
      </c>
      <c r="F181" s="1" t="s">
        <v>30</v>
      </c>
      <c r="G181" s="1" t="s">
        <v>728</v>
      </c>
      <c r="H181" s="1" t="s">
        <v>729</v>
      </c>
      <c r="I181" s="1"/>
      <c r="J181" s="1" t="s">
        <v>862</v>
      </c>
      <c r="K181" s="1"/>
      <c r="L181" s="1"/>
      <c r="M181" s="1" t="s">
        <v>197</v>
      </c>
      <c r="N181" s="1" t="s">
        <v>341</v>
      </c>
      <c r="O181" s="1" t="s">
        <v>62</v>
      </c>
      <c r="P181" s="1" t="s">
        <v>37</v>
      </c>
      <c r="Q181" s="1"/>
      <c r="R181" s="2">
        <v>43853</v>
      </c>
      <c r="S181" s="1"/>
      <c r="W181" s="1" t="s">
        <v>38</v>
      </c>
      <c r="X181" s="2">
        <v>43858</v>
      </c>
      <c r="Y181" s="2">
        <v>43895</v>
      </c>
      <c r="Z181" s="2">
        <v>43894</v>
      </c>
      <c r="AA181" s="2"/>
      <c r="AB181" s="2">
        <v>43853</v>
      </c>
      <c r="AC181" s="1"/>
      <c r="AD181">
        <v>41</v>
      </c>
      <c r="AE181">
        <v>371</v>
      </c>
      <c r="AG1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182" spans="1:33" x14ac:dyDescent="0.35">
      <c r="A182">
        <v>182</v>
      </c>
      <c r="B182" s="1"/>
      <c r="C182">
        <v>0</v>
      </c>
      <c r="D182" s="1"/>
      <c r="E182" s="1" t="s">
        <v>730</v>
      </c>
      <c r="F182" s="1" t="s">
        <v>30</v>
      </c>
      <c r="G182" s="1" t="s">
        <v>731</v>
      </c>
      <c r="H182" s="1" t="s">
        <v>732</v>
      </c>
      <c r="I182" s="1"/>
      <c r="J182" s="1" t="s">
        <v>863</v>
      </c>
      <c r="K182" s="1"/>
      <c r="L182" s="1"/>
      <c r="M182" s="1" t="s">
        <v>197</v>
      </c>
      <c r="N182" s="1" t="s">
        <v>341</v>
      </c>
      <c r="O182" s="1" t="s">
        <v>62</v>
      </c>
      <c r="P182" s="1" t="s">
        <v>37</v>
      </c>
      <c r="Q182" s="1"/>
      <c r="R182" s="2">
        <v>43853</v>
      </c>
      <c r="S182" s="1"/>
      <c r="W182" s="1" t="s">
        <v>38</v>
      </c>
      <c r="X182" s="2">
        <v>43858</v>
      </c>
      <c r="Y182" s="2">
        <v>43871</v>
      </c>
      <c r="Z182" s="2">
        <v>43867</v>
      </c>
      <c r="AA182" s="2">
        <v>43858</v>
      </c>
      <c r="AB182" s="2">
        <v>43853</v>
      </c>
      <c r="AC182" s="1"/>
      <c r="AD182">
        <v>14</v>
      </c>
      <c r="AE182">
        <v>371</v>
      </c>
      <c r="AG1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183" spans="1:33" x14ac:dyDescent="0.35">
      <c r="A183">
        <v>183</v>
      </c>
      <c r="B183" s="1"/>
      <c r="C183">
        <v>0</v>
      </c>
      <c r="D183" s="1"/>
      <c r="E183" s="1" t="s">
        <v>730</v>
      </c>
      <c r="F183" s="1" t="s">
        <v>30</v>
      </c>
      <c r="G183" s="1" t="s">
        <v>733</v>
      </c>
      <c r="H183" s="1" t="s">
        <v>734</v>
      </c>
      <c r="I183" s="1"/>
      <c r="J183" s="1" t="s">
        <v>864</v>
      </c>
      <c r="K183" s="1"/>
      <c r="L183" s="1"/>
      <c r="M183" s="1" t="s">
        <v>197</v>
      </c>
      <c r="N183" s="1" t="s">
        <v>341</v>
      </c>
      <c r="O183" s="1" t="s">
        <v>62</v>
      </c>
      <c r="P183" s="1" t="s">
        <v>37</v>
      </c>
      <c r="Q183" s="1"/>
      <c r="R183" s="2">
        <v>43853</v>
      </c>
      <c r="S183" s="1"/>
      <c r="W183" s="1" t="s">
        <v>38</v>
      </c>
      <c r="X183" s="2">
        <v>43858</v>
      </c>
      <c r="Y183" s="2">
        <v>43909</v>
      </c>
      <c r="Z183" s="2">
        <v>43908</v>
      </c>
      <c r="AA183" s="2"/>
      <c r="AB183" s="2">
        <v>43853</v>
      </c>
      <c r="AC183" s="1"/>
      <c r="AD183">
        <v>55</v>
      </c>
      <c r="AE183">
        <v>371</v>
      </c>
      <c r="AG1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55</v>
      </c>
    </row>
    <row r="184" spans="1:33" x14ac:dyDescent="0.35">
      <c r="A184">
        <v>184</v>
      </c>
      <c r="B184" s="1"/>
      <c r="C184">
        <v>0</v>
      </c>
      <c r="D184" s="1"/>
      <c r="E184" s="1" t="s">
        <v>735</v>
      </c>
      <c r="F184" s="1" t="s">
        <v>30</v>
      </c>
      <c r="G184" s="1" t="s">
        <v>736</v>
      </c>
      <c r="H184" s="1" t="s">
        <v>737</v>
      </c>
      <c r="I184" s="1"/>
      <c r="J184" s="1" t="s">
        <v>865</v>
      </c>
      <c r="K184" s="1"/>
      <c r="L184" s="1"/>
      <c r="M184" s="1" t="s">
        <v>197</v>
      </c>
      <c r="N184" s="1" t="s">
        <v>341</v>
      </c>
      <c r="O184" s="1" t="s">
        <v>62</v>
      </c>
      <c r="P184" s="1" t="s">
        <v>37</v>
      </c>
      <c r="Q184" s="1"/>
      <c r="R184" s="2">
        <v>43853</v>
      </c>
      <c r="S184" s="1"/>
      <c r="W184" s="1" t="s">
        <v>38</v>
      </c>
      <c r="X184" s="2">
        <v>43858</v>
      </c>
      <c r="Y184" s="2">
        <v>43895</v>
      </c>
      <c r="Z184" s="2">
        <v>43887</v>
      </c>
      <c r="AA184" s="2"/>
      <c r="AB184" s="2">
        <v>43853</v>
      </c>
      <c r="AC184" s="1"/>
      <c r="AD184">
        <v>34</v>
      </c>
      <c r="AE184">
        <v>371</v>
      </c>
      <c r="AG1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185" spans="1:33" x14ac:dyDescent="0.35">
      <c r="A185">
        <v>185</v>
      </c>
      <c r="B185" s="1"/>
      <c r="C185">
        <v>0</v>
      </c>
      <c r="D185" s="1"/>
      <c r="E185" s="1"/>
      <c r="F185" s="1" t="s">
        <v>30</v>
      </c>
      <c r="G185" s="1" t="s">
        <v>738</v>
      </c>
      <c r="H185" s="1" t="s">
        <v>739</v>
      </c>
      <c r="I185" s="1"/>
      <c r="J185" s="1" t="s">
        <v>740</v>
      </c>
      <c r="K185" s="1"/>
      <c r="L185" s="1"/>
      <c r="M185" s="1" t="s">
        <v>197</v>
      </c>
      <c r="N185" s="1" t="s">
        <v>341</v>
      </c>
      <c r="O185" s="1" t="s">
        <v>62</v>
      </c>
      <c r="P185" s="1" t="s">
        <v>37</v>
      </c>
      <c r="Q185" s="1"/>
      <c r="R185" s="2">
        <v>43853</v>
      </c>
      <c r="S185" s="1"/>
      <c r="W185" s="1" t="s">
        <v>38</v>
      </c>
      <c r="X185" s="2">
        <v>43858</v>
      </c>
      <c r="Y185" s="2">
        <v>43860</v>
      </c>
      <c r="Z185" s="2"/>
      <c r="AA185" s="2">
        <v>43858</v>
      </c>
      <c r="AB185" s="2">
        <v>43853</v>
      </c>
      <c r="AC185" s="1"/>
      <c r="AE185">
        <v>371</v>
      </c>
      <c r="AG1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86" spans="1:33" x14ac:dyDescent="0.35">
      <c r="A186">
        <v>186</v>
      </c>
      <c r="B186" s="1"/>
      <c r="C186">
        <v>0</v>
      </c>
      <c r="D186" s="1"/>
      <c r="E186" s="1" t="s">
        <v>741</v>
      </c>
      <c r="F186" s="1" t="s">
        <v>30</v>
      </c>
      <c r="G186" s="1" t="s">
        <v>742</v>
      </c>
      <c r="H186" s="1" t="s">
        <v>743</v>
      </c>
      <c r="I186" s="1"/>
      <c r="J186" s="1" t="s">
        <v>866</v>
      </c>
      <c r="K186" s="1"/>
      <c r="L186" s="1"/>
      <c r="M186" s="1" t="s">
        <v>197</v>
      </c>
      <c r="N186" s="1" t="s">
        <v>437</v>
      </c>
      <c r="O186" s="1" t="s">
        <v>44</v>
      </c>
      <c r="P186" s="1" t="s">
        <v>37</v>
      </c>
      <c r="Q186" s="1"/>
      <c r="R186" s="2">
        <v>43853</v>
      </c>
      <c r="S186" s="1"/>
      <c r="W186" s="1" t="s">
        <v>38</v>
      </c>
      <c r="X186" s="2">
        <v>43858</v>
      </c>
      <c r="Y186" s="2">
        <v>43879</v>
      </c>
      <c r="Z186" s="2">
        <v>43866</v>
      </c>
      <c r="AA186" s="2"/>
      <c r="AB186" s="2">
        <v>43853</v>
      </c>
      <c r="AC186" s="1"/>
      <c r="AD186">
        <v>13</v>
      </c>
      <c r="AE186">
        <v>371</v>
      </c>
      <c r="AG1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87" spans="1:33" x14ac:dyDescent="0.35">
      <c r="A187">
        <v>187</v>
      </c>
      <c r="B187" s="1"/>
      <c r="C187">
        <v>0</v>
      </c>
      <c r="D187" s="1"/>
      <c r="E187" s="1"/>
      <c r="F187" s="1" t="s">
        <v>30</v>
      </c>
      <c r="G187" s="1" t="s">
        <v>744</v>
      </c>
      <c r="H187" s="1" t="s">
        <v>745</v>
      </c>
      <c r="I187" s="1"/>
      <c r="J187" s="1" t="s">
        <v>746</v>
      </c>
      <c r="K187" s="1"/>
      <c r="L187" s="1"/>
      <c r="M187" s="1" t="s">
        <v>197</v>
      </c>
      <c r="N187" s="1" t="s">
        <v>437</v>
      </c>
      <c r="O187" s="1" t="s">
        <v>44</v>
      </c>
      <c r="P187" s="1" t="s">
        <v>278</v>
      </c>
      <c r="Q187" s="1"/>
      <c r="R187" s="2">
        <v>43854</v>
      </c>
      <c r="S187" s="1"/>
      <c r="W187" s="1" t="s">
        <v>38</v>
      </c>
      <c r="X187" s="2">
        <v>43858</v>
      </c>
      <c r="Y187" s="2">
        <v>43860</v>
      </c>
      <c r="Z187" s="2">
        <v>43858</v>
      </c>
      <c r="AA187" s="2">
        <v>43857</v>
      </c>
      <c r="AB187" s="2">
        <v>43854</v>
      </c>
      <c r="AC187" s="1"/>
      <c r="AD187">
        <v>4</v>
      </c>
      <c r="AE187">
        <v>370</v>
      </c>
      <c r="AG1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88" spans="1:33" x14ac:dyDescent="0.35">
      <c r="A188">
        <v>188</v>
      </c>
      <c r="B188" s="1"/>
      <c r="C188">
        <v>0</v>
      </c>
      <c r="D188" s="1"/>
      <c r="E188" s="1"/>
      <c r="F188" s="1" t="s">
        <v>30</v>
      </c>
      <c r="G188" s="1" t="s">
        <v>747</v>
      </c>
      <c r="H188" s="1" t="s">
        <v>748</v>
      </c>
      <c r="I188" s="1"/>
      <c r="J188" s="1" t="s">
        <v>749</v>
      </c>
      <c r="K188" s="1"/>
      <c r="L188" s="1"/>
      <c r="M188" s="1" t="s">
        <v>34</v>
      </c>
      <c r="N188" s="1" t="s">
        <v>79</v>
      </c>
      <c r="O188" s="1" t="s">
        <v>80</v>
      </c>
      <c r="P188" s="1" t="s">
        <v>37</v>
      </c>
      <c r="Q188" s="1"/>
      <c r="R188" s="2">
        <v>43854</v>
      </c>
      <c r="S188" s="1"/>
      <c r="W188" s="1" t="s">
        <v>38</v>
      </c>
      <c r="X188" s="2">
        <v>43861</v>
      </c>
      <c r="Y188" s="2">
        <v>43860</v>
      </c>
      <c r="Z188" s="2"/>
      <c r="AA188" s="2">
        <v>43858</v>
      </c>
      <c r="AB188" s="2">
        <v>43854</v>
      </c>
      <c r="AC188" s="1"/>
      <c r="AE188">
        <v>370</v>
      </c>
      <c r="AG1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89" spans="1:33" x14ac:dyDescent="0.35">
      <c r="A189">
        <v>189</v>
      </c>
      <c r="B189" s="1"/>
      <c r="C189">
        <v>0</v>
      </c>
      <c r="D189" s="1"/>
      <c r="E189" s="1" t="s">
        <v>750</v>
      </c>
      <c r="F189" s="1" t="s">
        <v>30</v>
      </c>
      <c r="G189" s="1" t="s">
        <v>751</v>
      </c>
      <c r="H189" s="1" t="s">
        <v>752</v>
      </c>
      <c r="I189" s="1"/>
      <c r="J189" s="1" t="s">
        <v>867</v>
      </c>
      <c r="K189" s="1"/>
      <c r="L189" s="1"/>
      <c r="M189" s="1" t="s">
        <v>34</v>
      </c>
      <c r="N189" s="1" t="s">
        <v>483</v>
      </c>
      <c r="O189" s="1" t="s">
        <v>484</v>
      </c>
      <c r="P189" s="1" t="s">
        <v>37</v>
      </c>
      <c r="Q189" s="1"/>
      <c r="R189" s="2">
        <v>43855</v>
      </c>
      <c r="S189" s="1"/>
      <c r="W189" s="1" t="s">
        <v>38</v>
      </c>
      <c r="X189" s="2">
        <v>43864</v>
      </c>
      <c r="Y189" s="2">
        <v>43895</v>
      </c>
      <c r="Z189" s="2">
        <v>43894</v>
      </c>
      <c r="AA189" s="2">
        <v>43857</v>
      </c>
      <c r="AB189" s="2">
        <v>43855</v>
      </c>
      <c r="AC189" s="1"/>
      <c r="AD189">
        <v>39</v>
      </c>
      <c r="AE189">
        <v>369</v>
      </c>
      <c r="AG1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190" spans="1:33" x14ac:dyDescent="0.35">
      <c r="A190">
        <v>190</v>
      </c>
      <c r="B190" s="1"/>
      <c r="C190">
        <v>0</v>
      </c>
      <c r="D190" s="1"/>
      <c r="E190" s="1"/>
      <c r="F190" s="1" t="s">
        <v>30</v>
      </c>
      <c r="G190" s="1" t="s">
        <v>753</v>
      </c>
      <c r="H190" s="1" t="s">
        <v>754</v>
      </c>
      <c r="I190" s="1"/>
      <c r="J190" s="1" t="s">
        <v>868</v>
      </c>
      <c r="K190" s="1"/>
      <c r="L190" s="1"/>
      <c r="M190" s="1" t="s">
        <v>197</v>
      </c>
      <c r="N190" s="1" t="s">
        <v>43</v>
      </c>
      <c r="O190" s="1" t="s">
        <v>44</v>
      </c>
      <c r="P190" s="1" t="s">
        <v>37</v>
      </c>
      <c r="Q190" s="1"/>
      <c r="R190" s="2">
        <v>43857</v>
      </c>
      <c r="S190" s="1"/>
      <c r="V190">
        <v>25000</v>
      </c>
      <c r="W190" s="1" t="s">
        <v>38</v>
      </c>
      <c r="X190" s="2">
        <v>43857</v>
      </c>
      <c r="Y190" s="2">
        <v>43866</v>
      </c>
      <c r="Z190" s="2">
        <v>43864</v>
      </c>
      <c r="AA190" s="2"/>
      <c r="AB190" s="2">
        <v>43857</v>
      </c>
      <c r="AC190" s="1"/>
      <c r="AD190">
        <v>7</v>
      </c>
      <c r="AE190">
        <v>367</v>
      </c>
      <c r="AG1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91" spans="1:33" x14ac:dyDescent="0.35">
      <c r="A191">
        <v>191</v>
      </c>
      <c r="B191" s="1"/>
      <c r="C191">
        <v>0</v>
      </c>
      <c r="D191" s="1"/>
      <c r="E191" s="1"/>
      <c r="F191" s="1" t="s">
        <v>30</v>
      </c>
      <c r="G191" s="1" t="s">
        <v>755</v>
      </c>
      <c r="H191" s="1" t="s">
        <v>756</v>
      </c>
      <c r="I191" s="1" t="s">
        <v>757</v>
      </c>
      <c r="J191" s="1" t="s">
        <v>869</v>
      </c>
      <c r="K191" s="1"/>
      <c r="L191" s="1"/>
      <c r="M191" s="1" t="s">
        <v>34</v>
      </c>
      <c r="N191" s="1" t="s">
        <v>437</v>
      </c>
      <c r="O191" s="1" t="s">
        <v>44</v>
      </c>
      <c r="P191" s="1" t="s">
        <v>37</v>
      </c>
      <c r="Q191" s="1"/>
      <c r="R191" s="2">
        <v>43874</v>
      </c>
      <c r="S191" s="1"/>
      <c r="W191" s="1" t="s">
        <v>38</v>
      </c>
      <c r="X191" s="2">
        <v>43865</v>
      </c>
      <c r="Y191" s="2">
        <v>43881</v>
      </c>
      <c r="Z191" s="2">
        <v>43879</v>
      </c>
      <c r="AA191" s="2">
        <v>43874</v>
      </c>
      <c r="AB191" s="2">
        <v>43858</v>
      </c>
      <c r="AC191" s="1"/>
      <c r="AD191">
        <v>21</v>
      </c>
      <c r="AE191">
        <v>366</v>
      </c>
      <c r="AG1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92" spans="1:33" x14ac:dyDescent="0.35">
      <c r="A192">
        <v>192</v>
      </c>
      <c r="B192" s="1"/>
      <c r="C192">
        <v>0</v>
      </c>
      <c r="D192" s="1"/>
      <c r="E192" s="1"/>
      <c r="F192" s="1" t="s">
        <v>30</v>
      </c>
      <c r="G192" s="1" t="s">
        <v>758</v>
      </c>
      <c r="H192" s="1" t="s">
        <v>759</v>
      </c>
      <c r="I192" s="1" t="s">
        <v>760</v>
      </c>
      <c r="J192" s="1" t="s">
        <v>870</v>
      </c>
      <c r="K192" s="1"/>
      <c r="L192" s="1"/>
      <c r="M192" s="1" t="s">
        <v>197</v>
      </c>
      <c r="N192" s="1" t="s">
        <v>129</v>
      </c>
      <c r="O192" s="1" t="s">
        <v>44</v>
      </c>
      <c r="P192" s="1" t="s">
        <v>37</v>
      </c>
      <c r="Q192" s="1"/>
      <c r="R192" s="2">
        <v>43858</v>
      </c>
      <c r="S192" s="1"/>
      <c r="V192">
        <v>4890</v>
      </c>
      <c r="W192" s="1" t="s">
        <v>38</v>
      </c>
      <c r="X192" s="2">
        <v>43861</v>
      </c>
      <c r="Y192" s="2">
        <v>43873</v>
      </c>
      <c r="Z192" s="2">
        <v>43867</v>
      </c>
      <c r="AA192" s="2"/>
      <c r="AB192" s="2">
        <v>43858</v>
      </c>
      <c r="AC192" s="1"/>
      <c r="AD192">
        <v>9</v>
      </c>
      <c r="AE192">
        <v>366</v>
      </c>
      <c r="AG1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93" spans="1:33" x14ac:dyDescent="0.35">
      <c r="A193">
        <v>193</v>
      </c>
      <c r="B193" s="1"/>
      <c r="C193">
        <v>0</v>
      </c>
      <c r="D193" s="1"/>
      <c r="E193" s="1"/>
      <c r="F193" s="1" t="s">
        <v>30</v>
      </c>
      <c r="G193" s="1" t="s">
        <v>761</v>
      </c>
      <c r="H193" s="1" t="s">
        <v>762</v>
      </c>
      <c r="I193" s="1"/>
      <c r="J193" s="1" t="s">
        <v>871</v>
      </c>
      <c r="K193" s="1"/>
      <c r="L193" s="1"/>
      <c r="M193" s="1" t="s">
        <v>197</v>
      </c>
      <c r="N193" s="1" t="s">
        <v>129</v>
      </c>
      <c r="O193" s="1" t="s">
        <v>44</v>
      </c>
      <c r="P193" s="1" t="s">
        <v>37</v>
      </c>
      <c r="Q193" s="1"/>
      <c r="R193" s="2">
        <v>43858</v>
      </c>
      <c r="S193" s="1"/>
      <c r="W193" s="1" t="s">
        <v>38</v>
      </c>
      <c r="X193" s="2">
        <v>43861</v>
      </c>
      <c r="Y193" s="2">
        <v>43873</v>
      </c>
      <c r="Z193" s="2">
        <v>43871</v>
      </c>
      <c r="AA193" s="2"/>
      <c r="AB193" s="2">
        <v>43858</v>
      </c>
      <c r="AC193" s="1"/>
      <c r="AD193">
        <v>13</v>
      </c>
      <c r="AE193">
        <v>366</v>
      </c>
      <c r="AG1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4" spans="1:33" x14ac:dyDescent="0.35">
      <c r="A194">
        <v>194</v>
      </c>
      <c r="B194" s="1"/>
      <c r="C194">
        <v>0</v>
      </c>
      <c r="D194" s="1"/>
      <c r="E194" s="1" t="s">
        <v>763</v>
      </c>
      <c r="F194" s="1" t="s">
        <v>30</v>
      </c>
      <c r="G194" s="1" t="s">
        <v>764</v>
      </c>
      <c r="H194" s="1" t="s">
        <v>765</v>
      </c>
      <c r="I194" s="1" t="s">
        <v>766</v>
      </c>
      <c r="J194" s="1" t="s">
        <v>2450</v>
      </c>
      <c r="K194" s="1"/>
      <c r="L194" s="1"/>
      <c r="M194" s="1" t="s">
        <v>34</v>
      </c>
      <c r="N194" s="1" t="s">
        <v>483</v>
      </c>
      <c r="O194" s="1" t="s">
        <v>484</v>
      </c>
      <c r="P194" s="1" t="s">
        <v>37</v>
      </c>
      <c r="Q194" s="1"/>
      <c r="R194" s="2">
        <v>43858</v>
      </c>
      <c r="S194" s="1"/>
      <c r="W194" s="1" t="s">
        <v>38</v>
      </c>
      <c r="X194" s="2">
        <v>43865</v>
      </c>
      <c r="Y194" s="2">
        <v>43874</v>
      </c>
      <c r="Z194" s="2">
        <v>43874</v>
      </c>
      <c r="AA194" s="2">
        <v>43858</v>
      </c>
      <c r="AB194" s="2">
        <v>43858</v>
      </c>
      <c r="AC194" s="1"/>
      <c r="AD194">
        <v>16</v>
      </c>
      <c r="AE194">
        <v>366</v>
      </c>
      <c r="AG1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195" spans="1:33" x14ac:dyDescent="0.35">
      <c r="A195">
        <v>195</v>
      </c>
      <c r="B195" s="1"/>
      <c r="C195">
        <v>0</v>
      </c>
      <c r="D195" s="1"/>
      <c r="E195" s="1"/>
      <c r="F195" s="1" t="s">
        <v>30</v>
      </c>
      <c r="G195" s="1" t="s">
        <v>767</v>
      </c>
      <c r="H195" s="1" t="s">
        <v>768</v>
      </c>
      <c r="I195" s="1"/>
      <c r="J195" s="1" t="s">
        <v>872</v>
      </c>
      <c r="K195" s="1"/>
      <c r="L195" s="1"/>
      <c r="M195" s="1" t="s">
        <v>34</v>
      </c>
      <c r="N195" s="1" t="s">
        <v>314</v>
      </c>
      <c r="O195" s="1" t="s">
        <v>315</v>
      </c>
      <c r="P195" s="1" t="s">
        <v>37</v>
      </c>
      <c r="Q195" s="1"/>
      <c r="R195" s="2">
        <v>43858</v>
      </c>
      <c r="S195" s="1"/>
      <c r="V195">
        <v>15000</v>
      </c>
      <c r="W195" s="1" t="s">
        <v>38</v>
      </c>
      <c r="X195" s="2">
        <v>43865</v>
      </c>
      <c r="Y195" s="2">
        <v>43874</v>
      </c>
      <c r="Z195" s="2">
        <v>43871</v>
      </c>
      <c r="AA195" s="2"/>
      <c r="AB195" s="2">
        <v>43858</v>
      </c>
      <c r="AC195" s="1"/>
      <c r="AD195">
        <v>13</v>
      </c>
      <c r="AE195">
        <v>366</v>
      </c>
      <c r="AG1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6" spans="1:33" x14ac:dyDescent="0.35">
      <c r="A196">
        <v>196</v>
      </c>
      <c r="B196" s="1"/>
      <c r="C196">
        <v>0</v>
      </c>
      <c r="D196" s="1"/>
      <c r="E196" s="1"/>
      <c r="F196" s="1" t="s">
        <v>30</v>
      </c>
      <c r="G196" s="1" t="s">
        <v>769</v>
      </c>
      <c r="H196" s="1" t="s">
        <v>770</v>
      </c>
      <c r="I196" s="1"/>
      <c r="J196" s="1" t="s">
        <v>873</v>
      </c>
      <c r="K196" s="1"/>
      <c r="L196" s="1"/>
      <c r="M196" s="1" t="s">
        <v>34</v>
      </c>
      <c r="N196" s="1" t="s">
        <v>483</v>
      </c>
      <c r="O196" s="1" t="s">
        <v>484</v>
      </c>
      <c r="P196" s="1" t="s">
        <v>37</v>
      </c>
      <c r="Q196" s="1"/>
      <c r="R196" s="2">
        <v>43858</v>
      </c>
      <c r="S196" s="1"/>
      <c r="W196" s="1" t="s">
        <v>38</v>
      </c>
      <c r="X196" s="2">
        <v>43865</v>
      </c>
      <c r="Y196" s="2">
        <v>43916</v>
      </c>
      <c r="Z196" s="2">
        <v>43913</v>
      </c>
      <c r="AA196" s="2">
        <v>43858</v>
      </c>
      <c r="AB196" s="2">
        <v>43858</v>
      </c>
      <c r="AC196" s="1"/>
      <c r="AD196">
        <v>55</v>
      </c>
      <c r="AE196">
        <v>366</v>
      </c>
      <c r="AG1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55</v>
      </c>
    </row>
    <row r="197" spans="1:33" x14ac:dyDescent="0.35">
      <c r="A197">
        <v>197</v>
      </c>
      <c r="B197" s="1"/>
      <c r="C197">
        <v>0</v>
      </c>
      <c r="D197" s="1"/>
      <c r="E197" s="1"/>
      <c r="F197" s="1" t="s">
        <v>30</v>
      </c>
      <c r="G197" s="1" t="s">
        <v>771</v>
      </c>
      <c r="H197" s="1" t="s">
        <v>772</v>
      </c>
      <c r="I197" s="1"/>
      <c r="J197" s="1" t="s">
        <v>874</v>
      </c>
      <c r="K197" s="1"/>
      <c r="L197" s="1"/>
      <c r="M197" s="1" t="s">
        <v>34</v>
      </c>
      <c r="N197" s="1" t="s">
        <v>341</v>
      </c>
      <c r="O197" s="1" t="s">
        <v>62</v>
      </c>
      <c r="P197" s="1" t="s">
        <v>37</v>
      </c>
      <c r="Q197" s="1"/>
      <c r="R197" s="2">
        <v>43858</v>
      </c>
      <c r="S197" s="1"/>
      <c r="W197" s="1" t="s">
        <v>38</v>
      </c>
      <c r="X197" s="2">
        <v>43865</v>
      </c>
      <c r="Y197" s="2">
        <v>43873</v>
      </c>
      <c r="Z197" s="2">
        <v>43871</v>
      </c>
      <c r="AA197" s="2">
        <v>43858</v>
      </c>
      <c r="AB197" s="2">
        <v>43858</v>
      </c>
      <c r="AC197" s="1"/>
      <c r="AD197">
        <v>13</v>
      </c>
      <c r="AE197">
        <v>366</v>
      </c>
      <c r="AG1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8" spans="1:33" x14ac:dyDescent="0.35">
      <c r="A198">
        <v>198</v>
      </c>
      <c r="B198" s="1"/>
      <c r="C198">
        <v>0</v>
      </c>
      <c r="D198" s="1"/>
      <c r="E198" s="1"/>
      <c r="F198" s="1" t="s">
        <v>30</v>
      </c>
      <c r="G198" s="1" t="s">
        <v>773</v>
      </c>
      <c r="H198" s="1" t="s">
        <v>774</v>
      </c>
      <c r="I198" s="1" t="s">
        <v>775</v>
      </c>
      <c r="J198" s="1" t="s">
        <v>875</v>
      </c>
      <c r="K198" s="1"/>
      <c r="L198" s="1"/>
      <c r="M198" s="1" t="s">
        <v>34</v>
      </c>
      <c r="N198" s="1" t="s">
        <v>192</v>
      </c>
      <c r="O198" s="1" t="s">
        <v>193</v>
      </c>
      <c r="P198" s="1" t="s">
        <v>37</v>
      </c>
      <c r="Q198" s="1"/>
      <c r="R198" s="2">
        <v>43859</v>
      </c>
      <c r="S198" s="1"/>
      <c r="W198" s="1" t="s">
        <v>38</v>
      </c>
      <c r="X198" s="2">
        <v>43866</v>
      </c>
      <c r="Y198" s="2">
        <v>43879</v>
      </c>
      <c r="Z198" s="2">
        <v>43871</v>
      </c>
      <c r="AA198" s="2">
        <v>43868</v>
      </c>
      <c r="AB198" s="2">
        <v>43859</v>
      </c>
      <c r="AC198" s="1"/>
      <c r="AD198">
        <v>12</v>
      </c>
      <c r="AE198">
        <v>365</v>
      </c>
      <c r="AG1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199" spans="1:33" x14ac:dyDescent="0.35">
      <c r="A199">
        <v>199</v>
      </c>
      <c r="B199" s="1"/>
      <c r="C199">
        <v>0</v>
      </c>
      <c r="D199" s="1"/>
      <c r="E199" s="1"/>
      <c r="F199" s="1" t="s">
        <v>30</v>
      </c>
      <c r="G199" s="1" t="s">
        <v>776</v>
      </c>
      <c r="H199" s="1" t="s">
        <v>777</v>
      </c>
      <c r="I199" s="1"/>
      <c r="J199" s="1" t="s">
        <v>778</v>
      </c>
      <c r="K199" s="1"/>
      <c r="L199" s="1"/>
      <c r="M199" s="1" t="s">
        <v>34</v>
      </c>
      <c r="N199" s="1" t="s">
        <v>192</v>
      </c>
      <c r="O199" s="1" t="s">
        <v>193</v>
      </c>
      <c r="P199" s="1" t="s">
        <v>164</v>
      </c>
      <c r="Q199" s="1"/>
      <c r="R199" s="2">
        <v>43859</v>
      </c>
      <c r="S199" s="1"/>
      <c r="W199" s="1" t="s">
        <v>38</v>
      </c>
      <c r="X199" s="2">
        <v>43866</v>
      </c>
      <c r="Y199" s="2">
        <v>43860</v>
      </c>
      <c r="Z199" s="2">
        <v>43860</v>
      </c>
      <c r="AA199" s="2"/>
      <c r="AB199" s="2">
        <v>43859</v>
      </c>
      <c r="AC199" s="1"/>
      <c r="AD199">
        <v>1</v>
      </c>
      <c r="AE199">
        <v>365</v>
      </c>
      <c r="AG1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00" spans="1:33" x14ac:dyDescent="0.35">
      <c r="A200">
        <v>200</v>
      </c>
      <c r="B200" s="1"/>
      <c r="C200">
        <v>0</v>
      </c>
      <c r="D200" s="1" t="s">
        <v>206</v>
      </c>
      <c r="E200" s="1" t="s">
        <v>779</v>
      </c>
      <c r="F200" s="1" t="s">
        <v>30</v>
      </c>
      <c r="G200" s="1" t="s">
        <v>780</v>
      </c>
      <c r="H200" s="1" t="s">
        <v>781</v>
      </c>
      <c r="I200" s="1" t="s">
        <v>782</v>
      </c>
      <c r="J200" s="1" t="s">
        <v>876</v>
      </c>
      <c r="K200" s="1"/>
      <c r="L200" s="1"/>
      <c r="M200" s="1" t="s">
        <v>34</v>
      </c>
      <c r="N200" s="1" t="s">
        <v>97</v>
      </c>
      <c r="O200" s="1" t="s">
        <v>98</v>
      </c>
      <c r="P200" s="1" t="s">
        <v>99</v>
      </c>
      <c r="Q200" s="1"/>
      <c r="R200" s="2">
        <v>43859</v>
      </c>
      <c r="S200" s="1"/>
      <c r="W200" s="1" t="s">
        <v>38</v>
      </c>
      <c r="X200" s="2">
        <v>43866</v>
      </c>
      <c r="Y200" s="2">
        <v>43908</v>
      </c>
      <c r="Z200" s="2">
        <v>43907</v>
      </c>
      <c r="AA200" s="2">
        <v>43866</v>
      </c>
      <c r="AB200" s="2">
        <v>43859</v>
      </c>
      <c r="AC200" s="1"/>
      <c r="AD200">
        <v>48</v>
      </c>
      <c r="AE200">
        <v>365</v>
      </c>
      <c r="AG2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201" spans="1:33" x14ac:dyDescent="0.35">
      <c r="A201">
        <v>201</v>
      </c>
      <c r="B201" s="1"/>
      <c r="C201">
        <v>0</v>
      </c>
      <c r="D201" s="1" t="s">
        <v>206</v>
      </c>
      <c r="E201" s="1" t="s">
        <v>783</v>
      </c>
      <c r="F201" s="1" t="s">
        <v>30</v>
      </c>
      <c r="G201" s="1" t="s">
        <v>784</v>
      </c>
      <c r="H201" s="1" t="s">
        <v>785</v>
      </c>
      <c r="I201" s="1" t="s">
        <v>786</v>
      </c>
      <c r="J201" s="1" t="s">
        <v>877</v>
      </c>
      <c r="K201" s="1"/>
      <c r="L201" s="1"/>
      <c r="M201" s="1" t="s">
        <v>34</v>
      </c>
      <c r="N201" s="1" t="s">
        <v>97</v>
      </c>
      <c r="O201" s="1" t="s">
        <v>98</v>
      </c>
      <c r="P201" s="1" t="s">
        <v>99</v>
      </c>
      <c r="Q201" s="1"/>
      <c r="R201" s="2">
        <v>43859</v>
      </c>
      <c r="S201" s="1"/>
      <c r="W201" s="1" t="s">
        <v>38</v>
      </c>
      <c r="X201" s="2">
        <v>43866</v>
      </c>
      <c r="Y201" s="2">
        <v>43908</v>
      </c>
      <c r="Z201" s="2">
        <v>43904</v>
      </c>
      <c r="AA201" s="2">
        <v>43868</v>
      </c>
      <c r="AB201" s="2">
        <v>43859</v>
      </c>
      <c r="AC201" s="1"/>
      <c r="AD201">
        <v>45</v>
      </c>
      <c r="AE201">
        <v>365</v>
      </c>
      <c r="AG2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202" spans="1:33" x14ac:dyDescent="0.35">
      <c r="A202">
        <v>202</v>
      </c>
      <c r="B202" s="1"/>
      <c r="C202">
        <v>0</v>
      </c>
      <c r="D202" s="1" t="s">
        <v>206</v>
      </c>
      <c r="E202" s="1" t="s">
        <v>787</v>
      </c>
      <c r="F202" s="1" t="s">
        <v>30</v>
      </c>
      <c r="G202" s="1" t="s">
        <v>788</v>
      </c>
      <c r="H202" s="1" t="s">
        <v>789</v>
      </c>
      <c r="I202" s="1" t="s">
        <v>790</v>
      </c>
      <c r="J202" s="1" t="s">
        <v>878</v>
      </c>
      <c r="K202" s="1"/>
      <c r="L202" s="1"/>
      <c r="M202" s="1" t="s">
        <v>34</v>
      </c>
      <c r="N202" s="1" t="s">
        <v>97</v>
      </c>
      <c r="O202" s="1" t="s">
        <v>98</v>
      </c>
      <c r="P202" s="1" t="s">
        <v>99</v>
      </c>
      <c r="Q202" s="1"/>
      <c r="R202" s="2">
        <v>43859</v>
      </c>
      <c r="S202" s="1"/>
      <c r="W202" s="1" t="s">
        <v>38</v>
      </c>
      <c r="X202" s="2">
        <v>43866</v>
      </c>
      <c r="Y202" s="2">
        <v>43908</v>
      </c>
      <c r="Z202" s="2">
        <v>43904</v>
      </c>
      <c r="AA202" s="2">
        <v>43871</v>
      </c>
      <c r="AB202" s="2">
        <v>43859</v>
      </c>
      <c r="AC202" s="1"/>
      <c r="AD202">
        <v>45</v>
      </c>
      <c r="AE202">
        <v>365</v>
      </c>
      <c r="AG2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203" spans="1:33" x14ac:dyDescent="0.35">
      <c r="A203">
        <v>203</v>
      </c>
      <c r="B203" s="1"/>
      <c r="C203">
        <v>0</v>
      </c>
      <c r="D203" s="1"/>
      <c r="E203" s="1"/>
      <c r="F203" s="1" t="s">
        <v>30</v>
      </c>
      <c r="G203" s="1" t="s">
        <v>791</v>
      </c>
      <c r="H203" s="1" t="s">
        <v>792</v>
      </c>
      <c r="I203" s="1" t="s">
        <v>793</v>
      </c>
      <c r="J203" s="1" t="s">
        <v>879</v>
      </c>
      <c r="K203" s="1"/>
      <c r="L203" s="1"/>
      <c r="M203" s="1" t="s">
        <v>197</v>
      </c>
      <c r="N203" s="1" t="s">
        <v>192</v>
      </c>
      <c r="O203" s="1" t="s">
        <v>193</v>
      </c>
      <c r="P203" s="1" t="s">
        <v>37</v>
      </c>
      <c r="Q203" s="1"/>
      <c r="R203" s="2">
        <v>43860</v>
      </c>
      <c r="S203" s="1"/>
      <c r="W203" s="1" t="s">
        <v>38</v>
      </c>
      <c r="X203" s="2">
        <v>43863</v>
      </c>
      <c r="Y203" s="2">
        <v>43879</v>
      </c>
      <c r="Z203" s="2">
        <v>43871</v>
      </c>
      <c r="AA203" s="2">
        <v>43868</v>
      </c>
      <c r="AB203" s="2">
        <v>43860</v>
      </c>
      <c r="AC203" s="1"/>
      <c r="AD203">
        <v>11</v>
      </c>
      <c r="AE203">
        <v>364</v>
      </c>
      <c r="AG2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04" spans="1:33" x14ac:dyDescent="0.35">
      <c r="A204">
        <v>204</v>
      </c>
      <c r="B204" s="1"/>
      <c r="C204">
        <v>0</v>
      </c>
      <c r="D204" s="1" t="s">
        <v>206</v>
      </c>
      <c r="E204" s="1" t="s">
        <v>794</v>
      </c>
      <c r="F204" s="1" t="s">
        <v>30</v>
      </c>
      <c r="G204" s="1" t="s">
        <v>795</v>
      </c>
      <c r="H204" s="1" t="s">
        <v>796</v>
      </c>
      <c r="I204" s="1" t="s">
        <v>797</v>
      </c>
      <c r="J204" s="1" t="s">
        <v>1697</v>
      </c>
      <c r="K204" s="1"/>
      <c r="L204" s="1"/>
      <c r="M204" s="1" t="s">
        <v>34</v>
      </c>
      <c r="N204" s="1" t="s">
        <v>97</v>
      </c>
      <c r="O204" s="1" t="s">
        <v>98</v>
      </c>
      <c r="P204" s="1" t="s">
        <v>99</v>
      </c>
      <c r="Q204" s="1"/>
      <c r="R204" s="2">
        <v>43915</v>
      </c>
      <c r="S204" s="1"/>
      <c r="W204" s="1" t="s">
        <v>38</v>
      </c>
      <c r="X204" s="2">
        <v>43936</v>
      </c>
      <c r="Y204" s="2">
        <v>43973</v>
      </c>
      <c r="Z204" s="2">
        <v>43972</v>
      </c>
      <c r="AA204" s="2">
        <v>43972</v>
      </c>
      <c r="AB204" s="2">
        <v>43860</v>
      </c>
      <c r="AC204" s="1"/>
      <c r="AD204">
        <v>112</v>
      </c>
      <c r="AE204">
        <v>364</v>
      </c>
      <c r="AG2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112</v>
      </c>
    </row>
    <row r="205" spans="1:33" x14ac:dyDescent="0.35">
      <c r="A205">
        <v>205</v>
      </c>
      <c r="B205" s="1"/>
      <c r="C205">
        <v>0</v>
      </c>
      <c r="D205" s="1" t="s">
        <v>206</v>
      </c>
      <c r="E205" s="1" t="s">
        <v>798</v>
      </c>
      <c r="F205" s="1" t="s">
        <v>30</v>
      </c>
      <c r="G205" s="1" t="s">
        <v>799</v>
      </c>
      <c r="H205" s="1" t="s">
        <v>800</v>
      </c>
      <c r="I205" s="1" t="s">
        <v>801</v>
      </c>
      <c r="J205" s="1" t="s">
        <v>881</v>
      </c>
      <c r="K205" s="1"/>
      <c r="L205" s="1"/>
      <c r="M205" s="1" t="s">
        <v>34</v>
      </c>
      <c r="N205" s="1" t="s">
        <v>97</v>
      </c>
      <c r="O205" s="1" t="s">
        <v>98</v>
      </c>
      <c r="P205" s="1" t="s">
        <v>37</v>
      </c>
      <c r="Q205" s="1"/>
      <c r="R205" s="2">
        <v>43860</v>
      </c>
      <c r="S205" s="1"/>
      <c r="W205" s="1" t="s">
        <v>38</v>
      </c>
      <c r="X205" s="2">
        <v>43867</v>
      </c>
      <c r="Y205" s="2">
        <v>43885</v>
      </c>
      <c r="Z205" s="2">
        <v>43881</v>
      </c>
      <c r="AA205" s="2">
        <v>43881</v>
      </c>
      <c r="AB205" s="2">
        <v>43860</v>
      </c>
      <c r="AC205" s="1"/>
      <c r="AD205">
        <v>21</v>
      </c>
      <c r="AE205">
        <v>364</v>
      </c>
      <c r="AG2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206" spans="1:33" x14ac:dyDescent="0.35">
      <c r="A206">
        <v>206</v>
      </c>
      <c r="B206" s="1"/>
      <c r="C206">
        <v>0</v>
      </c>
      <c r="D206" s="1" t="s">
        <v>206</v>
      </c>
      <c r="E206" s="1" t="s">
        <v>802</v>
      </c>
      <c r="F206" s="1" t="s">
        <v>30</v>
      </c>
      <c r="G206" s="1" t="s">
        <v>803</v>
      </c>
      <c r="H206" s="1" t="s">
        <v>804</v>
      </c>
      <c r="I206" s="1" t="s">
        <v>805</v>
      </c>
      <c r="J206" s="1" t="s">
        <v>1647</v>
      </c>
      <c r="K206" s="1"/>
      <c r="L206" s="1"/>
      <c r="M206" s="1" t="s">
        <v>34</v>
      </c>
      <c r="N206" s="1" t="s">
        <v>97</v>
      </c>
      <c r="O206" s="1" t="s">
        <v>98</v>
      </c>
      <c r="P206" s="1" t="s">
        <v>37</v>
      </c>
      <c r="Q206" s="1"/>
      <c r="R206" s="2">
        <v>43956</v>
      </c>
      <c r="S206" s="1"/>
      <c r="W206" s="1" t="s">
        <v>38</v>
      </c>
      <c r="X206" s="2">
        <v>43867</v>
      </c>
      <c r="Y206" s="2">
        <v>43958</v>
      </c>
      <c r="Z206" s="2">
        <v>43956</v>
      </c>
      <c r="AA206" s="2">
        <v>43860</v>
      </c>
      <c r="AB206" s="2">
        <v>43860</v>
      </c>
      <c r="AC206" s="1"/>
      <c r="AD206">
        <v>96</v>
      </c>
      <c r="AE206">
        <v>364</v>
      </c>
      <c r="AG2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96</v>
      </c>
    </row>
    <row r="207" spans="1:33" x14ac:dyDescent="0.35">
      <c r="A207">
        <v>207</v>
      </c>
      <c r="B207" s="1"/>
      <c r="C207">
        <v>0</v>
      </c>
      <c r="D207" s="1"/>
      <c r="E207" s="1"/>
      <c r="F207" s="1" t="s">
        <v>30</v>
      </c>
      <c r="G207" s="1" t="s">
        <v>806</v>
      </c>
      <c r="H207" s="1" t="s">
        <v>807</v>
      </c>
      <c r="I207" s="1"/>
      <c r="J207" s="1" t="s">
        <v>882</v>
      </c>
      <c r="K207" s="1"/>
      <c r="L207" s="1"/>
      <c r="M207" s="1" t="s">
        <v>197</v>
      </c>
      <c r="N207" s="1" t="s">
        <v>437</v>
      </c>
      <c r="O207" s="1" t="s">
        <v>44</v>
      </c>
      <c r="P207" s="1" t="s">
        <v>200</v>
      </c>
      <c r="Q207" s="1"/>
      <c r="R207" s="2">
        <v>43860</v>
      </c>
      <c r="S207" s="1"/>
      <c r="V207">
        <v>15000</v>
      </c>
      <c r="W207" s="1" t="s">
        <v>38</v>
      </c>
      <c r="X207" s="2">
        <v>43863</v>
      </c>
      <c r="Y207" s="2">
        <v>43881</v>
      </c>
      <c r="Z207" s="2">
        <v>43873</v>
      </c>
      <c r="AA207" s="2">
        <v>43866</v>
      </c>
      <c r="AB207" s="2">
        <v>43860</v>
      </c>
      <c r="AC207" s="1"/>
      <c r="AD207">
        <v>13</v>
      </c>
      <c r="AE207">
        <v>364</v>
      </c>
      <c r="AG2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08" spans="1:33" x14ac:dyDescent="0.35">
      <c r="A208">
        <v>208</v>
      </c>
      <c r="B208" s="1"/>
      <c r="C208">
        <v>0</v>
      </c>
      <c r="D208" s="1" t="s">
        <v>206</v>
      </c>
      <c r="E208" s="1"/>
      <c r="F208" s="1" t="s">
        <v>30</v>
      </c>
      <c r="G208" s="1" t="s">
        <v>808</v>
      </c>
      <c r="H208" s="1" t="s">
        <v>809</v>
      </c>
      <c r="I208" s="1" t="s">
        <v>810</v>
      </c>
      <c r="J208" s="1" t="s">
        <v>883</v>
      </c>
      <c r="K208" s="1"/>
      <c r="L208" s="1"/>
      <c r="M208" s="1" t="s">
        <v>197</v>
      </c>
      <c r="N208" s="1" t="s">
        <v>97</v>
      </c>
      <c r="O208" s="1" t="s">
        <v>98</v>
      </c>
      <c r="P208" s="1" t="s">
        <v>37</v>
      </c>
      <c r="Q208" s="1"/>
      <c r="R208" s="2">
        <v>43860</v>
      </c>
      <c r="S208" s="1"/>
      <c r="W208" s="1" t="s">
        <v>38</v>
      </c>
      <c r="X208" s="2">
        <v>43863</v>
      </c>
      <c r="Y208" s="2">
        <v>43874</v>
      </c>
      <c r="Z208" s="2">
        <v>43874</v>
      </c>
      <c r="AA208" s="2">
        <v>43874</v>
      </c>
      <c r="AB208" s="2">
        <v>43860</v>
      </c>
      <c r="AC208" s="1"/>
      <c r="AD208">
        <v>14</v>
      </c>
      <c r="AE208">
        <v>364</v>
      </c>
      <c r="AG2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209" spans="1:33" x14ac:dyDescent="0.35">
      <c r="A209">
        <v>209</v>
      </c>
      <c r="B209" s="1"/>
      <c r="C209">
        <v>0</v>
      </c>
      <c r="D209" s="1"/>
      <c r="E209" s="1"/>
      <c r="F209" s="1" t="s">
        <v>30</v>
      </c>
      <c r="G209" s="1" t="s">
        <v>811</v>
      </c>
      <c r="H209" s="1" t="s">
        <v>812</v>
      </c>
      <c r="I209" s="1"/>
      <c r="J209" s="1" t="s">
        <v>884</v>
      </c>
      <c r="K209" s="1"/>
      <c r="L209" s="1"/>
      <c r="M209" s="1" t="s">
        <v>34</v>
      </c>
      <c r="N209" s="1" t="s">
        <v>79</v>
      </c>
      <c r="O209" s="1" t="s">
        <v>80</v>
      </c>
      <c r="P209" s="1" t="s">
        <v>37</v>
      </c>
      <c r="Q209" s="1"/>
      <c r="R209" s="2">
        <v>43860</v>
      </c>
      <c r="S209" s="1"/>
      <c r="W209" s="1" t="s">
        <v>38</v>
      </c>
      <c r="X209" s="2">
        <v>43867</v>
      </c>
      <c r="Y209" s="2">
        <v>43879</v>
      </c>
      <c r="Z209" s="2">
        <v>43871</v>
      </c>
      <c r="AA209" s="2">
        <v>43868</v>
      </c>
      <c r="AB209" s="2">
        <v>43860</v>
      </c>
      <c r="AC209" s="1"/>
      <c r="AD209">
        <v>11</v>
      </c>
      <c r="AE209">
        <v>364</v>
      </c>
      <c r="AG2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10" spans="1:33" x14ac:dyDescent="0.35">
      <c r="A210">
        <v>210</v>
      </c>
      <c r="B210" s="1"/>
      <c r="C210">
        <v>0</v>
      </c>
      <c r="D210" s="1"/>
      <c r="E210" s="1"/>
      <c r="F210" s="1" t="s">
        <v>30</v>
      </c>
      <c r="G210" s="1" t="s">
        <v>813</v>
      </c>
      <c r="H210" s="1" t="s">
        <v>814</v>
      </c>
      <c r="I210" s="1" t="s">
        <v>815</v>
      </c>
      <c r="J210" s="1" t="s">
        <v>885</v>
      </c>
      <c r="K210" s="1"/>
      <c r="L210" s="1"/>
      <c r="M210" s="1" t="s">
        <v>34</v>
      </c>
      <c r="N210" s="1" t="s">
        <v>341</v>
      </c>
      <c r="O210" s="1" t="s">
        <v>62</v>
      </c>
      <c r="P210" s="1" t="s">
        <v>37</v>
      </c>
      <c r="Q210" s="1"/>
      <c r="R210" s="2">
        <v>43860</v>
      </c>
      <c r="S210" s="1"/>
      <c r="W210" s="1" t="s">
        <v>38</v>
      </c>
      <c r="X210" s="2">
        <v>43867</v>
      </c>
      <c r="Y210" s="2">
        <v>43871</v>
      </c>
      <c r="Z210" s="2">
        <v>43868</v>
      </c>
      <c r="AA210" s="2">
        <v>43868</v>
      </c>
      <c r="AB210" s="2">
        <v>43860</v>
      </c>
      <c r="AC210" s="1"/>
      <c r="AD210">
        <v>8</v>
      </c>
      <c r="AE210">
        <v>364</v>
      </c>
      <c r="AG2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11" spans="1:33" x14ac:dyDescent="0.35">
      <c r="A211">
        <v>211</v>
      </c>
      <c r="B211" s="1"/>
      <c r="C211">
        <v>0</v>
      </c>
      <c r="D211" s="1"/>
      <c r="E211" s="1"/>
      <c r="F211" s="1" t="s">
        <v>30</v>
      </c>
      <c r="G211" s="1" t="s">
        <v>816</v>
      </c>
      <c r="H211" s="1" t="s">
        <v>817</v>
      </c>
      <c r="I211" s="1"/>
      <c r="J211" s="1" t="s">
        <v>886</v>
      </c>
      <c r="K211" s="1"/>
      <c r="L211" s="1"/>
      <c r="M211" s="1" t="s">
        <v>34</v>
      </c>
      <c r="N211" s="1" t="s">
        <v>341</v>
      </c>
      <c r="O211" s="1" t="s">
        <v>62</v>
      </c>
      <c r="P211" s="1" t="s">
        <v>37</v>
      </c>
      <c r="Q211" s="1"/>
      <c r="R211" s="2">
        <v>43860</v>
      </c>
      <c r="S211" s="1"/>
      <c r="W211" s="1" t="s">
        <v>38</v>
      </c>
      <c r="X211" s="2">
        <v>43867</v>
      </c>
      <c r="Y211" s="2">
        <v>43871</v>
      </c>
      <c r="Z211" s="2">
        <v>43868</v>
      </c>
      <c r="AA211" s="2">
        <v>43868</v>
      </c>
      <c r="AB211" s="2">
        <v>43860</v>
      </c>
      <c r="AC211" s="1"/>
      <c r="AD211">
        <v>8</v>
      </c>
      <c r="AE211">
        <v>364</v>
      </c>
      <c r="AG2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12" spans="1:33" x14ac:dyDescent="0.35">
      <c r="A212">
        <v>212</v>
      </c>
      <c r="B212" s="1"/>
      <c r="C212">
        <v>0</v>
      </c>
      <c r="D212" s="1"/>
      <c r="E212" s="1"/>
      <c r="F212" s="1" t="s">
        <v>30</v>
      </c>
      <c r="G212" s="1" t="s">
        <v>818</v>
      </c>
      <c r="H212" s="1" t="s">
        <v>819</v>
      </c>
      <c r="I212" s="1"/>
      <c r="J212" s="1" t="s">
        <v>1698</v>
      </c>
      <c r="K212" s="1"/>
      <c r="L212" s="1"/>
      <c r="M212" s="1" t="s">
        <v>34</v>
      </c>
      <c r="N212" s="1" t="s">
        <v>378</v>
      </c>
      <c r="O212" s="1" t="s">
        <v>147</v>
      </c>
      <c r="P212" s="1" t="s">
        <v>116</v>
      </c>
      <c r="Q212" s="1"/>
      <c r="R212" s="2">
        <v>43861</v>
      </c>
      <c r="S212" s="1"/>
      <c r="W212" s="1" t="s">
        <v>38</v>
      </c>
      <c r="X212" s="2">
        <v>43868</v>
      </c>
      <c r="Y212" s="2">
        <v>43965</v>
      </c>
      <c r="Z212" s="2">
        <v>43963</v>
      </c>
      <c r="AA212" s="2">
        <v>43866</v>
      </c>
      <c r="AB212" s="2">
        <v>43861</v>
      </c>
      <c r="AC212" s="1"/>
      <c r="AD212">
        <v>102</v>
      </c>
      <c r="AE212">
        <v>363</v>
      </c>
      <c r="AG2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102</v>
      </c>
    </row>
    <row r="213" spans="1:33" x14ac:dyDescent="0.35">
      <c r="A213">
        <v>213</v>
      </c>
      <c r="B213" s="1"/>
      <c r="C213">
        <v>0</v>
      </c>
      <c r="D213" s="1" t="s">
        <v>206</v>
      </c>
      <c r="E213" s="1" t="s">
        <v>887</v>
      </c>
      <c r="F213" s="1" t="s">
        <v>30</v>
      </c>
      <c r="G213" s="1" t="s">
        <v>888</v>
      </c>
      <c r="H213" s="1" t="s">
        <v>889</v>
      </c>
      <c r="I213" s="1" t="s">
        <v>890</v>
      </c>
      <c r="J213" s="1" t="s">
        <v>891</v>
      </c>
      <c r="K213" s="1"/>
      <c r="L213" s="1"/>
      <c r="M213" s="1" t="s">
        <v>34</v>
      </c>
      <c r="N213" s="1" t="s">
        <v>97</v>
      </c>
      <c r="O213" s="1" t="s">
        <v>98</v>
      </c>
      <c r="P213" s="1" t="s">
        <v>37</v>
      </c>
      <c r="Q213" s="1"/>
      <c r="R213" s="2">
        <v>43864</v>
      </c>
      <c r="S213" s="1"/>
      <c r="W213" s="1" t="s">
        <v>38</v>
      </c>
      <c r="X213" s="2">
        <v>43871</v>
      </c>
      <c r="Y213" s="2">
        <v>43879</v>
      </c>
      <c r="Z213" s="2">
        <v>43879</v>
      </c>
      <c r="AA213" s="2">
        <v>43875</v>
      </c>
      <c r="AB213" s="2">
        <v>43864</v>
      </c>
      <c r="AC213" s="1"/>
      <c r="AD213">
        <v>15</v>
      </c>
      <c r="AE213">
        <v>360</v>
      </c>
      <c r="AG2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14" spans="1:33" x14ac:dyDescent="0.35">
      <c r="A214">
        <v>214</v>
      </c>
      <c r="B214" s="1"/>
      <c r="C214">
        <v>0</v>
      </c>
      <c r="D214" s="1"/>
      <c r="E214" s="1"/>
      <c r="F214" s="1" t="s">
        <v>30</v>
      </c>
      <c r="G214" s="1" t="s">
        <v>892</v>
      </c>
      <c r="H214" s="1" t="s">
        <v>893</v>
      </c>
      <c r="I214" s="1"/>
      <c r="J214" s="1" t="s">
        <v>894</v>
      </c>
      <c r="K214" s="1"/>
      <c r="L214" s="1"/>
      <c r="M214" s="1" t="s">
        <v>34</v>
      </c>
      <c r="N214" s="1" t="s">
        <v>341</v>
      </c>
      <c r="O214" s="1" t="s">
        <v>62</v>
      </c>
      <c r="P214" s="1" t="s">
        <v>37</v>
      </c>
      <c r="Q214" s="1"/>
      <c r="R214" s="2">
        <v>43864</v>
      </c>
      <c r="S214" s="1"/>
      <c r="W214" s="1" t="s">
        <v>38</v>
      </c>
      <c r="X214" s="2">
        <v>43871</v>
      </c>
      <c r="Y214" s="2">
        <v>43906</v>
      </c>
      <c r="Z214" s="2">
        <v>43901</v>
      </c>
      <c r="AA214" s="2">
        <v>43864</v>
      </c>
      <c r="AB214" s="2">
        <v>43864</v>
      </c>
      <c r="AC214" s="1"/>
      <c r="AD214">
        <v>37</v>
      </c>
      <c r="AE214">
        <v>360</v>
      </c>
      <c r="AG2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37</v>
      </c>
    </row>
    <row r="215" spans="1:33" x14ac:dyDescent="0.35">
      <c r="A215">
        <v>215</v>
      </c>
      <c r="B215" s="1"/>
      <c r="C215">
        <v>0</v>
      </c>
      <c r="D215" s="1"/>
      <c r="E215" s="1"/>
      <c r="F215" s="1" t="s">
        <v>30</v>
      </c>
      <c r="G215" s="1" t="s">
        <v>895</v>
      </c>
      <c r="H215" s="1" t="s">
        <v>896</v>
      </c>
      <c r="I215" s="1"/>
      <c r="J215" s="1" t="s">
        <v>2183</v>
      </c>
      <c r="K215" s="1"/>
      <c r="L215" s="1"/>
      <c r="M215" s="1" t="s">
        <v>34</v>
      </c>
      <c r="N215" s="1" t="s">
        <v>245</v>
      </c>
      <c r="O215" s="1" t="s">
        <v>147</v>
      </c>
      <c r="P215" s="1" t="s">
        <v>37</v>
      </c>
      <c r="Q215" s="1"/>
      <c r="R215" s="2">
        <v>44007</v>
      </c>
      <c r="S215" s="1"/>
      <c r="W215" s="1" t="s">
        <v>38</v>
      </c>
      <c r="X215" s="2">
        <v>43872</v>
      </c>
      <c r="Y215" s="2">
        <v>44027</v>
      </c>
      <c r="Z215" s="2">
        <v>44026</v>
      </c>
      <c r="AA215" s="2">
        <v>43881</v>
      </c>
      <c r="AB215" s="2">
        <v>43865</v>
      </c>
      <c r="AC215" s="1"/>
      <c r="AD215">
        <v>161</v>
      </c>
      <c r="AE215">
        <v>359</v>
      </c>
      <c r="AG2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161</v>
      </c>
    </row>
    <row r="216" spans="1:33" x14ac:dyDescent="0.35">
      <c r="A216">
        <v>216</v>
      </c>
      <c r="B216" s="1"/>
      <c r="C216">
        <v>0</v>
      </c>
      <c r="D216" s="1"/>
      <c r="E216" s="1"/>
      <c r="F216" s="1" t="s">
        <v>30</v>
      </c>
      <c r="G216" s="1" t="s">
        <v>897</v>
      </c>
      <c r="H216" s="1" t="s">
        <v>898</v>
      </c>
      <c r="I216" s="1"/>
      <c r="J216" s="1" t="s">
        <v>550</v>
      </c>
      <c r="K216" s="1"/>
      <c r="L216" s="1"/>
      <c r="M216" s="1" t="s">
        <v>34</v>
      </c>
      <c r="N216" s="1" t="s">
        <v>880</v>
      </c>
      <c r="O216" s="1" t="s">
        <v>44</v>
      </c>
      <c r="P216" s="1" t="s">
        <v>37</v>
      </c>
      <c r="Q216" s="1"/>
      <c r="R216" s="2">
        <v>43865</v>
      </c>
      <c r="S216" s="1"/>
      <c r="W216" s="1" t="s">
        <v>38</v>
      </c>
      <c r="X216" s="2">
        <v>43872</v>
      </c>
      <c r="Y216" s="2">
        <v>43895</v>
      </c>
      <c r="Z216" s="2">
        <v>43889</v>
      </c>
      <c r="AA216" s="2">
        <v>43888</v>
      </c>
      <c r="AB216" s="2">
        <v>43865</v>
      </c>
      <c r="AC216" s="1"/>
      <c r="AD216">
        <v>24</v>
      </c>
      <c r="AE216">
        <v>359</v>
      </c>
      <c r="AG2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217" spans="1:33" x14ac:dyDescent="0.35">
      <c r="A217">
        <v>217</v>
      </c>
      <c r="B217" s="1"/>
      <c r="C217">
        <v>0</v>
      </c>
      <c r="D217" s="1" t="s">
        <v>899</v>
      </c>
      <c r="E217" s="1" t="s">
        <v>900</v>
      </c>
      <c r="F217" s="1" t="s">
        <v>30</v>
      </c>
      <c r="G217" s="1" t="s">
        <v>901</v>
      </c>
      <c r="H217" s="1" t="s">
        <v>902</v>
      </c>
      <c r="I217" s="1"/>
      <c r="J217" s="1" t="s">
        <v>903</v>
      </c>
      <c r="K217" s="1"/>
      <c r="L217" s="1"/>
      <c r="M217" s="1" t="s">
        <v>34</v>
      </c>
      <c r="N217" s="1" t="s">
        <v>378</v>
      </c>
      <c r="O217" s="1" t="s">
        <v>147</v>
      </c>
      <c r="P217" s="1" t="s">
        <v>379</v>
      </c>
      <c r="Q217" s="1"/>
      <c r="R217" s="2">
        <v>43865</v>
      </c>
      <c r="S217" s="1"/>
      <c r="W217" s="1" t="s">
        <v>38</v>
      </c>
      <c r="X217" s="2">
        <v>43872</v>
      </c>
      <c r="Y217" s="2">
        <v>43879</v>
      </c>
      <c r="Z217" s="2">
        <v>43872</v>
      </c>
      <c r="AA217" s="2">
        <v>43867</v>
      </c>
      <c r="AB217" s="2">
        <v>43865</v>
      </c>
      <c r="AC217" s="1"/>
      <c r="AD217">
        <v>7</v>
      </c>
      <c r="AE217">
        <v>359</v>
      </c>
      <c r="AG2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18" spans="1:33" x14ac:dyDescent="0.35">
      <c r="A218">
        <v>218</v>
      </c>
      <c r="B218" s="1"/>
      <c r="C218">
        <v>0</v>
      </c>
      <c r="D218" s="1"/>
      <c r="E218" s="1" t="s">
        <v>904</v>
      </c>
      <c r="F218" s="1" t="s">
        <v>30</v>
      </c>
      <c r="G218" s="1" t="s">
        <v>905</v>
      </c>
      <c r="H218" s="1" t="s">
        <v>906</v>
      </c>
      <c r="I218" s="1" t="s">
        <v>907</v>
      </c>
      <c r="J218" s="1" t="s">
        <v>908</v>
      </c>
      <c r="K218" s="1"/>
      <c r="L218" s="1"/>
      <c r="M218" s="1" t="s">
        <v>34</v>
      </c>
      <c r="N218" s="1" t="s">
        <v>146</v>
      </c>
      <c r="O218" s="1" t="s">
        <v>147</v>
      </c>
      <c r="P218" s="1" t="s">
        <v>379</v>
      </c>
      <c r="Q218" s="1"/>
      <c r="R218" s="2">
        <v>43865</v>
      </c>
      <c r="S218" s="1"/>
      <c r="W218" s="1" t="s">
        <v>38</v>
      </c>
      <c r="X218" s="2">
        <v>43872</v>
      </c>
      <c r="Y218" s="2">
        <v>43873</v>
      </c>
      <c r="Z218" s="2">
        <v>43872</v>
      </c>
      <c r="AA218" s="2">
        <v>43867</v>
      </c>
      <c r="AB218" s="2">
        <v>43865</v>
      </c>
      <c r="AC218" s="1"/>
      <c r="AD218">
        <v>7</v>
      </c>
      <c r="AE218">
        <v>359</v>
      </c>
      <c r="AG2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19" spans="1:33" x14ac:dyDescent="0.35">
      <c r="A219">
        <v>219</v>
      </c>
      <c r="B219" s="1"/>
      <c r="C219">
        <v>0</v>
      </c>
      <c r="D219" s="1" t="s">
        <v>909</v>
      </c>
      <c r="E219" s="1"/>
      <c r="F219" s="1" t="s">
        <v>30</v>
      </c>
      <c r="G219" s="1" t="s">
        <v>910</v>
      </c>
      <c r="H219" s="1" t="s">
        <v>911</v>
      </c>
      <c r="I219" s="1"/>
      <c r="J219" s="1" t="s">
        <v>912</v>
      </c>
      <c r="K219" s="1"/>
      <c r="L219" s="1"/>
      <c r="M219" s="1" t="s">
        <v>34</v>
      </c>
      <c r="N219" s="1" t="s">
        <v>483</v>
      </c>
      <c r="O219" s="1" t="s">
        <v>484</v>
      </c>
      <c r="P219" s="1" t="s">
        <v>37</v>
      </c>
      <c r="Q219" s="1"/>
      <c r="R219" s="2">
        <v>43865</v>
      </c>
      <c r="S219" s="1"/>
      <c r="W219" s="1" t="s">
        <v>38</v>
      </c>
      <c r="X219" s="2">
        <v>43872</v>
      </c>
      <c r="Y219" s="2">
        <v>43916</v>
      </c>
      <c r="Z219" s="2">
        <v>43913</v>
      </c>
      <c r="AA219" s="2">
        <v>43867</v>
      </c>
      <c r="AB219" s="2">
        <v>43865</v>
      </c>
      <c r="AC219" s="1"/>
      <c r="AD219">
        <v>48</v>
      </c>
      <c r="AE219">
        <v>359</v>
      </c>
      <c r="AG2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220" spans="1:33" x14ac:dyDescent="0.35">
      <c r="A220">
        <v>220</v>
      </c>
      <c r="B220" s="1"/>
      <c r="C220">
        <v>0</v>
      </c>
      <c r="D220" s="1" t="s">
        <v>913</v>
      </c>
      <c r="E220" s="1"/>
      <c r="F220" s="1" t="s">
        <v>30</v>
      </c>
      <c r="G220" s="1" t="s">
        <v>914</v>
      </c>
      <c r="H220" s="1" t="s">
        <v>915</v>
      </c>
      <c r="I220" s="1"/>
      <c r="J220" s="1" t="s">
        <v>1895</v>
      </c>
      <c r="K220" s="1"/>
      <c r="L220" s="1"/>
      <c r="M220" s="1" t="s">
        <v>34</v>
      </c>
      <c r="N220" s="1" t="s">
        <v>378</v>
      </c>
      <c r="O220" s="1" t="s">
        <v>147</v>
      </c>
      <c r="P220" s="1" t="s">
        <v>916</v>
      </c>
      <c r="Q220" s="1" t="s">
        <v>917</v>
      </c>
      <c r="R220" s="2">
        <v>43935</v>
      </c>
      <c r="S220" s="1"/>
      <c r="W220" s="1" t="s">
        <v>38</v>
      </c>
      <c r="X220" s="2">
        <v>43945</v>
      </c>
      <c r="Y220" s="2">
        <v>43994</v>
      </c>
      <c r="Z220" s="2">
        <v>43993</v>
      </c>
      <c r="AA220" s="2">
        <v>43927</v>
      </c>
      <c r="AB220" s="2">
        <v>43865</v>
      </c>
      <c r="AC220" s="1"/>
      <c r="AD220">
        <v>128</v>
      </c>
      <c r="AE220">
        <v>359</v>
      </c>
      <c r="AG2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128</v>
      </c>
    </row>
    <row r="221" spans="1:33" x14ac:dyDescent="0.35">
      <c r="A221">
        <v>222</v>
      </c>
      <c r="B221" s="1"/>
      <c r="C221">
        <v>0</v>
      </c>
      <c r="D221" s="1" t="s">
        <v>206</v>
      </c>
      <c r="E221" s="1" t="s">
        <v>918</v>
      </c>
      <c r="F221" s="1" t="s">
        <v>30</v>
      </c>
      <c r="G221" s="1" t="s">
        <v>919</v>
      </c>
      <c r="H221" s="1" t="s">
        <v>920</v>
      </c>
      <c r="I221" s="1" t="s">
        <v>921</v>
      </c>
      <c r="J221" s="1" t="s">
        <v>922</v>
      </c>
      <c r="K221" s="1"/>
      <c r="L221" s="1"/>
      <c r="M221" s="1" t="s">
        <v>34</v>
      </c>
      <c r="N221" s="1" t="s">
        <v>97</v>
      </c>
      <c r="O221" s="1" t="s">
        <v>98</v>
      </c>
      <c r="P221" s="1" t="s">
        <v>99</v>
      </c>
      <c r="Q221" s="1"/>
      <c r="R221" s="2">
        <v>43865</v>
      </c>
      <c r="S221" s="1"/>
      <c r="W221" s="1" t="s">
        <v>38</v>
      </c>
      <c r="X221" s="2">
        <v>43872</v>
      </c>
      <c r="Y221" s="2">
        <v>43908</v>
      </c>
      <c r="Z221" s="2">
        <v>43904</v>
      </c>
      <c r="AA221" s="2">
        <v>43866</v>
      </c>
      <c r="AB221" s="2">
        <v>43865</v>
      </c>
      <c r="AC221" s="1"/>
      <c r="AD221">
        <v>39</v>
      </c>
      <c r="AE221">
        <v>359</v>
      </c>
      <c r="AG2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2" spans="1:33" x14ac:dyDescent="0.35">
      <c r="A222">
        <v>223</v>
      </c>
      <c r="B222" s="1"/>
      <c r="C222">
        <v>0</v>
      </c>
      <c r="D222" s="1" t="s">
        <v>206</v>
      </c>
      <c r="E222" s="1" t="s">
        <v>779</v>
      </c>
      <c r="F222" s="1" t="s">
        <v>30</v>
      </c>
      <c r="G222" s="1" t="s">
        <v>923</v>
      </c>
      <c r="H222" s="1" t="s">
        <v>924</v>
      </c>
      <c r="I222" s="1" t="s">
        <v>925</v>
      </c>
      <c r="J222" s="1" t="s">
        <v>926</v>
      </c>
      <c r="K222" s="1"/>
      <c r="L222" s="1"/>
      <c r="M222" s="1" t="s">
        <v>34</v>
      </c>
      <c r="N222" s="1" t="s">
        <v>97</v>
      </c>
      <c r="O222" s="1" t="s">
        <v>98</v>
      </c>
      <c r="P222" s="1" t="s">
        <v>99</v>
      </c>
      <c r="Q222" s="1"/>
      <c r="R222" s="2">
        <v>43865</v>
      </c>
      <c r="S222" s="1"/>
      <c r="W222" s="1" t="s">
        <v>38</v>
      </c>
      <c r="X222" s="2">
        <v>43872</v>
      </c>
      <c r="Y222" s="2">
        <v>43908</v>
      </c>
      <c r="Z222" s="2">
        <v>43904</v>
      </c>
      <c r="AA222" s="2">
        <v>43866</v>
      </c>
      <c r="AB222" s="2">
        <v>43865</v>
      </c>
      <c r="AC222" s="1"/>
      <c r="AD222">
        <v>39</v>
      </c>
      <c r="AE222">
        <v>359</v>
      </c>
      <c r="AG2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3" spans="1:33" x14ac:dyDescent="0.35">
      <c r="A223">
        <v>224</v>
      </c>
      <c r="B223" s="1"/>
      <c r="C223">
        <v>0</v>
      </c>
      <c r="D223" s="1"/>
      <c r="E223" s="1"/>
      <c r="F223" s="1" t="s">
        <v>30</v>
      </c>
      <c r="G223" s="1" t="s">
        <v>927</v>
      </c>
      <c r="H223" s="1" t="s">
        <v>928</v>
      </c>
      <c r="I223" s="1" t="s">
        <v>929</v>
      </c>
      <c r="J223" s="1" t="s">
        <v>930</v>
      </c>
      <c r="K223" s="1"/>
      <c r="L223" s="1"/>
      <c r="M223" s="1" t="s">
        <v>34</v>
      </c>
      <c r="N223" s="1" t="s">
        <v>880</v>
      </c>
      <c r="O223" s="1" t="s">
        <v>44</v>
      </c>
      <c r="P223" s="1" t="s">
        <v>99</v>
      </c>
      <c r="Q223" s="1"/>
      <c r="R223" s="2">
        <v>43865</v>
      </c>
      <c r="S223" s="1"/>
      <c r="V223">
        <v>2000</v>
      </c>
      <c r="W223" s="1" t="s">
        <v>38</v>
      </c>
      <c r="X223" s="2">
        <v>43872</v>
      </c>
      <c r="Y223" s="2">
        <v>43907</v>
      </c>
      <c r="Z223" s="2">
        <v>43904</v>
      </c>
      <c r="AA223" s="2">
        <v>43879</v>
      </c>
      <c r="AB223" s="2">
        <v>43865</v>
      </c>
      <c r="AC223" s="1"/>
      <c r="AD223">
        <v>39</v>
      </c>
      <c r="AE223">
        <v>359</v>
      </c>
      <c r="AG2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4" spans="1:33" x14ac:dyDescent="0.35">
      <c r="A224">
        <v>225</v>
      </c>
      <c r="B224" s="1"/>
      <c r="C224">
        <v>0</v>
      </c>
      <c r="D224" s="1"/>
      <c r="E224" s="1"/>
      <c r="F224" s="1" t="s">
        <v>30</v>
      </c>
      <c r="G224" s="1" t="s">
        <v>931</v>
      </c>
      <c r="H224" s="1" t="s">
        <v>932</v>
      </c>
      <c r="I224" s="1"/>
      <c r="J224" s="1" t="s">
        <v>933</v>
      </c>
      <c r="K224" s="1"/>
      <c r="L224" s="1"/>
      <c r="M224" s="1" t="s">
        <v>34</v>
      </c>
      <c r="N224" s="1" t="s">
        <v>880</v>
      </c>
      <c r="O224" s="1" t="s">
        <v>44</v>
      </c>
      <c r="P224" s="1" t="s">
        <v>97</v>
      </c>
      <c r="Q224" s="1" t="s">
        <v>98</v>
      </c>
      <c r="R224" s="2">
        <v>43866</v>
      </c>
      <c r="S224" s="1"/>
      <c r="W224" s="1" t="s">
        <v>38</v>
      </c>
      <c r="X224" s="2">
        <v>43872</v>
      </c>
      <c r="Y224" s="2">
        <v>43909</v>
      </c>
      <c r="Z224" s="2">
        <v>43908</v>
      </c>
      <c r="AA224" s="2">
        <v>43907</v>
      </c>
      <c r="AB224" s="2">
        <v>43866</v>
      </c>
      <c r="AC224" s="1"/>
      <c r="AD224">
        <v>42</v>
      </c>
      <c r="AE224">
        <v>358</v>
      </c>
      <c r="AG2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225" spans="1:33" x14ac:dyDescent="0.35">
      <c r="A225">
        <v>226</v>
      </c>
      <c r="B225" s="1"/>
      <c r="C225">
        <v>0</v>
      </c>
      <c r="D225" s="1"/>
      <c r="E225" s="1"/>
      <c r="F225" s="1" t="s">
        <v>30</v>
      </c>
      <c r="G225" s="1" t="s">
        <v>934</v>
      </c>
      <c r="H225" s="1" t="s">
        <v>935</v>
      </c>
      <c r="I225" s="1"/>
      <c r="J225" s="1" t="s">
        <v>936</v>
      </c>
      <c r="K225" s="1"/>
      <c r="L225" s="1"/>
      <c r="M225" s="1" t="s">
        <v>34</v>
      </c>
      <c r="N225" s="1" t="s">
        <v>880</v>
      </c>
      <c r="O225" s="1" t="s">
        <v>44</v>
      </c>
      <c r="P225" s="1" t="s">
        <v>37</v>
      </c>
      <c r="Q225" s="1"/>
      <c r="R225" s="2">
        <v>43866</v>
      </c>
      <c r="S225" s="1"/>
      <c r="W225" s="1" t="s">
        <v>38</v>
      </c>
      <c r="X225" s="2">
        <v>43872</v>
      </c>
      <c r="Y225" s="2">
        <v>43895</v>
      </c>
      <c r="Z225" s="2">
        <v>43894</v>
      </c>
      <c r="AA225" s="2">
        <v>43888</v>
      </c>
      <c r="AB225" s="2">
        <v>43866</v>
      </c>
      <c r="AC225" s="1"/>
      <c r="AD225">
        <v>28</v>
      </c>
      <c r="AE225">
        <v>358</v>
      </c>
      <c r="AG2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226" spans="1:33" x14ac:dyDescent="0.35">
      <c r="A226">
        <v>227</v>
      </c>
      <c r="B226" s="1"/>
      <c r="C226">
        <v>0</v>
      </c>
      <c r="D226" s="1"/>
      <c r="E226" s="1" t="s">
        <v>937</v>
      </c>
      <c r="F226" s="1" t="s">
        <v>30</v>
      </c>
      <c r="G226" s="1" t="s">
        <v>938</v>
      </c>
      <c r="H226" s="1" t="s">
        <v>939</v>
      </c>
      <c r="I226" s="1"/>
      <c r="J226" s="1" t="s">
        <v>940</v>
      </c>
      <c r="K226" s="1"/>
      <c r="L226" s="1"/>
      <c r="M226" s="1" t="s">
        <v>34</v>
      </c>
      <c r="N226" s="1" t="s">
        <v>880</v>
      </c>
      <c r="O226" s="1" t="s">
        <v>44</v>
      </c>
      <c r="P226" s="1" t="s">
        <v>37</v>
      </c>
      <c r="Q226" s="1"/>
      <c r="R226" s="2">
        <v>43866</v>
      </c>
      <c r="S226" s="1"/>
      <c r="V226">
        <v>1500</v>
      </c>
      <c r="W226" s="1" t="s">
        <v>38</v>
      </c>
      <c r="X226" s="2">
        <v>43873</v>
      </c>
      <c r="Y226" s="2">
        <v>43895</v>
      </c>
      <c r="Z226" s="2">
        <v>43895</v>
      </c>
      <c r="AA226" s="2"/>
      <c r="AB226" s="2">
        <v>43866</v>
      </c>
      <c r="AC226" s="1"/>
      <c r="AD226">
        <v>29</v>
      </c>
      <c r="AE226">
        <v>358</v>
      </c>
      <c r="AG2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227" spans="1:33" x14ac:dyDescent="0.35">
      <c r="A227">
        <v>228</v>
      </c>
      <c r="B227" s="1"/>
      <c r="C227">
        <v>0</v>
      </c>
      <c r="D227" s="1"/>
      <c r="E227" s="1" t="s">
        <v>783</v>
      </c>
      <c r="F227" s="1" t="s">
        <v>30</v>
      </c>
      <c r="G227" s="1" t="s">
        <v>941</v>
      </c>
      <c r="H227" s="1" t="s">
        <v>942</v>
      </c>
      <c r="I227" s="1"/>
      <c r="J227" s="1" t="s">
        <v>943</v>
      </c>
      <c r="K227" s="1"/>
      <c r="L227" s="1"/>
      <c r="M227" s="1" t="s">
        <v>34</v>
      </c>
      <c r="N227" s="1" t="s">
        <v>880</v>
      </c>
      <c r="O227" s="1" t="s">
        <v>44</v>
      </c>
      <c r="P227" s="1" t="s">
        <v>37</v>
      </c>
      <c r="Q227" s="1"/>
      <c r="R227" s="2">
        <v>43866</v>
      </c>
      <c r="S227" s="1"/>
      <c r="V227">
        <v>1500</v>
      </c>
      <c r="W227" s="1" t="s">
        <v>38</v>
      </c>
      <c r="X227" s="2">
        <v>43873</v>
      </c>
      <c r="Y227" s="2">
        <v>43927</v>
      </c>
      <c r="Z227" s="2">
        <v>43923</v>
      </c>
      <c r="AA227" s="2">
        <v>43923</v>
      </c>
      <c r="AB227" s="2">
        <v>43866</v>
      </c>
      <c r="AC227" s="1"/>
      <c r="AD227">
        <v>57</v>
      </c>
      <c r="AE227">
        <v>358</v>
      </c>
      <c r="AG2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57</v>
      </c>
    </row>
    <row r="228" spans="1:33" x14ac:dyDescent="0.35">
      <c r="A228">
        <v>229</v>
      </c>
      <c r="B228" s="1"/>
      <c r="C228">
        <v>0</v>
      </c>
      <c r="D228" s="1"/>
      <c r="E228" s="1" t="s">
        <v>944</v>
      </c>
      <c r="F228" s="1" t="s">
        <v>30</v>
      </c>
      <c r="G228" s="1" t="s">
        <v>945</v>
      </c>
      <c r="H228" s="1" t="s">
        <v>946</v>
      </c>
      <c r="I228" s="1"/>
      <c r="J228" s="1" t="s">
        <v>947</v>
      </c>
      <c r="K228" s="1"/>
      <c r="L228" s="1"/>
      <c r="M228" s="1" t="s">
        <v>34</v>
      </c>
      <c r="N228" s="1" t="s">
        <v>880</v>
      </c>
      <c r="O228" s="1" t="s">
        <v>44</v>
      </c>
      <c r="P228" s="1" t="s">
        <v>37</v>
      </c>
      <c r="Q228" s="1"/>
      <c r="R228" s="2">
        <v>43866</v>
      </c>
      <c r="S228" s="1"/>
      <c r="W228" s="1" t="s">
        <v>38</v>
      </c>
      <c r="X228" s="2">
        <v>43873</v>
      </c>
      <c r="Y228" s="2">
        <v>43895</v>
      </c>
      <c r="Z228" s="2">
        <v>43882</v>
      </c>
      <c r="AA228" s="2">
        <v>43866</v>
      </c>
      <c r="AB228" s="2">
        <v>43866</v>
      </c>
      <c r="AC228" s="1"/>
      <c r="AD228">
        <v>16</v>
      </c>
      <c r="AE228">
        <v>358</v>
      </c>
      <c r="AG2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229" spans="1:33" x14ac:dyDescent="0.35">
      <c r="A229">
        <v>230</v>
      </c>
      <c r="B229" s="1"/>
      <c r="C229">
        <v>0</v>
      </c>
      <c r="D229" s="1"/>
      <c r="E229" s="1"/>
      <c r="F229" s="1" t="s">
        <v>30</v>
      </c>
      <c r="G229" s="1" t="s">
        <v>948</v>
      </c>
      <c r="H229" s="1" t="s">
        <v>949</v>
      </c>
      <c r="I229" s="1"/>
      <c r="J229" s="1" t="s">
        <v>950</v>
      </c>
      <c r="K229" s="1"/>
      <c r="L229" s="1"/>
      <c r="M229" s="1" t="s">
        <v>34</v>
      </c>
      <c r="N229" s="1" t="s">
        <v>129</v>
      </c>
      <c r="O229" s="1" t="s">
        <v>44</v>
      </c>
      <c r="P229" s="1" t="s">
        <v>200</v>
      </c>
      <c r="Q229" s="1"/>
      <c r="R229" s="2">
        <v>43866</v>
      </c>
      <c r="S229" s="1"/>
      <c r="W229" s="1" t="s">
        <v>38</v>
      </c>
      <c r="X229" s="2"/>
      <c r="Y229" s="2">
        <v>43881</v>
      </c>
      <c r="Z229" s="2">
        <v>43873</v>
      </c>
      <c r="AA229" s="2">
        <v>43866</v>
      </c>
      <c r="AB229" s="2">
        <v>43866</v>
      </c>
      <c r="AC229" s="1"/>
      <c r="AD229">
        <v>7</v>
      </c>
      <c r="AE229">
        <v>358</v>
      </c>
      <c r="AG2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30" spans="1:33" x14ac:dyDescent="0.35">
      <c r="A230">
        <v>231</v>
      </c>
      <c r="B230" s="1"/>
      <c r="C230">
        <v>0</v>
      </c>
      <c r="D230" s="1"/>
      <c r="E230" s="1"/>
      <c r="F230" s="1" t="s">
        <v>30</v>
      </c>
      <c r="G230" s="1" t="s">
        <v>951</v>
      </c>
      <c r="H230" s="1" t="s">
        <v>952</v>
      </c>
      <c r="I230" s="1"/>
      <c r="J230" s="1" t="s">
        <v>953</v>
      </c>
      <c r="K230" s="1"/>
      <c r="L230" s="1"/>
      <c r="M230" s="1" t="s">
        <v>34</v>
      </c>
      <c r="N230" s="1" t="s">
        <v>192</v>
      </c>
      <c r="O230" s="1" t="s">
        <v>193</v>
      </c>
      <c r="P230" s="1" t="s">
        <v>164</v>
      </c>
      <c r="Q230" s="1"/>
      <c r="R230" s="2">
        <v>43867</v>
      </c>
      <c r="S230" s="1"/>
      <c r="W230" s="1" t="s">
        <v>38</v>
      </c>
      <c r="X230" s="2">
        <v>43873</v>
      </c>
      <c r="Y230" s="2">
        <v>43868</v>
      </c>
      <c r="Z230" s="2">
        <v>43868</v>
      </c>
      <c r="AA230" s="2"/>
      <c r="AB230" s="2">
        <v>43867</v>
      </c>
      <c r="AC230" s="1"/>
      <c r="AD230">
        <v>1</v>
      </c>
      <c r="AE230">
        <v>357</v>
      </c>
      <c r="AG2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1" spans="1:33" x14ac:dyDescent="0.35">
      <c r="A231">
        <v>232</v>
      </c>
      <c r="B231" s="1"/>
      <c r="C231">
        <v>0</v>
      </c>
      <c r="D231" s="1" t="s">
        <v>206</v>
      </c>
      <c r="E231" s="1" t="s">
        <v>954</v>
      </c>
      <c r="F231" s="1" t="s">
        <v>30</v>
      </c>
      <c r="G231" s="1" t="s">
        <v>955</v>
      </c>
      <c r="H231" s="1" t="s">
        <v>956</v>
      </c>
      <c r="I231" s="1" t="s">
        <v>957</v>
      </c>
      <c r="J231" s="1" t="s">
        <v>958</v>
      </c>
      <c r="K231" s="1"/>
      <c r="L231" s="1"/>
      <c r="M231" s="1" t="s">
        <v>34</v>
      </c>
      <c r="N231" s="1" t="s">
        <v>97</v>
      </c>
      <c r="O231" s="1" t="s">
        <v>98</v>
      </c>
      <c r="P231" s="1" t="s">
        <v>37</v>
      </c>
      <c r="Q231" s="1"/>
      <c r="R231" s="2">
        <v>43867</v>
      </c>
      <c r="S231" s="1"/>
      <c r="W231" s="1" t="s">
        <v>38</v>
      </c>
      <c r="X231" s="2">
        <v>43874</v>
      </c>
      <c r="Y231" s="2">
        <v>43885</v>
      </c>
      <c r="Z231" s="2">
        <v>43882</v>
      </c>
      <c r="AA231" s="2">
        <v>43868</v>
      </c>
      <c r="AB231" s="2">
        <v>43867</v>
      </c>
      <c r="AC231" s="1"/>
      <c r="AD231">
        <v>15</v>
      </c>
      <c r="AE231">
        <v>357</v>
      </c>
      <c r="AG2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32" spans="1:33" x14ac:dyDescent="0.35">
      <c r="A232">
        <v>233</v>
      </c>
      <c r="B232" s="1"/>
      <c r="C232">
        <v>0</v>
      </c>
      <c r="D232" s="1"/>
      <c r="E232" s="1" t="s">
        <v>959</v>
      </c>
      <c r="F232" s="1" t="s">
        <v>30</v>
      </c>
      <c r="G232" s="1" t="s">
        <v>960</v>
      </c>
      <c r="H232" s="1" t="s">
        <v>961</v>
      </c>
      <c r="I232" s="1"/>
      <c r="J232" s="1" t="s">
        <v>962</v>
      </c>
      <c r="K232" s="1"/>
      <c r="L232" s="1"/>
      <c r="M232" s="1" t="s">
        <v>34</v>
      </c>
      <c r="N232" s="1" t="s">
        <v>146</v>
      </c>
      <c r="O232" s="1" t="s">
        <v>147</v>
      </c>
      <c r="P232" s="1" t="s">
        <v>379</v>
      </c>
      <c r="Q232" s="1"/>
      <c r="R232" s="2">
        <v>43867</v>
      </c>
      <c r="S232" s="1"/>
      <c r="W232" s="1" t="s">
        <v>38</v>
      </c>
      <c r="X232" s="2">
        <v>43874</v>
      </c>
      <c r="Y232" s="2">
        <v>43873</v>
      </c>
      <c r="Z232" s="2">
        <v>43872</v>
      </c>
      <c r="AA232" s="2">
        <v>43868</v>
      </c>
      <c r="AB232" s="2">
        <v>43867</v>
      </c>
      <c r="AC232" s="1"/>
      <c r="AD232">
        <v>5</v>
      </c>
      <c r="AE232">
        <v>357</v>
      </c>
      <c r="AG2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233" spans="1:33" x14ac:dyDescent="0.35">
      <c r="A233">
        <v>234</v>
      </c>
      <c r="B233" s="1"/>
      <c r="C233">
        <v>0</v>
      </c>
      <c r="D233" s="1"/>
      <c r="E233" s="1" t="s">
        <v>963</v>
      </c>
      <c r="F233" s="1" t="s">
        <v>30</v>
      </c>
      <c r="G233" s="1" t="s">
        <v>964</v>
      </c>
      <c r="H233" s="1" t="s">
        <v>965</v>
      </c>
      <c r="I233" s="1"/>
      <c r="J233" s="1" t="s">
        <v>966</v>
      </c>
      <c r="K233" s="1"/>
      <c r="L233" s="1"/>
      <c r="M233" s="1" t="s">
        <v>34</v>
      </c>
      <c r="N233" s="1" t="s">
        <v>192</v>
      </c>
      <c r="O233" s="1" t="s">
        <v>193</v>
      </c>
      <c r="P233" s="1" t="s">
        <v>37</v>
      </c>
      <c r="Q233" s="1"/>
      <c r="R233" s="2">
        <v>43868</v>
      </c>
      <c r="S233" s="1"/>
      <c r="W233" s="1" t="s">
        <v>38</v>
      </c>
      <c r="X233" s="2">
        <v>43874</v>
      </c>
      <c r="Y233" s="2">
        <v>43879</v>
      </c>
      <c r="Z233" s="2">
        <v>43871</v>
      </c>
      <c r="AA233" s="2">
        <v>43868</v>
      </c>
      <c r="AB233" s="2">
        <v>43868</v>
      </c>
      <c r="AC233" s="1"/>
      <c r="AD233">
        <v>3</v>
      </c>
      <c r="AE233">
        <v>356</v>
      </c>
      <c r="AG2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34" spans="1:33" x14ac:dyDescent="0.35">
      <c r="A234">
        <v>235</v>
      </c>
      <c r="B234" s="1"/>
      <c r="C234">
        <v>0</v>
      </c>
      <c r="D234" s="1"/>
      <c r="E234" s="1"/>
      <c r="F234" s="1" t="s">
        <v>30</v>
      </c>
      <c r="G234" s="1" t="s">
        <v>967</v>
      </c>
      <c r="H234" s="1" t="s">
        <v>968</v>
      </c>
      <c r="I234" s="1"/>
      <c r="J234" s="1" t="s">
        <v>969</v>
      </c>
      <c r="K234" s="1"/>
      <c r="L234" s="1"/>
      <c r="M234" s="1" t="s">
        <v>34</v>
      </c>
      <c r="N234" s="1" t="s">
        <v>192</v>
      </c>
      <c r="O234" s="1" t="s">
        <v>193</v>
      </c>
      <c r="P234" s="1" t="s">
        <v>37</v>
      </c>
      <c r="Q234" s="1"/>
      <c r="R234" s="2">
        <v>43868</v>
      </c>
      <c r="S234" s="1"/>
      <c r="W234" s="1" t="s">
        <v>38</v>
      </c>
      <c r="X234" s="2">
        <v>43875</v>
      </c>
      <c r="Y234" s="2">
        <v>43879</v>
      </c>
      <c r="Z234" s="2">
        <v>43871</v>
      </c>
      <c r="AA234" s="2">
        <v>43868</v>
      </c>
      <c r="AB234" s="2">
        <v>43868</v>
      </c>
      <c r="AC234" s="1"/>
      <c r="AD234">
        <v>3</v>
      </c>
      <c r="AE234">
        <v>356</v>
      </c>
      <c r="AG2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35" spans="1:33" x14ac:dyDescent="0.35">
      <c r="A235">
        <v>236</v>
      </c>
      <c r="B235" s="1"/>
      <c r="C235">
        <v>0</v>
      </c>
      <c r="D235" s="1"/>
      <c r="E235" s="1" t="s">
        <v>970</v>
      </c>
      <c r="F235" s="1" t="s">
        <v>30</v>
      </c>
      <c r="G235" s="1" t="s">
        <v>971</v>
      </c>
      <c r="H235" s="1" t="s">
        <v>972</v>
      </c>
      <c r="I235" s="1"/>
      <c r="J235" s="1" t="s">
        <v>973</v>
      </c>
      <c r="K235" s="1"/>
      <c r="L235" s="1"/>
      <c r="M235" s="1" t="s">
        <v>34</v>
      </c>
      <c r="N235" s="1" t="s">
        <v>146</v>
      </c>
      <c r="O235" s="1" t="s">
        <v>147</v>
      </c>
      <c r="P235" s="1" t="s">
        <v>37</v>
      </c>
      <c r="Q235" s="1"/>
      <c r="R235" s="2">
        <v>43868</v>
      </c>
      <c r="S235" s="1"/>
      <c r="W235" s="1" t="s">
        <v>38</v>
      </c>
      <c r="X235" s="2">
        <v>43875</v>
      </c>
      <c r="Y235" s="2">
        <v>43880</v>
      </c>
      <c r="Z235" s="2">
        <v>43879</v>
      </c>
      <c r="AA235" s="2">
        <v>43875</v>
      </c>
      <c r="AB235" s="2">
        <v>43868</v>
      </c>
      <c r="AC235" s="1"/>
      <c r="AD235">
        <v>11</v>
      </c>
      <c r="AE235">
        <v>356</v>
      </c>
      <c r="AG2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36" spans="1:33" x14ac:dyDescent="0.35">
      <c r="A236">
        <v>237</v>
      </c>
      <c r="B236" s="1"/>
      <c r="C236">
        <v>0</v>
      </c>
      <c r="D236" s="1"/>
      <c r="E236" s="1"/>
      <c r="F236" s="1" t="s">
        <v>30</v>
      </c>
      <c r="G236" s="1" t="s">
        <v>974</v>
      </c>
      <c r="H236" s="1" t="s">
        <v>975</v>
      </c>
      <c r="I236" s="1"/>
      <c r="J236" s="1" t="s">
        <v>976</v>
      </c>
      <c r="K236" s="1"/>
      <c r="L236" s="1"/>
      <c r="M236" s="1" t="s">
        <v>34</v>
      </c>
      <c r="N236" s="1" t="s">
        <v>341</v>
      </c>
      <c r="O236" s="1" t="s">
        <v>62</v>
      </c>
      <c r="P236" s="1" t="s">
        <v>37</v>
      </c>
      <c r="Q236" s="1"/>
      <c r="R236" s="2">
        <v>43871</v>
      </c>
      <c r="S236" s="1"/>
      <c r="W236" s="1" t="s">
        <v>38</v>
      </c>
      <c r="X236" s="2">
        <v>43878</v>
      </c>
      <c r="Y236" s="2">
        <v>43881</v>
      </c>
      <c r="Z236" s="2">
        <v>43880</v>
      </c>
      <c r="AA236" s="2">
        <v>43878</v>
      </c>
      <c r="AB236" s="2">
        <v>43871</v>
      </c>
      <c r="AC236" s="1"/>
      <c r="AD236">
        <v>9</v>
      </c>
      <c r="AE236">
        <v>353</v>
      </c>
      <c r="AG2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37" spans="1:33" x14ac:dyDescent="0.35">
      <c r="A237">
        <v>238</v>
      </c>
      <c r="B237" s="1"/>
      <c r="C237">
        <v>0</v>
      </c>
      <c r="D237" s="1"/>
      <c r="E237" s="1"/>
      <c r="F237" s="1" t="s">
        <v>30</v>
      </c>
      <c r="G237" s="1" t="s">
        <v>977</v>
      </c>
      <c r="H237" s="1" t="s">
        <v>978</v>
      </c>
      <c r="I237" s="1"/>
      <c r="J237" s="1" t="s">
        <v>979</v>
      </c>
      <c r="K237" s="1"/>
      <c r="L237" s="1"/>
      <c r="M237" s="1" t="s">
        <v>34</v>
      </c>
      <c r="N237" s="1" t="s">
        <v>341</v>
      </c>
      <c r="O237" s="1" t="s">
        <v>62</v>
      </c>
      <c r="P237" s="1" t="s">
        <v>37</v>
      </c>
      <c r="Q237" s="1"/>
      <c r="R237" s="2">
        <v>43882</v>
      </c>
      <c r="S237" s="1"/>
      <c r="W237" s="1" t="s">
        <v>38</v>
      </c>
      <c r="X237" s="2">
        <v>43878</v>
      </c>
      <c r="Y237" s="2">
        <v>43889</v>
      </c>
      <c r="Z237" s="2">
        <v>43889</v>
      </c>
      <c r="AA237" s="2">
        <v>43872</v>
      </c>
      <c r="AB237" s="2">
        <v>43871</v>
      </c>
      <c r="AC237" s="1"/>
      <c r="AD237">
        <v>18</v>
      </c>
      <c r="AE237">
        <v>353</v>
      </c>
      <c r="AG2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238" spans="1:33" x14ac:dyDescent="0.35">
      <c r="A238">
        <v>239</v>
      </c>
      <c r="B238" s="1"/>
      <c r="C238">
        <v>0</v>
      </c>
      <c r="D238" s="1"/>
      <c r="E238" s="1"/>
      <c r="F238" s="1" t="s">
        <v>30</v>
      </c>
      <c r="G238" s="1" t="s">
        <v>980</v>
      </c>
      <c r="H238" s="1" t="s">
        <v>981</v>
      </c>
      <c r="I238" s="1"/>
      <c r="J238" s="1" t="s">
        <v>982</v>
      </c>
      <c r="K238" s="1"/>
      <c r="L238" s="1"/>
      <c r="M238" s="1" t="s">
        <v>34</v>
      </c>
      <c r="N238" s="1" t="s">
        <v>341</v>
      </c>
      <c r="O238" s="1" t="s">
        <v>62</v>
      </c>
      <c r="P238" s="1" t="s">
        <v>37</v>
      </c>
      <c r="Q238" s="1"/>
      <c r="R238" s="2">
        <v>43871</v>
      </c>
      <c r="S238" s="1"/>
      <c r="W238" s="1" t="s">
        <v>38</v>
      </c>
      <c r="X238" s="2">
        <v>43878</v>
      </c>
      <c r="Y238" s="2">
        <v>43881</v>
      </c>
      <c r="Z238" s="2"/>
      <c r="AA238" s="2">
        <v>43878</v>
      </c>
      <c r="AB238" s="2">
        <v>43871</v>
      </c>
      <c r="AC238" s="1"/>
      <c r="AE238">
        <v>353</v>
      </c>
      <c r="AG2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9" spans="1:33" x14ac:dyDescent="0.35">
      <c r="A239">
        <v>240</v>
      </c>
      <c r="B239" s="1"/>
      <c r="C239">
        <v>0</v>
      </c>
      <c r="D239" s="1" t="s">
        <v>983</v>
      </c>
      <c r="E239" s="1"/>
      <c r="F239" s="1" t="s">
        <v>30</v>
      </c>
      <c r="G239" s="1" t="s">
        <v>984</v>
      </c>
      <c r="H239" s="1" t="s">
        <v>985</v>
      </c>
      <c r="I239" s="1"/>
      <c r="J239" s="1" t="s">
        <v>986</v>
      </c>
      <c r="K239" s="1"/>
      <c r="L239" s="1"/>
      <c r="M239" s="1" t="s">
        <v>197</v>
      </c>
      <c r="N239" s="1" t="s">
        <v>245</v>
      </c>
      <c r="O239" s="1" t="s">
        <v>147</v>
      </c>
      <c r="P239" s="1" t="s">
        <v>379</v>
      </c>
      <c r="Q239" s="1"/>
      <c r="R239" s="2">
        <v>43871</v>
      </c>
      <c r="S239" s="1"/>
      <c r="W239" s="1" t="s">
        <v>38</v>
      </c>
      <c r="X239" s="2">
        <v>43874</v>
      </c>
      <c r="Y239" s="2">
        <v>43885</v>
      </c>
      <c r="Z239" s="2">
        <v>43882</v>
      </c>
      <c r="AA239" s="2">
        <v>43879</v>
      </c>
      <c r="AB239" s="2">
        <v>43871</v>
      </c>
      <c r="AC239" s="1"/>
      <c r="AD239">
        <v>11</v>
      </c>
      <c r="AE239">
        <v>353</v>
      </c>
      <c r="AG2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40" spans="1:33" x14ac:dyDescent="0.35">
      <c r="A240">
        <v>241</v>
      </c>
      <c r="B240" s="1"/>
      <c r="C240">
        <v>0</v>
      </c>
      <c r="D240" s="1" t="s">
        <v>111</v>
      </c>
      <c r="E240" s="1"/>
      <c r="F240" s="1" t="s">
        <v>30</v>
      </c>
      <c r="G240" s="1" t="s">
        <v>987</v>
      </c>
      <c r="H240" s="1" t="s">
        <v>988</v>
      </c>
      <c r="I240" s="1" t="s">
        <v>989</v>
      </c>
      <c r="J240" s="1" t="s">
        <v>990</v>
      </c>
      <c r="K240" s="1"/>
      <c r="L240" s="1"/>
      <c r="M240" s="1" t="s">
        <v>34</v>
      </c>
      <c r="N240" s="1" t="s">
        <v>97</v>
      </c>
      <c r="O240" s="1" t="s">
        <v>98</v>
      </c>
      <c r="P240" s="1" t="s">
        <v>99</v>
      </c>
      <c r="Q240" s="1"/>
      <c r="R240" s="2">
        <v>43871</v>
      </c>
      <c r="S240" s="1"/>
      <c r="W240" s="1" t="s">
        <v>38</v>
      </c>
      <c r="X240" s="2">
        <v>43878</v>
      </c>
      <c r="Y240" s="2">
        <v>43908</v>
      </c>
      <c r="Z240" s="2">
        <v>43904</v>
      </c>
      <c r="AA240" s="2">
        <v>43874</v>
      </c>
      <c r="AB240" s="2">
        <v>43871</v>
      </c>
      <c r="AC240" s="1"/>
      <c r="AD240">
        <v>33</v>
      </c>
      <c r="AE240">
        <v>353</v>
      </c>
      <c r="AG2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241" spans="1:33" x14ac:dyDescent="0.35">
      <c r="A241">
        <v>242</v>
      </c>
      <c r="B241" s="1"/>
      <c r="C241">
        <v>0</v>
      </c>
      <c r="D241" s="1" t="s">
        <v>111</v>
      </c>
      <c r="E241" s="1" t="s">
        <v>991</v>
      </c>
      <c r="F241" s="1" t="s">
        <v>30</v>
      </c>
      <c r="G241" s="1" t="s">
        <v>992</v>
      </c>
      <c r="H241" s="1" t="s">
        <v>993</v>
      </c>
      <c r="I241" s="1" t="s">
        <v>994</v>
      </c>
      <c r="J241" s="1" t="s">
        <v>995</v>
      </c>
      <c r="K241" s="1"/>
      <c r="L241" s="1"/>
      <c r="M241" s="1" t="s">
        <v>34</v>
      </c>
      <c r="N241" s="1" t="s">
        <v>97</v>
      </c>
      <c r="O241" s="1" t="s">
        <v>98</v>
      </c>
      <c r="P241" s="1" t="s">
        <v>37</v>
      </c>
      <c r="Q241" s="1"/>
      <c r="R241" s="2">
        <v>43871</v>
      </c>
      <c r="S241" s="1"/>
      <c r="W241" s="1" t="s">
        <v>38</v>
      </c>
      <c r="X241" s="2">
        <v>43878</v>
      </c>
      <c r="Y241" s="2">
        <v>43893</v>
      </c>
      <c r="Z241" s="2">
        <v>43889</v>
      </c>
      <c r="AA241" s="2">
        <v>43888</v>
      </c>
      <c r="AB241" s="2">
        <v>43871</v>
      </c>
      <c r="AC241" s="1"/>
      <c r="AD241">
        <v>18</v>
      </c>
      <c r="AE241">
        <v>353</v>
      </c>
      <c r="AG2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242" spans="1:33" x14ac:dyDescent="0.35">
      <c r="A242">
        <v>243</v>
      </c>
      <c r="B242" s="1"/>
      <c r="C242">
        <v>0</v>
      </c>
      <c r="D242" s="1"/>
      <c r="E242" s="1"/>
      <c r="F242" s="1" t="s">
        <v>30</v>
      </c>
      <c r="G242" s="1" t="s">
        <v>996</v>
      </c>
      <c r="H242" s="1" t="s">
        <v>997</v>
      </c>
      <c r="I242" s="1"/>
      <c r="J242" s="1" t="s">
        <v>1440</v>
      </c>
      <c r="K242" s="1"/>
      <c r="L242" s="1"/>
      <c r="M242" s="1" t="s">
        <v>34</v>
      </c>
      <c r="N242" s="1" t="s">
        <v>483</v>
      </c>
      <c r="O242" s="1" t="s">
        <v>484</v>
      </c>
      <c r="P242" s="1" t="s">
        <v>37</v>
      </c>
      <c r="Q242" s="1"/>
      <c r="R242" s="2">
        <v>43871</v>
      </c>
      <c r="S242" s="1"/>
      <c r="W242" s="1" t="s">
        <v>38</v>
      </c>
      <c r="X242" s="2">
        <v>43878</v>
      </c>
      <c r="Y242" s="2">
        <v>43937</v>
      </c>
      <c r="Z242" s="2">
        <v>43935</v>
      </c>
      <c r="AA242" s="2">
        <v>43872</v>
      </c>
      <c r="AB242" s="2">
        <v>43871</v>
      </c>
      <c r="AC242" s="1"/>
      <c r="AD242">
        <v>64</v>
      </c>
      <c r="AE242">
        <v>353</v>
      </c>
      <c r="AG2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64</v>
      </c>
    </row>
    <row r="243" spans="1:33" x14ac:dyDescent="0.35">
      <c r="A243">
        <v>244</v>
      </c>
      <c r="B243" s="1"/>
      <c r="C243">
        <v>0</v>
      </c>
      <c r="D243" s="1"/>
      <c r="E243" s="1"/>
      <c r="F243" s="1" t="s">
        <v>30</v>
      </c>
      <c r="G243" s="1" t="s">
        <v>998</v>
      </c>
      <c r="H243" s="1" t="s">
        <v>999</v>
      </c>
      <c r="I243" s="1"/>
      <c r="J243" s="1" t="s">
        <v>1000</v>
      </c>
      <c r="K243" s="1"/>
      <c r="L243" s="1"/>
      <c r="M243" s="1" t="s">
        <v>34</v>
      </c>
      <c r="N243" s="1" t="s">
        <v>341</v>
      </c>
      <c r="O243" s="1" t="s">
        <v>62</v>
      </c>
      <c r="P243" s="1" t="s">
        <v>37</v>
      </c>
      <c r="Q243" s="1"/>
      <c r="R243" s="2">
        <v>43872</v>
      </c>
      <c r="S243" s="1"/>
      <c r="W243" s="1" t="s">
        <v>38</v>
      </c>
      <c r="X243" s="2">
        <v>43879</v>
      </c>
      <c r="Y243" s="2">
        <v>43900</v>
      </c>
      <c r="Z243" s="2">
        <v>43899</v>
      </c>
      <c r="AA243" s="2">
        <v>43886</v>
      </c>
      <c r="AB243" s="2">
        <v>43872</v>
      </c>
      <c r="AC243" s="1"/>
      <c r="AD243">
        <v>27</v>
      </c>
      <c r="AE243">
        <v>352</v>
      </c>
      <c r="AG2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244" spans="1:33" x14ac:dyDescent="0.35">
      <c r="A244">
        <v>245</v>
      </c>
      <c r="B244" s="1"/>
      <c r="C244">
        <v>0</v>
      </c>
      <c r="D244" s="1"/>
      <c r="E244" s="1" t="s">
        <v>1001</v>
      </c>
      <c r="F244" s="1" t="s">
        <v>30</v>
      </c>
      <c r="G244" s="1" t="s">
        <v>1002</v>
      </c>
      <c r="H244" s="1" t="s">
        <v>1003</v>
      </c>
      <c r="I244" s="1"/>
      <c r="J244" s="1" t="s">
        <v>1648</v>
      </c>
      <c r="K244" s="1"/>
      <c r="L244" s="1"/>
      <c r="M244" s="1" t="s">
        <v>34</v>
      </c>
      <c r="N244" s="1" t="s">
        <v>483</v>
      </c>
      <c r="O244" s="1" t="s">
        <v>484</v>
      </c>
      <c r="P244" s="1" t="s">
        <v>37</v>
      </c>
      <c r="Q244" s="1"/>
      <c r="R244" s="2">
        <v>43872</v>
      </c>
      <c r="S244" s="1"/>
      <c r="W244" s="1" t="s">
        <v>38</v>
      </c>
      <c r="X244" s="2">
        <v>43879</v>
      </c>
      <c r="Y244" s="2">
        <v>43956</v>
      </c>
      <c r="Z244" s="2">
        <v>43956</v>
      </c>
      <c r="AA244" s="2">
        <v>43873</v>
      </c>
      <c r="AB244" s="2">
        <v>43872</v>
      </c>
      <c r="AC244" s="1"/>
      <c r="AD244">
        <v>84</v>
      </c>
      <c r="AE244">
        <v>352</v>
      </c>
      <c r="AG2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84</v>
      </c>
    </row>
    <row r="245" spans="1:33" x14ac:dyDescent="0.35">
      <c r="A245">
        <v>246</v>
      </c>
      <c r="B245" s="1"/>
      <c r="C245">
        <v>0</v>
      </c>
      <c r="D245" s="1"/>
      <c r="E245" s="1" t="s">
        <v>1004</v>
      </c>
      <c r="F245" s="1" t="s">
        <v>30</v>
      </c>
      <c r="G245" s="1" t="s">
        <v>1005</v>
      </c>
      <c r="H245" s="1" t="s">
        <v>1006</v>
      </c>
      <c r="I245" s="1" t="s">
        <v>1007</v>
      </c>
      <c r="J245" s="1" t="s">
        <v>1008</v>
      </c>
      <c r="K245" s="1"/>
      <c r="L245" s="1"/>
      <c r="M245" s="1" t="s">
        <v>34</v>
      </c>
      <c r="N245" s="1" t="s">
        <v>378</v>
      </c>
      <c r="O245" s="1" t="s">
        <v>147</v>
      </c>
      <c r="P245" s="1" t="s">
        <v>379</v>
      </c>
      <c r="Q245" s="1"/>
      <c r="R245" s="2">
        <v>43872</v>
      </c>
      <c r="S245" s="1"/>
      <c r="W245" s="1" t="s">
        <v>38</v>
      </c>
      <c r="X245" s="2">
        <v>43879</v>
      </c>
      <c r="Y245" s="2">
        <v>43881</v>
      </c>
      <c r="Z245" s="2">
        <v>43881</v>
      </c>
      <c r="AA245" s="2">
        <v>43879</v>
      </c>
      <c r="AB245" s="2">
        <v>43872</v>
      </c>
      <c r="AC245" s="1"/>
      <c r="AD245">
        <v>9</v>
      </c>
      <c r="AE245">
        <v>352</v>
      </c>
      <c r="AG2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46" spans="1:33" x14ac:dyDescent="0.35">
      <c r="A246">
        <v>247</v>
      </c>
      <c r="B246" s="1"/>
      <c r="C246">
        <v>0</v>
      </c>
      <c r="D246" s="1"/>
      <c r="E246" s="1"/>
      <c r="F246" s="1" t="s">
        <v>30</v>
      </c>
      <c r="G246" s="1" t="s">
        <v>1009</v>
      </c>
      <c r="H246" s="1" t="s">
        <v>1010</v>
      </c>
      <c r="I246" s="1"/>
      <c r="J246" s="1" t="s">
        <v>1011</v>
      </c>
      <c r="K246" s="1"/>
      <c r="L246" s="1"/>
      <c r="M246" s="1" t="s">
        <v>197</v>
      </c>
      <c r="N246" s="1" t="s">
        <v>341</v>
      </c>
      <c r="O246" s="1" t="s">
        <v>62</v>
      </c>
      <c r="P246" s="1" t="s">
        <v>37</v>
      </c>
      <c r="Q246" s="1"/>
      <c r="R246" s="2">
        <v>43874</v>
      </c>
      <c r="S246" s="1"/>
      <c r="W246" s="1" t="s">
        <v>38</v>
      </c>
      <c r="X246" s="2">
        <v>43877</v>
      </c>
      <c r="Y246" s="2">
        <v>43915</v>
      </c>
      <c r="Z246" s="2">
        <v>43910</v>
      </c>
      <c r="AA246" s="2">
        <v>43874</v>
      </c>
      <c r="AB246" s="2">
        <v>43874</v>
      </c>
      <c r="AC246" s="1"/>
      <c r="AD246">
        <v>36</v>
      </c>
      <c r="AE246">
        <v>350</v>
      </c>
      <c r="AG2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247" spans="1:33" x14ac:dyDescent="0.35">
      <c r="A247">
        <v>248</v>
      </c>
      <c r="B247" s="1"/>
      <c r="C247">
        <v>0</v>
      </c>
      <c r="D247" s="1"/>
      <c r="E247" s="1" t="s">
        <v>1012</v>
      </c>
      <c r="F247" s="1" t="s">
        <v>30</v>
      </c>
      <c r="G247" s="1" t="s">
        <v>1013</v>
      </c>
      <c r="H247" s="1" t="s">
        <v>1014</v>
      </c>
      <c r="I247" s="1"/>
      <c r="J247" s="1" t="s">
        <v>1015</v>
      </c>
      <c r="K247" s="1"/>
      <c r="L247" s="1"/>
      <c r="M247" s="1" t="s">
        <v>197</v>
      </c>
      <c r="N247" s="1" t="s">
        <v>43</v>
      </c>
      <c r="O247" s="1" t="s">
        <v>44</v>
      </c>
      <c r="P247" s="1" t="s">
        <v>37</v>
      </c>
      <c r="Q247" s="1"/>
      <c r="R247" s="2">
        <v>43874</v>
      </c>
      <c r="S247" s="1"/>
      <c r="W247" s="1" t="s">
        <v>38</v>
      </c>
      <c r="X247" s="2">
        <v>43877</v>
      </c>
      <c r="Y247" s="2">
        <v>43909</v>
      </c>
      <c r="Z247" s="2">
        <v>43908</v>
      </c>
      <c r="AA247" s="2"/>
      <c r="AB247" s="2">
        <v>43874</v>
      </c>
      <c r="AC247" s="1"/>
      <c r="AD247">
        <v>34</v>
      </c>
      <c r="AE247">
        <v>350</v>
      </c>
      <c r="AG2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248" spans="1:33" x14ac:dyDescent="0.35">
      <c r="A248">
        <v>249</v>
      </c>
      <c r="B248" s="1"/>
      <c r="C248">
        <v>0</v>
      </c>
      <c r="D248" s="1"/>
      <c r="E248" s="1" t="s">
        <v>1016</v>
      </c>
      <c r="F248" s="1" t="s">
        <v>30</v>
      </c>
      <c r="G248" s="1" t="s">
        <v>1017</v>
      </c>
      <c r="H248" s="1" t="s">
        <v>1018</v>
      </c>
      <c r="I248" s="1"/>
      <c r="J248" s="1" t="s">
        <v>1441</v>
      </c>
      <c r="K248" s="1"/>
      <c r="L248" s="1"/>
      <c r="M248" s="1" t="s">
        <v>34</v>
      </c>
      <c r="N248" s="1" t="s">
        <v>483</v>
      </c>
      <c r="O248" s="1" t="s">
        <v>484</v>
      </c>
      <c r="P248" s="1" t="s">
        <v>37</v>
      </c>
      <c r="Q248" s="1"/>
      <c r="R248" s="2">
        <v>43874</v>
      </c>
      <c r="S248" s="1"/>
      <c r="W248" s="1" t="s">
        <v>38</v>
      </c>
      <c r="X248" s="2">
        <v>43881</v>
      </c>
      <c r="Y248" s="2">
        <v>43937</v>
      </c>
      <c r="Z248" s="2">
        <v>43935</v>
      </c>
      <c r="AA248" s="2">
        <v>43875</v>
      </c>
      <c r="AB248" s="2">
        <v>43874</v>
      </c>
      <c r="AC248" s="1"/>
      <c r="AD248">
        <v>61</v>
      </c>
      <c r="AE248">
        <v>350</v>
      </c>
      <c r="AG2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61</v>
      </c>
    </row>
    <row r="249" spans="1:33" x14ac:dyDescent="0.35">
      <c r="A249">
        <v>250</v>
      </c>
      <c r="B249" s="1"/>
      <c r="C249">
        <v>0</v>
      </c>
      <c r="D249" s="1" t="s">
        <v>206</v>
      </c>
      <c r="E249" s="1" t="s">
        <v>1019</v>
      </c>
      <c r="F249" s="1" t="s">
        <v>30</v>
      </c>
      <c r="G249" s="1" t="s">
        <v>1020</v>
      </c>
      <c r="H249" s="1" t="s">
        <v>1021</v>
      </c>
      <c r="I249" s="1" t="s">
        <v>1022</v>
      </c>
      <c r="J249" s="1" t="s">
        <v>1023</v>
      </c>
      <c r="K249" s="1"/>
      <c r="L249" s="1"/>
      <c r="M249" s="1" t="s">
        <v>34</v>
      </c>
      <c r="N249" s="1" t="s">
        <v>97</v>
      </c>
      <c r="O249" s="1" t="s">
        <v>98</v>
      </c>
      <c r="P249" s="1" t="s">
        <v>99</v>
      </c>
      <c r="Q249" s="1"/>
      <c r="R249" s="2">
        <v>43874</v>
      </c>
      <c r="S249" s="1"/>
      <c r="W249" s="1" t="s">
        <v>38</v>
      </c>
      <c r="X249" s="2">
        <v>43881</v>
      </c>
      <c r="Y249" s="2">
        <v>43908</v>
      </c>
      <c r="Z249" s="2">
        <v>43904</v>
      </c>
      <c r="AA249" s="2">
        <v>43879</v>
      </c>
      <c r="AB249" s="2">
        <v>43874</v>
      </c>
      <c r="AC249" s="1"/>
      <c r="AD249">
        <v>30</v>
      </c>
      <c r="AE249">
        <v>350</v>
      </c>
      <c r="AG2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250" spans="1:33" x14ac:dyDescent="0.35">
      <c r="A250">
        <v>251</v>
      </c>
      <c r="B250" s="1"/>
      <c r="C250">
        <v>0</v>
      </c>
      <c r="D250" s="1" t="s">
        <v>206</v>
      </c>
      <c r="E250" s="1" t="s">
        <v>1024</v>
      </c>
      <c r="F250" s="1" t="s">
        <v>30</v>
      </c>
      <c r="G250" s="1" t="s">
        <v>1025</v>
      </c>
      <c r="H250" s="1" t="s">
        <v>1026</v>
      </c>
      <c r="I250" s="1" t="s">
        <v>1027</v>
      </c>
      <c r="J250" s="1" t="s">
        <v>1028</v>
      </c>
      <c r="K250" s="1"/>
      <c r="L250" s="1"/>
      <c r="M250" s="1" t="s">
        <v>34</v>
      </c>
      <c r="N250" s="1" t="s">
        <v>97</v>
      </c>
      <c r="O250" s="1" t="s">
        <v>98</v>
      </c>
      <c r="P250" s="1" t="s">
        <v>99</v>
      </c>
      <c r="Q250" s="1"/>
      <c r="R250" s="2">
        <v>43874</v>
      </c>
      <c r="S250" s="1"/>
      <c r="W250" s="1" t="s">
        <v>38</v>
      </c>
      <c r="X250" s="2">
        <v>43881</v>
      </c>
      <c r="Y250" s="2">
        <v>43908</v>
      </c>
      <c r="Z250" s="2">
        <v>43904</v>
      </c>
      <c r="AA250" s="2">
        <v>43879</v>
      </c>
      <c r="AB250" s="2">
        <v>43874</v>
      </c>
      <c r="AC250" s="1"/>
      <c r="AD250">
        <v>30</v>
      </c>
      <c r="AE250">
        <v>350</v>
      </c>
      <c r="AG2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251" spans="1:33" x14ac:dyDescent="0.35">
      <c r="A251">
        <v>252</v>
      </c>
      <c r="B251" s="1"/>
      <c r="C251">
        <v>0</v>
      </c>
      <c r="D251" s="1"/>
      <c r="E251" s="1"/>
      <c r="F251" s="1" t="s">
        <v>30</v>
      </c>
      <c r="G251" s="1" t="s">
        <v>1029</v>
      </c>
      <c r="H251" s="1" t="s">
        <v>1030</v>
      </c>
      <c r="I251" s="1"/>
      <c r="J251" s="1" t="s">
        <v>1031</v>
      </c>
      <c r="K251" s="1"/>
      <c r="L251" s="1"/>
      <c r="M251" s="1" t="s">
        <v>34</v>
      </c>
      <c r="N251" s="1" t="s">
        <v>43</v>
      </c>
      <c r="O251" s="1" t="s">
        <v>44</v>
      </c>
      <c r="P251" s="1" t="s">
        <v>37</v>
      </c>
      <c r="Q251" s="1"/>
      <c r="R251" s="2">
        <v>43875</v>
      </c>
      <c r="S251" s="1"/>
      <c r="W251" s="1" t="s">
        <v>38</v>
      </c>
      <c r="X251" s="2">
        <v>43881</v>
      </c>
      <c r="Y251" s="2">
        <v>43879</v>
      </c>
      <c r="Z251" s="2">
        <v>43875</v>
      </c>
      <c r="AA251" s="2"/>
      <c r="AB251" s="2">
        <v>43875</v>
      </c>
      <c r="AC251" s="1"/>
      <c r="AD251">
        <v>0</v>
      </c>
      <c r="AE251">
        <v>349</v>
      </c>
      <c r="AG2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2" spans="1:33" x14ac:dyDescent="0.35">
      <c r="A252">
        <v>253</v>
      </c>
      <c r="B252" s="1"/>
      <c r="C252">
        <v>0</v>
      </c>
      <c r="D252" s="1"/>
      <c r="E252" s="1"/>
      <c r="F252" s="1" t="s">
        <v>30</v>
      </c>
      <c r="G252" s="1" t="s">
        <v>1032</v>
      </c>
      <c r="H252" s="1" t="s">
        <v>1033</v>
      </c>
      <c r="I252" s="1"/>
      <c r="J252" s="1" t="s">
        <v>2451</v>
      </c>
      <c r="K252" s="1"/>
      <c r="L252" s="1"/>
      <c r="M252" s="1" t="s">
        <v>197</v>
      </c>
      <c r="N252" s="1" t="s">
        <v>483</v>
      </c>
      <c r="O252" s="1" t="s">
        <v>484</v>
      </c>
      <c r="P252" s="1" t="s">
        <v>116</v>
      </c>
      <c r="Q252" s="1"/>
      <c r="R252" s="2">
        <v>44168</v>
      </c>
      <c r="S252" s="1"/>
      <c r="W252" s="1" t="s">
        <v>38</v>
      </c>
      <c r="X252" s="2">
        <v>44171</v>
      </c>
      <c r="Y252" s="2">
        <v>44182</v>
      </c>
      <c r="Z252" s="2">
        <v>44176</v>
      </c>
      <c r="AA252" s="2">
        <v>44168</v>
      </c>
      <c r="AB252" s="2">
        <v>43875</v>
      </c>
      <c r="AC252" s="1"/>
      <c r="AD252">
        <v>301</v>
      </c>
      <c r="AE252">
        <v>349</v>
      </c>
      <c r="AG2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301</v>
      </c>
    </row>
    <row r="253" spans="1:33" x14ac:dyDescent="0.35">
      <c r="A253">
        <v>254</v>
      </c>
      <c r="B253" s="1"/>
      <c r="C253">
        <v>0</v>
      </c>
      <c r="D253" s="1"/>
      <c r="E253" s="1"/>
      <c r="F253" s="1" t="s">
        <v>30</v>
      </c>
      <c r="G253" s="1" t="s">
        <v>1034</v>
      </c>
      <c r="H253" s="1" t="s">
        <v>1035</v>
      </c>
      <c r="I253" s="1"/>
      <c r="J253" s="1" t="s">
        <v>1036</v>
      </c>
      <c r="K253" s="1"/>
      <c r="L253" s="1"/>
      <c r="M253" s="1" t="s">
        <v>197</v>
      </c>
      <c r="N253" s="1" t="s">
        <v>341</v>
      </c>
      <c r="O253" s="1" t="s">
        <v>62</v>
      </c>
      <c r="P253" s="1" t="s">
        <v>37</v>
      </c>
      <c r="Q253" s="1"/>
      <c r="R253" s="2">
        <v>43878</v>
      </c>
      <c r="S253" s="1"/>
      <c r="W253" s="1" t="s">
        <v>38</v>
      </c>
      <c r="X253" s="2">
        <v>43883</v>
      </c>
      <c r="Y253" s="2">
        <v>43881</v>
      </c>
      <c r="Z253" s="2"/>
      <c r="AA253" s="2">
        <v>43880</v>
      </c>
      <c r="AB253" s="2">
        <v>43878</v>
      </c>
      <c r="AC253" s="1"/>
      <c r="AE253">
        <v>346</v>
      </c>
      <c r="AG2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4" spans="1:33" x14ac:dyDescent="0.35">
      <c r="A254">
        <v>255</v>
      </c>
      <c r="B254" s="1"/>
      <c r="C254">
        <v>0</v>
      </c>
      <c r="D254" s="1"/>
      <c r="E254" s="1"/>
      <c r="F254" s="1" t="s">
        <v>30</v>
      </c>
      <c r="G254" s="1" t="s">
        <v>1037</v>
      </c>
      <c r="H254" s="1" t="s">
        <v>1038</v>
      </c>
      <c r="I254" s="1"/>
      <c r="J254" s="1" t="s">
        <v>2398</v>
      </c>
      <c r="K254" s="1"/>
      <c r="L254" s="1"/>
      <c r="M254" s="1" t="s">
        <v>34</v>
      </c>
      <c r="N254" s="1" t="s">
        <v>79</v>
      </c>
      <c r="O254" s="1" t="s">
        <v>80</v>
      </c>
      <c r="P254" s="1" t="s">
        <v>37</v>
      </c>
      <c r="Q254" s="1"/>
      <c r="R254" s="2">
        <v>43878</v>
      </c>
      <c r="S254" s="1"/>
      <c r="W254" s="1" t="s">
        <v>38</v>
      </c>
      <c r="X254" s="2">
        <v>43885</v>
      </c>
      <c r="Y254" s="2">
        <v>43895</v>
      </c>
      <c r="Z254" s="2">
        <v>43886</v>
      </c>
      <c r="AA254" s="2">
        <v>43878</v>
      </c>
      <c r="AB254" s="2">
        <v>43878</v>
      </c>
      <c r="AC254" s="1"/>
      <c r="AD254">
        <v>8</v>
      </c>
      <c r="AE254">
        <v>346</v>
      </c>
      <c r="AG2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55" spans="1:33" x14ac:dyDescent="0.35">
      <c r="A255">
        <v>256</v>
      </c>
      <c r="B255" s="1"/>
      <c r="C255">
        <v>0</v>
      </c>
      <c r="D255" s="1"/>
      <c r="E255" s="1"/>
      <c r="F255" s="1" t="s">
        <v>30</v>
      </c>
      <c r="G255" s="1" t="s">
        <v>1039</v>
      </c>
      <c r="H255" s="1" t="s">
        <v>1040</v>
      </c>
      <c r="I255" s="1"/>
      <c r="J255" s="1"/>
      <c r="K255" s="1"/>
      <c r="L255" s="1"/>
      <c r="M255" s="1" t="s">
        <v>34</v>
      </c>
      <c r="N255" s="1" t="s">
        <v>483</v>
      </c>
      <c r="O255" s="1" t="s">
        <v>484</v>
      </c>
      <c r="P255" s="1" t="s">
        <v>164</v>
      </c>
      <c r="Q255" s="1"/>
      <c r="R255" s="2">
        <v>43878</v>
      </c>
      <c r="S255" s="1"/>
      <c r="W255" s="1" t="s">
        <v>38</v>
      </c>
      <c r="X255" s="2">
        <v>43885</v>
      </c>
      <c r="Y255" s="2">
        <v>43879</v>
      </c>
      <c r="Z255" s="2"/>
      <c r="AA255" s="2"/>
      <c r="AB255" s="2">
        <v>43878</v>
      </c>
      <c r="AC255" s="1"/>
      <c r="AE255">
        <v>346</v>
      </c>
      <c r="AG2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6" spans="1:33" x14ac:dyDescent="0.35">
      <c r="A256">
        <v>257</v>
      </c>
      <c r="B256" s="1"/>
      <c r="C256">
        <v>0</v>
      </c>
      <c r="D256" s="1"/>
      <c r="E256" s="1"/>
      <c r="F256" s="1" t="s">
        <v>30</v>
      </c>
      <c r="G256" s="1" t="s">
        <v>1041</v>
      </c>
      <c r="H256" s="1" t="s">
        <v>1042</v>
      </c>
      <c r="I256" s="1"/>
      <c r="J256" s="1"/>
      <c r="K256" s="1"/>
      <c r="L256" s="1"/>
      <c r="M256" s="1" t="s">
        <v>34</v>
      </c>
      <c r="N256" s="1" t="s">
        <v>483</v>
      </c>
      <c r="O256" s="1" t="s">
        <v>484</v>
      </c>
      <c r="P256" s="1" t="s">
        <v>164</v>
      </c>
      <c r="Q256" s="1"/>
      <c r="R256" s="2">
        <v>43878</v>
      </c>
      <c r="S256" s="1"/>
      <c r="W256" s="1" t="s">
        <v>38</v>
      </c>
      <c r="X256" s="2">
        <v>43885</v>
      </c>
      <c r="Y256" s="2">
        <v>43879</v>
      </c>
      <c r="Z256" s="2"/>
      <c r="AA256" s="2"/>
      <c r="AB256" s="2">
        <v>43878</v>
      </c>
      <c r="AC256" s="1"/>
      <c r="AE256">
        <v>346</v>
      </c>
      <c r="AG2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7" spans="1:33" x14ac:dyDescent="0.35">
      <c r="A257">
        <v>258</v>
      </c>
      <c r="B257" s="1"/>
      <c r="C257">
        <v>0</v>
      </c>
      <c r="D257" s="1"/>
      <c r="E257" s="1" t="s">
        <v>1043</v>
      </c>
      <c r="F257" s="1" t="s">
        <v>30</v>
      </c>
      <c r="G257" s="1" t="s">
        <v>1044</v>
      </c>
      <c r="H257" s="1" t="s">
        <v>1045</v>
      </c>
      <c r="I257" s="1"/>
      <c r="J257" s="1" t="s">
        <v>1046</v>
      </c>
      <c r="K257" s="1"/>
      <c r="L257" s="1"/>
      <c r="M257" s="1" t="s">
        <v>197</v>
      </c>
      <c r="N257" s="1" t="s">
        <v>43</v>
      </c>
      <c r="O257" s="1" t="s">
        <v>44</v>
      </c>
      <c r="P257" s="1" t="s">
        <v>37</v>
      </c>
      <c r="Q257" s="1"/>
      <c r="R257" s="2">
        <v>43879</v>
      </c>
      <c r="S257" s="1"/>
      <c r="W257" s="1" t="s">
        <v>38</v>
      </c>
      <c r="X257" s="2">
        <v>43881</v>
      </c>
      <c r="Y257" s="2">
        <v>43881</v>
      </c>
      <c r="Z257" s="2"/>
      <c r="AA257" s="2">
        <v>43881</v>
      </c>
      <c r="AB257" s="2">
        <v>43879</v>
      </c>
      <c r="AC257" s="1"/>
      <c r="AE257">
        <v>345</v>
      </c>
      <c r="AG2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8" spans="1:33" x14ac:dyDescent="0.35">
      <c r="A258">
        <v>259</v>
      </c>
      <c r="B258" s="1"/>
      <c r="C258">
        <v>0</v>
      </c>
      <c r="D258" s="1"/>
      <c r="E258" s="1" t="s">
        <v>1047</v>
      </c>
      <c r="F258" s="1" t="s">
        <v>30</v>
      </c>
      <c r="G258" s="1" t="s">
        <v>1048</v>
      </c>
      <c r="H258" s="1" t="s">
        <v>1049</v>
      </c>
      <c r="I258" s="1"/>
      <c r="J258" s="1" t="s">
        <v>1050</v>
      </c>
      <c r="K258" s="1"/>
      <c r="L258" s="1"/>
      <c r="M258" s="1" t="s">
        <v>197</v>
      </c>
      <c r="N258" s="1" t="s">
        <v>43</v>
      </c>
      <c r="O258" s="1" t="s">
        <v>44</v>
      </c>
      <c r="P258" s="1" t="s">
        <v>37</v>
      </c>
      <c r="Q258" s="1"/>
      <c r="R258" s="2">
        <v>43879</v>
      </c>
      <c r="S258" s="1"/>
      <c r="W258" s="1" t="s">
        <v>38</v>
      </c>
      <c r="X258" s="2">
        <v>43882</v>
      </c>
      <c r="Y258" s="2">
        <v>43916</v>
      </c>
      <c r="Z258" s="2">
        <v>43910</v>
      </c>
      <c r="AA258" s="2"/>
      <c r="AB258" s="2">
        <v>43879</v>
      </c>
      <c r="AC258" s="1"/>
      <c r="AD258">
        <v>31</v>
      </c>
      <c r="AE258">
        <v>345</v>
      </c>
      <c r="AG2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259" spans="1:33" x14ac:dyDescent="0.35">
      <c r="A259">
        <v>260</v>
      </c>
      <c r="B259" s="1"/>
      <c r="C259">
        <v>0</v>
      </c>
      <c r="D259" s="1"/>
      <c r="E259" s="1"/>
      <c r="F259" s="1" t="s">
        <v>30</v>
      </c>
      <c r="G259" s="1" t="s">
        <v>1051</v>
      </c>
      <c r="H259" s="1" t="s">
        <v>1052</v>
      </c>
      <c r="I259" s="1"/>
      <c r="J259" s="1" t="s">
        <v>1896</v>
      </c>
      <c r="K259" s="1"/>
      <c r="L259" s="1"/>
      <c r="M259" s="1" t="s">
        <v>34</v>
      </c>
      <c r="N259" s="1" t="s">
        <v>853</v>
      </c>
      <c r="O259" s="1" t="s">
        <v>854</v>
      </c>
      <c r="P259" s="1" t="s">
        <v>37</v>
      </c>
      <c r="Q259" s="1"/>
      <c r="R259" s="2">
        <v>44011</v>
      </c>
      <c r="S259" s="1"/>
      <c r="W259" s="1" t="s">
        <v>38</v>
      </c>
      <c r="X259" s="2">
        <v>43886</v>
      </c>
      <c r="Y259" s="2">
        <v>44020</v>
      </c>
      <c r="Z259" s="2">
        <v>44019</v>
      </c>
      <c r="AA259" s="2">
        <v>43880</v>
      </c>
      <c r="AB259" s="2">
        <v>43879</v>
      </c>
      <c r="AC259" s="1"/>
      <c r="AD259">
        <v>140</v>
      </c>
      <c r="AE259">
        <v>345</v>
      </c>
      <c r="AG2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140</v>
      </c>
    </row>
    <row r="260" spans="1:33" x14ac:dyDescent="0.35">
      <c r="A260">
        <v>261</v>
      </c>
      <c r="B260" s="1"/>
      <c r="C260">
        <v>0</v>
      </c>
      <c r="D260" s="1" t="s">
        <v>206</v>
      </c>
      <c r="E260" s="1" t="s">
        <v>217</v>
      </c>
      <c r="F260" s="1" t="s">
        <v>30</v>
      </c>
      <c r="G260" s="1" t="s">
        <v>1054</v>
      </c>
      <c r="H260" s="1" t="s">
        <v>1055</v>
      </c>
      <c r="I260" s="1" t="s">
        <v>1056</v>
      </c>
      <c r="J260" s="1" t="s">
        <v>1057</v>
      </c>
      <c r="K260" s="1"/>
      <c r="L260" s="1"/>
      <c r="M260" s="1" t="s">
        <v>34</v>
      </c>
      <c r="N260" s="1" t="s">
        <v>97</v>
      </c>
      <c r="O260" s="1" t="s">
        <v>98</v>
      </c>
      <c r="P260" s="1" t="s">
        <v>99</v>
      </c>
      <c r="Q260" s="1"/>
      <c r="R260" s="2">
        <v>43879</v>
      </c>
      <c r="S260" s="1"/>
      <c r="W260" s="1" t="s">
        <v>38</v>
      </c>
      <c r="X260" s="2">
        <v>43886</v>
      </c>
      <c r="Y260" s="2">
        <v>43908</v>
      </c>
      <c r="Z260" s="2">
        <v>43904</v>
      </c>
      <c r="AA260" s="2">
        <v>43882</v>
      </c>
      <c r="AB260" s="2">
        <v>43879</v>
      </c>
      <c r="AC260" s="1"/>
      <c r="AD260">
        <v>25</v>
      </c>
      <c r="AE260">
        <v>345</v>
      </c>
      <c r="AG2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261" spans="1:33" x14ac:dyDescent="0.35">
      <c r="A261">
        <v>262</v>
      </c>
      <c r="B261" s="1"/>
      <c r="C261">
        <v>0</v>
      </c>
      <c r="D261" s="1"/>
      <c r="E261" s="1" t="s">
        <v>1058</v>
      </c>
      <c r="F261" s="1" t="s">
        <v>30</v>
      </c>
      <c r="G261" s="1" t="s">
        <v>1059</v>
      </c>
      <c r="H261" s="1" t="s">
        <v>1060</v>
      </c>
      <c r="I261" s="1" t="s">
        <v>1061</v>
      </c>
      <c r="J261" s="1" t="s">
        <v>1062</v>
      </c>
      <c r="K261" s="1"/>
      <c r="L261" s="1"/>
      <c r="M261" s="1" t="s">
        <v>34</v>
      </c>
      <c r="N261" s="1" t="s">
        <v>129</v>
      </c>
      <c r="O261" s="1" t="s">
        <v>44</v>
      </c>
      <c r="P261" s="1" t="s">
        <v>37</v>
      </c>
      <c r="Q261" s="1"/>
      <c r="R261" s="2">
        <v>43887</v>
      </c>
      <c r="S261" s="1"/>
      <c r="W261" s="1" t="s">
        <v>38</v>
      </c>
      <c r="X261" s="2">
        <v>43887</v>
      </c>
      <c r="Y261" s="2">
        <v>43892</v>
      </c>
      <c r="Z261" s="2">
        <v>43889</v>
      </c>
      <c r="AA261" s="2">
        <v>43886</v>
      </c>
      <c r="AB261" s="2">
        <v>43880</v>
      </c>
      <c r="AC261" s="1"/>
      <c r="AD261">
        <v>9</v>
      </c>
      <c r="AE261">
        <v>344</v>
      </c>
      <c r="AG2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62" spans="1:33" x14ac:dyDescent="0.35">
      <c r="A262">
        <v>263</v>
      </c>
      <c r="B262" s="1"/>
      <c r="C262">
        <v>0</v>
      </c>
      <c r="D262" s="1"/>
      <c r="E262" s="1"/>
      <c r="F262" s="1" t="s">
        <v>30</v>
      </c>
      <c r="G262" s="1" t="s">
        <v>1063</v>
      </c>
      <c r="H262" s="1" t="s">
        <v>1064</v>
      </c>
      <c r="I262" s="1"/>
      <c r="J262" s="1" t="s">
        <v>1065</v>
      </c>
      <c r="K262" s="1"/>
      <c r="L262" s="1"/>
      <c r="M262" s="1" t="s">
        <v>34</v>
      </c>
      <c r="N262" s="1" t="s">
        <v>129</v>
      </c>
      <c r="O262" s="1" t="s">
        <v>44</v>
      </c>
      <c r="P262" s="1" t="s">
        <v>348</v>
      </c>
      <c r="Q262" s="1" t="s">
        <v>44</v>
      </c>
      <c r="R262" s="2">
        <v>43880</v>
      </c>
      <c r="S262" s="1"/>
      <c r="W262" s="1" t="s">
        <v>38</v>
      </c>
      <c r="X262" s="2">
        <v>43887</v>
      </c>
      <c r="Y262" s="2">
        <v>43908</v>
      </c>
      <c r="Z262" s="2">
        <v>43904</v>
      </c>
      <c r="AA262" s="2">
        <v>43908</v>
      </c>
      <c r="AB262" s="2">
        <v>43880</v>
      </c>
      <c r="AC262" s="1"/>
      <c r="AD262">
        <v>24</v>
      </c>
      <c r="AE262">
        <v>344</v>
      </c>
      <c r="AG2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263" spans="1:33" x14ac:dyDescent="0.35">
      <c r="A263">
        <v>264</v>
      </c>
      <c r="B263" s="1"/>
      <c r="C263">
        <v>0</v>
      </c>
      <c r="D263" s="1"/>
      <c r="E263" s="1"/>
      <c r="F263" s="1" t="s">
        <v>30</v>
      </c>
      <c r="G263" s="1" t="s">
        <v>1066</v>
      </c>
      <c r="H263" s="1" t="s">
        <v>1067</v>
      </c>
      <c r="I263" s="1"/>
      <c r="J263" s="1" t="s">
        <v>1068</v>
      </c>
      <c r="K263" s="1"/>
      <c r="L263" s="1"/>
      <c r="M263" s="1" t="s">
        <v>197</v>
      </c>
      <c r="N263" s="1" t="s">
        <v>585</v>
      </c>
      <c r="O263" s="1" t="s">
        <v>586</v>
      </c>
      <c r="P263" s="1" t="s">
        <v>278</v>
      </c>
      <c r="Q263" s="1"/>
      <c r="R263" s="2">
        <v>43881</v>
      </c>
      <c r="S263" s="1"/>
      <c r="W263" s="1" t="s">
        <v>38</v>
      </c>
      <c r="X263" s="2">
        <v>43884</v>
      </c>
      <c r="Y263" s="2">
        <v>43886</v>
      </c>
      <c r="Z263" s="2">
        <v>43886</v>
      </c>
      <c r="AA263" s="2">
        <v>43886</v>
      </c>
      <c r="AB263" s="2">
        <v>43881</v>
      </c>
      <c r="AC263" s="1"/>
      <c r="AD263">
        <v>5</v>
      </c>
      <c r="AE263">
        <v>343</v>
      </c>
      <c r="AG2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264" spans="1:33" x14ac:dyDescent="0.35">
      <c r="A264">
        <v>265</v>
      </c>
      <c r="B264" s="1"/>
      <c r="C264">
        <v>0</v>
      </c>
      <c r="D264" s="1"/>
      <c r="E264" s="1" t="s">
        <v>1069</v>
      </c>
      <c r="F264" s="1" t="s">
        <v>30</v>
      </c>
      <c r="G264" s="1" t="s">
        <v>1070</v>
      </c>
      <c r="H264" s="1" t="s">
        <v>1071</v>
      </c>
      <c r="I264" s="1"/>
      <c r="J264" s="1" t="s">
        <v>1072</v>
      </c>
      <c r="K264" s="1"/>
      <c r="L264" s="1"/>
      <c r="M264" s="1" t="s">
        <v>34</v>
      </c>
      <c r="N264" s="1" t="s">
        <v>245</v>
      </c>
      <c r="O264" s="1" t="s">
        <v>147</v>
      </c>
      <c r="P264" s="1" t="s">
        <v>379</v>
      </c>
      <c r="Q264" s="1"/>
      <c r="R264" s="2">
        <v>43881</v>
      </c>
      <c r="S264" s="1"/>
      <c r="W264" s="1" t="s">
        <v>38</v>
      </c>
      <c r="X264" s="2">
        <v>43896</v>
      </c>
      <c r="Y264" s="2">
        <v>43894</v>
      </c>
      <c r="Z264" s="2">
        <v>43894</v>
      </c>
      <c r="AA264" s="2">
        <v>43889</v>
      </c>
      <c r="AB264" s="2">
        <v>43881</v>
      </c>
      <c r="AC264" s="1"/>
      <c r="AD264">
        <v>13</v>
      </c>
      <c r="AE264">
        <v>343</v>
      </c>
      <c r="AG2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65" spans="1:33" x14ac:dyDescent="0.35">
      <c r="A265">
        <v>266</v>
      </c>
      <c r="B265" s="1"/>
      <c r="C265">
        <v>0</v>
      </c>
      <c r="D265" s="1"/>
      <c r="E265" s="1"/>
      <c r="F265" s="1" t="s">
        <v>30</v>
      </c>
      <c r="G265" s="1" t="s">
        <v>1073</v>
      </c>
      <c r="H265" s="1" t="s">
        <v>1074</v>
      </c>
      <c r="I265" s="1"/>
      <c r="J265" s="1" t="s">
        <v>1075</v>
      </c>
      <c r="K265" s="1"/>
      <c r="L265" s="1"/>
      <c r="M265" s="1" t="s">
        <v>197</v>
      </c>
      <c r="N265" s="1" t="s">
        <v>43</v>
      </c>
      <c r="O265" s="1" t="s">
        <v>44</v>
      </c>
      <c r="P265" s="1" t="s">
        <v>37</v>
      </c>
      <c r="Q265" s="1"/>
      <c r="R265" s="2">
        <v>43882</v>
      </c>
      <c r="S265" s="1"/>
      <c r="W265" s="1" t="s">
        <v>38</v>
      </c>
      <c r="X265" s="2">
        <v>43890</v>
      </c>
      <c r="Y265" s="2">
        <v>43894</v>
      </c>
      <c r="Z265" s="2">
        <v>43894</v>
      </c>
      <c r="AA265" s="2">
        <v>43893</v>
      </c>
      <c r="AB265" s="2">
        <v>43882</v>
      </c>
      <c r="AC265" s="1"/>
      <c r="AD265">
        <v>12</v>
      </c>
      <c r="AE265">
        <v>342</v>
      </c>
      <c r="AG2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266" spans="1:33" x14ac:dyDescent="0.35">
      <c r="A266">
        <v>267</v>
      </c>
      <c r="B266" s="1"/>
      <c r="C266">
        <v>0</v>
      </c>
      <c r="D266" s="1"/>
      <c r="E266" s="1"/>
      <c r="F266" s="1" t="s">
        <v>30</v>
      </c>
      <c r="G266" s="1" t="s">
        <v>1076</v>
      </c>
      <c r="H266" s="1" t="s">
        <v>1077</v>
      </c>
      <c r="I266" s="1"/>
      <c r="J266" s="1" t="s">
        <v>1078</v>
      </c>
      <c r="K266" s="1"/>
      <c r="L266" s="1"/>
      <c r="M266" s="1" t="s">
        <v>34</v>
      </c>
      <c r="N266" s="1" t="s">
        <v>129</v>
      </c>
      <c r="O266" s="1" t="s">
        <v>44</v>
      </c>
      <c r="P266" s="1" t="s">
        <v>37</v>
      </c>
      <c r="Q266" s="1"/>
      <c r="R266" s="2">
        <v>43882</v>
      </c>
      <c r="S266" s="1"/>
      <c r="W266" s="1" t="s">
        <v>38</v>
      </c>
      <c r="X266" s="2">
        <v>43889</v>
      </c>
      <c r="Y266" s="2">
        <v>43902</v>
      </c>
      <c r="Z266" s="2">
        <v>43901</v>
      </c>
      <c r="AA266" s="2"/>
      <c r="AB266" s="2">
        <v>43882</v>
      </c>
      <c r="AC266" s="1"/>
      <c r="AD266">
        <v>19</v>
      </c>
      <c r="AE266">
        <v>342</v>
      </c>
      <c r="AG2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267" spans="1:33" x14ac:dyDescent="0.35">
      <c r="A267">
        <v>268</v>
      </c>
      <c r="B267" s="1"/>
      <c r="C267">
        <v>0</v>
      </c>
      <c r="D267" s="1"/>
      <c r="E267" s="1" t="s">
        <v>689</v>
      </c>
      <c r="F267" s="1" t="s">
        <v>30</v>
      </c>
      <c r="G267" s="1" t="s">
        <v>1079</v>
      </c>
      <c r="H267" s="1" t="s">
        <v>1080</v>
      </c>
      <c r="I267" s="1"/>
      <c r="J267" s="1" t="s">
        <v>1081</v>
      </c>
      <c r="K267" s="1"/>
      <c r="L267" s="1"/>
      <c r="M267" s="1" t="s">
        <v>34</v>
      </c>
      <c r="N267" s="1" t="s">
        <v>43</v>
      </c>
      <c r="O267" s="1" t="s">
        <v>44</v>
      </c>
      <c r="P267" s="1" t="s">
        <v>341</v>
      </c>
      <c r="Q267" s="1" t="s">
        <v>62</v>
      </c>
      <c r="R267" s="2">
        <v>43882</v>
      </c>
      <c r="S267" s="1"/>
      <c r="W267" s="1" t="s">
        <v>38</v>
      </c>
      <c r="X267" s="2">
        <v>43889</v>
      </c>
      <c r="Y267" s="2">
        <v>43913</v>
      </c>
      <c r="Z267" s="2">
        <v>43909</v>
      </c>
      <c r="AA267" s="2">
        <v>43913</v>
      </c>
      <c r="AB267" s="2">
        <v>43882</v>
      </c>
      <c r="AC267" s="1"/>
      <c r="AD267">
        <v>27</v>
      </c>
      <c r="AE267">
        <v>342</v>
      </c>
      <c r="AG2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268" spans="1:33" x14ac:dyDescent="0.35">
      <c r="A268">
        <v>269</v>
      </c>
      <c r="B268" s="1"/>
      <c r="C268">
        <v>0</v>
      </c>
      <c r="D268" s="1"/>
      <c r="E268" s="1"/>
      <c r="F268" s="1" t="s">
        <v>30</v>
      </c>
      <c r="G268" s="1" t="s">
        <v>1082</v>
      </c>
      <c r="H268" s="1" t="s">
        <v>1083</v>
      </c>
      <c r="I268" s="1"/>
      <c r="J268" s="1" t="s">
        <v>1084</v>
      </c>
      <c r="K268" s="1"/>
      <c r="L268" s="1"/>
      <c r="M268" s="1" t="s">
        <v>34</v>
      </c>
      <c r="N268" s="1" t="s">
        <v>43</v>
      </c>
      <c r="O268" s="1" t="s">
        <v>44</v>
      </c>
      <c r="P268" s="1" t="s">
        <v>37</v>
      </c>
      <c r="Q268" s="1"/>
      <c r="R268" s="2">
        <v>43882</v>
      </c>
      <c r="S268" s="1"/>
      <c r="W268" s="1" t="s">
        <v>38</v>
      </c>
      <c r="X268" s="2">
        <v>43889</v>
      </c>
      <c r="Y268" s="2">
        <v>43901</v>
      </c>
      <c r="Z268" s="2">
        <v>43886</v>
      </c>
      <c r="AA268" s="2">
        <v>43886</v>
      </c>
      <c r="AB268" s="2">
        <v>43882</v>
      </c>
      <c r="AC268" s="1"/>
      <c r="AD268">
        <v>4</v>
      </c>
      <c r="AE268">
        <v>342</v>
      </c>
      <c r="AG2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269" spans="1:33" x14ac:dyDescent="0.35">
      <c r="A269">
        <v>270</v>
      </c>
      <c r="B269" s="1"/>
      <c r="C269">
        <v>0</v>
      </c>
      <c r="D269" s="1"/>
      <c r="E269" s="1"/>
      <c r="F269" s="1" t="s">
        <v>30</v>
      </c>
      <c r="G269" s="1" t="s">
        <v>1085</v>
      </c>
      <c r="H269" s="1" t="s">
        <v>1086</v>
      </c>
      <c r="I269" s="1"/>
      <c r="J269" s="1" t="s">
        <v>1087</v>
      </c>
      <c r="K269" s="1"/>
      <c r="L269" s="1"/>
      <c r="M269" s="1" t="s">
        <v>34</v>
      </c>
      <c r="N269" s="1" t="s">
        <v>437</v>
      </c>
      <c r="O269" s="1" t="s">
        <v>44</v>
      </c>
      <c r="P269" s="1" t="s">
        <v>278</v>
      </c>
      <c r="Q269" s="1"/>
      <c r="R269" s="2">
        <v>43882</v>
      </c>
      <c r="S269" s="1"/>
      <c r="W269" s="1" t="s">
        <v>38</v>
      </c>
      <c r="X269" s="2">
        <v>43889</v>
      </c>
      <c r="Y269" s="2">
        <v>43895</v>
      </c>
      <c r="Z269" s="2">
        <v>43888</v>
      </c>
      <c r="AA269" s="2">
        <v>43886</v>
      </c>
      <c r="AB269" s="2">
        <v>43882</v>
      </c>
      <c r="AC269" s="1"/>
      <c r="AD269">
        <v>6</v>
      </c>
      <c r="AE269">
        <v>342</v>
      </c>
      <c r="AG2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270" spans="1:33" x14ac:dyDescent="0.35">
      <c r="A270">
        <v>271</v>
      </c>
      <c r="B270" s="1"/>
      <c r="C270">
        <v>0</v>
      </c>
      <c r="D270" s="1"/>
      <c r="E270" s="1"/>
      <c r="F270" s="1" t="s">
        <v>30</v>
      </c>
      <c r="G270" s="1" t="s">
        <v>1088</v>
      </c>
      <c r="H270" s="1" t="s">
        <v>1089</v>
      </c>
      <c r="I270" s="1"/>
      <c r="J270" s="1" t="s">
        <v>1090</v>
      </c>
      <c r="K270" s="1"/>
      <c r="L270" s="1"/>
      <c r="M270" s="1" t="s">
        <v>34</v>
      </c>
      <c r="N270" s="1" t="s">
        <v>378</v>
      </c>
      <c r="O270" s="1" t="s">
        <v>147</v>
      </c>
      <c r="P270" s="1" t="s">
        <v>37</v>
      </c>
      <c r="Q270" s="1"/>
      <c r="R270" s="2">
        <v>43895</v>
      </c>
      <c r="S270" s="1"/>
      <c r="W270" s="1" t="s">
        <v>38</v>
      </c>
      <c r="X270" s="2">
        <v>43889</v>
      </c>
      <c r="Y270" s="2">
        <v>43909</v>
      </c>
      <c r="Z270" s="2">
        <v>43908</v>
      </c>
      <c r="AA270" s="2">
        <v>43886</v>
      </c>
      <c r="AB270" s="2">
        <v>43882</v>
      </c>
      <c r="AC270" s="1"/>
      <c r="AD270">
        <v>26</v>
      </c>
      <c r="AE270">
        <v>342</v>
      </c>
      <c r="AG2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271" spans="1:33" x14ac:dyDescent="0.35">
      <c r="A271">
        <v>272</v>
      </c>
      <c r="B271" s="1"/>
      <c r="C271">
        <v>0</v>
      </c>
      <c r="D271" s="1" t="s">
        <v>1091</v>
      </c>
      <c r="E271" s="1" t="s">
        <v>1092</v>
      </c>
      <c r="F271" s="1" t="s">
        <v>30</v>
      </c>
      <c r="G271" s="1" t="s">
        <v>1093</v>
      </c>
      <c r="H271" s="1" t="s">
        <v>1094</v>
      </c>
      <c r="I271" s="1" t="s">
        <v>1095</v>
      </c>
      <c r="J271" s="1" t="s">
        <v>1096</v>
      </c>
      <c r="K271" s="1"/>
      <c r="L271" s="1"/>
      <c r="M271" s="1" t="s">
        <v>197</v>
      </c>
      <c r="N271" s="1" t="s">
        <v>97</v>
      </c>
      <c r="O271" s="1" t="s">
        <v>98</v>
      </c>
      <c r="P271" s="1" t="s">
        <v>37</v>
      </c>
      <c r="Q271" s="1"/>
      <c r="R271" s="2">
        <v>43885</v>
      </c>
      <c r="S271" s="1"/>
      <c r="W271" s="1" t="s">
        <v>38</v>
      </c>
      <c r="X271" s="2">
        <v>43888</v>
      </c>
      <c r="Y271" s="2">
        <v>43895</v>
      </c>
      <c r="Z271" s="2"/>
      <c r="AA271" s="2">
        <v>43893</v>
      </c>
      <c r="AB271" s="2">
        <v>43885</v>
      </c>
      <c r="AC271" s="1"/>
      <c r="AE271">
        <v>339</v>
      </c>
      <c r="AG2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2" spans="1:33" x14ac:dyDescent="0.35">
      <c r="A272">
        <v>273</v>
      </c>
      <c r="B272" s="1"/>
      <c r="C272">
        <v>0</v>
      </c>
      <c r="D272" s="1" t="s">
        <v>206</v>
      </c>
      <c r="E272" s="1" t="s">
        <v>1097</v>
      </c>
      <c r="F272" s="1" t="s">
        <v>30</v>
      </c>
      <c r="G272" s="1" t="s">
        <v>1098</v>
      </c>
      <c r="H272" s="1" t="s">
        <v>1099</v>
      </c>
      <c r="I272" s="1" t="s">
        <v>1100</v>
      </c>
      <c r="J272" s="1" t="s">
        <v>1101</v>
      </c>
      <c r="K272" s="1"/>
      <c r="L272" s="1"/>
      <c r="M272" s="1" t="s">
        <v>197</v>
      </c>
      <c r="N272" s="1" t="s">
        <v>97</v>
      </c>
      <c r="O272" s="1" t="s">
        <v>98</v>
      </c>
      <c r="P272" s="1" t="s">
        <v>99</v>
      </c>
      <c r="Q272" s="1"/>
      <c r="R272" s="2">
        <v>43885</v>
      </c>
      <c r="S272" s="1"/>
      <c r="W272" s="1" t="s">
        <v>38</v>
      </c>
      <c r="X272" s="2">
        <v>43888</v>
      </c>
      <c r="Y272" s="2">
        <v>43908</v>
      </c>
      <c r="Z272" s="2">
        <v>43904</v>
      </c>
      <c r="AA272" s="2">
        <v>43886</v>
      </c>
      <c r="AB272" s="2">
        <v>43885</v>
      </c>
      <c r="AC272" s="1"/>
      <c r="AD272">
        <v>19</v>
      </c>
      <c r="AE272">
        <v>339</v>
      </c>
      <c r="AG2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273" spans="1:33" x14ac:dyDescent="0.35">
      <c r="A273">
        <v>274</v>
      </c>
      <c r="B273" s="1"/>
      <c r="C273">
        <v>0</v>
      </c>
      <c r="D273" s="1"/>
      <c r="E273" s="1"/>
      <c r="F273" s="1" t="s">
        <v>30</v>
      </c>
      <c r="G273" s="1" t="s">
        <v>1102</v>
      </c>
      <c r="H273" s="1" t="s">
        <v>1103</v>
      </c>
      <c r="I273" s="1"/>
      <c r="J273" s="1" t="s">
        <v>1104</v>
      </c>
      <c r="K273" s="1"/>
      <c r="L273" s="1"/>
      <c r="M273" s="1" t="s">
        <v>197</v>
      </c>
      <c r="N273" s="1" t="s">
        <v>341</v>
      </c>
      <c r="O273" s="1" t="s">
        <v>62</v>
      </c>
      <c r="P273" s="1" t="s">
        <v>37</v>
      </c>
      <c r="Q273" s="1"/>
      <c r="R273" s="2">
        <v>43885</v>
      </c>
      <c r="S273" s="1"/>
      <c r="W273" s="1" t="s">
        <v>38</v>
      </c>
      <c r="X273" s="2">
        <v>43898</v>
      </c>
      <c r="Y273" s="2">
        <v>43909</v>
      </c>
      <c r="Z273" s="2">
        <v>43908</v>
      </c>
      <c r="AA273" s="2">
        <v>43886</v>
      </c>
      <c r="AB273" s="2">
        <v>43885</v>
      </c>
      <c r="AC273" s="1"/>
      <c r="AD273">
        <v>23</v>
      </c>
      <c r="AE273">
        <v>339</v>
      </c>
      <c r="AG2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274" spans="1:33" x14ac:dyDescent="0.35">
      <c r="A274">
        <v>275</v>
      </c>
      <c r="B274" s="1"/>
      <c r="C274">
        <v>0</v>
      </c>
      <c r="D274" s="1"/>
      <c r="E274" s="1"/>
      <c r="F274" s="1" t="s">
        <v>30</v>
      </c>
      <c r="G274" s="1" t="s">
        <v>1105</v>
      </c>
      <c r="H274" s="1" t="s">
        <v>1106</v>
      </c>
      <c r="I274" s="1"/>
      <c r="J274" s="1" t="s">
        <v>1107</v>
      </c>
      <c r="K274" s="1"/>
      <c r="L274" s="1"/>
      <c r="M274" s="1" t="s">
        <v>34</v>
      </c>
      <c r="N274" s="1" t="s">
        <v>245</v>
      </c>
      <c r="O274" s="1" t="s">
        <v>147</v>
      </c>
      <c r="P274" s="1" t="s">
        <v>37</v>
      </c>
      <c r="Q274" s="1"/>
      <c r="R274" s="2">
        <v>43886</v>
      </c>
      <c r="S274" s="1"/>
      <c r="W274" s="1" t="s">
        <v>38</v>
      </c>
      <c r="X274" s="2">
        <v>43893</v>
      </c>
      <c r="Y274" s="2">
        <v>43893</v>
      </c>
      <c r="Z274" s="2">
        <v>43889</v>
      </c>
      <c r="AA274" s="2">
        <v>43887</v>
      </c>
      <c r="AB274" s="2">
        <v>43886</v>
      </c>
      <c r="AC274" s="1"/>
      <c r="AD274">
        <v>3</v>
      </c>
      <c r="AE274">
        <v>338</v>
      </c>
      <c r="AG2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75" spans="1:33" x14ac:dyDescent="0.35">
      <c r="A275">
        <v>276</v>
      </c>
      <c r="B275" s="1"/>
      <c r="C275">
        <v>0</v>
      </c>
      <c r="D275" s="1"/>
      <c r="E275" s="1"/>
      <c r="F275" s="1" t="s">
        <v>30</v>
      </c>
      <c r="G275" s="1" t="s">
        <v>1108</v>
      </c>
      <c r="H275" s="1" t="s">
        <v>1109</v>
      </c>
      <c r="I275" s="1"/>
      <c r="J275" s="1" t="s">
        <v>1110</v>
      </c>
      <c r="K275" s="1"/>
      <c r="L275" s="1"/>
      <c r="M275" s="1" t="s">
        <v>34</v>
      </c>
      <c r="N275" s="1" t="s">
        <v>341</v>
      </c>
      <c r="O275" s="1" t="s">
        <v>62</v>
      </c>
      <c r="P275" s="1" t="s">
        <v>37</v>
      </c>
      <c r="Q275" s="1"/>
      <c r="R275" s="2">
        <v>43886</v>
      </c>
      <c r="S275" s="1"/>
      <c r="W275" s="1" t="s">
        <v>38</v>
      </c>
      <c r="X275" s="2">
        <v>43893</v>
      </c>
      <c r="Y275" s="2">
        <v>43895</v>
      </c>
      <c r="Z275" s="2"/>
      <c r="AA275" s="2">
        <v>43887</v>
      </c>
      <c r="AB275" s="2">
        <v>43886</v>
      </c>
      <c r="AC275" s="1"/>
      <c r="AE275">
        <v>338</v>
      </c>
      <c r="AG2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6" spans="1:33" x14ac:dyDescent="0.35">
      <c r="A276">
        <v>277</v>
      </c>
      <c r="B276" s="1"/>
      <c r="C276">
        <v>0</v>
      </c>
      <c r="D276" s="1"/>
      <c r="E276" s="1"/>
      <c r="F276" s="1" t="s">
        <v>30</v>
      </c>
      <c r="G276" s="1" t="s">
        <v>1111</v>
      </c>
      <c r="H276" s="1" t="s">
        <v>1112</v>
      </c>
      <c r="I276" s="1"/>
      <c r="J276" s="1" t="s">
        <v>1113</v>
      </c>
      <c r="K276" s="1"/>
      <c r="L276" s="1"/>
      <c r="M276" s="1" t="s">
        <v>197</v>
      </c>
      <c r="N276" s="1" t="s">
        <v>341</v>
      </c>
      <c r="O276" s="1" t="s">
        <v>62</v>
      </c>
      <c r="P276" s="1" t="s">
        <v>37</v>
      </c>
      <c r="Q276" s="1"/>
      <c r="R276" s="2">
        <v>43886</v>
      </c>
      <c r="S276" s="1"/>
      <c r="W276" s="1" t="s">
        <v>38</v>
      </c>
      <c r="X276" s="2">
        <v>43889</v>
      </c>
      <c r="Y276" s="2">
        <v>43902</v>
      </c>
      <c r="Z276" s="2">
        <v>43889</v>
      </c>
      <c r="AA276" s="2">
        <v>43887</v>
      </c>
      <c r="AB276" s="2">
        <v>43886</v>
      </c>
      <c r="AC276" s="1"/>
      <c r="AD276">
        <v>3</v>
      </c>
      <c r="AE276">
        <v>338</v>
      </c>
      <c r="AG2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77" spans="1:33" x14ac:dyDescent="0.35">
      <c r="A277">
        <v>278</v>
      </c>
      <c r="B277" s="1"/>
      <c r="C277">
        <v>0</v>
      </c>
      <c r="D277" s="1"/>
      <c r="E277" s="1"/>
      <c r="F277" s="1" t="s">
        <v>30</v>
      </c>
      <c r="G277" s="1" t="s">
        <v>1114</v>
      </c>
      <c r="H277" s="1" t="s">
        <v>1115</v>
      </c>
      <c r="I277" s="1"/>
      <c r="J277" s="1" t="s">
        <v>1116</v>
      </c>
      <c r="K277" s="1"/>
      <c r="L277" s="1"/>
      <c r="M277" s="1" t="s">
        <v>34</v>
      </c>
      <c r="N277" s="1" t="s">
        <v>43</v>
      </c>
      <c r="O277" s="1" t="s">
        <v>44</v>
      </c>
      <c r="P277" s="1" t="s">
        <v>37</v>
      </c>
      <c r="Q277" s="1"/>
      <c r="R277" s="2">
        <v>43887</v>
      </c>
      <c r="S277" s="1"/>
      <c r="W277" s="1" t="s">
        <v>38</v>
      </c>
      <c r="X277" s="2">
        <v>43893</v>
      </c>
      <c r="Y277" s="2">
        <v>43894</v>
      </c>
      <c r="Z277" s="2">
        <v>43889</v>
      </c>
      <c r="AA277" s="2">
        <v>43887</v>
      </c>
      <c r="AB277" s="2">
        <v>43887</v>
      </c>
      <c r="AC277" s="1"/>
      <c r="AD277">
        <v>2</v>
      </c>
      <c r="AE277">
        <v>337</v>
      </c>
      <c r="AG2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78" spans="1:33" x14ac:dyDescent="0.35">
      <c r="A278">
        <v>279</v>
      </c>
      <c r="B278" s="1"/>
      <c r="C278">
        <v>0</v>
      </c>
      <c r="D278" s="1"/>
      <c r="E278" s="1"/>
      <c r="F278" s="1" t="s">
        <v>30</v>
      </c>
      <c r="G278" s="1" t="s">
        <v>1117</v>
      </c>
      <c r="H278" s="1" t="s">
        <v>1118</v>
      </c>
      <c r="I278" s="1"/>
      <c r="J278" s="1" t="s">
        <v>1119</v>
      </c>
      <c r="K278" s="1"/>
      <c r="L278" s="1"/>
      <c r="M278" s="1" t="s">
        <v>197</v>
      </c>
      <c r="N278" s="1" t="s">
        <v>79</v>
      </c>
      <c r="O278" s="1" t="s">
        <v>80</v>
      </c>
      <c r="P278" s="1" t="s">
        <v>37</v>
      </c>
      <c r="Q278" s="1"/>
      <c r="R278" s="2">
        <v>43887</v>
      </c>
      <c r="S278" s="1"/>
      <c r="W278" s="1" t="s">
        <v>38</v>
      </c>
      <c r="X278" s="2">
        <v>43890</v>
      </c>
      <c r="Y278" s="2">
        <v>43895</v>
      </c>
      <c r="Z278" s="2"/>
      <c r="AA278" s="2">
        <v>43895</v>
      </c>
      <c r="AB278" s="2">
        <v>43887</v>
      </c>
      <c r="AC278" s="1"/>
      <c r="AE278">
        <v>337</v>
      </c>
      <c r="AG2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9" spans="1:33" x14ac:dyDescent="0.35">
      <c r="A279">
        <v>280</v>
      </c>
      <c r="B279" s="1"/>
      <c r="C279">
        <v>0</v>
      </c>
      <c r="D279" s="1"/>
      <c r="E279" s="1" t="s">
        <v>1120</v>
      </c>
      <c r="F279" s="1" t="s">
        <v>30</v>
      </c>
      <c r="G279" s="1" t="s">
        <v>1121</v>
      </c>
      <c r="H279" s="1" t="s">
        <v>1122</v>
      </c>
      <c r="I279" s="1"/>
      <c r="J279" s="1" t="s">
        <v>1123</v>
      </c>
      <c r="K279" s="1"/>
      <c r="L279" s="1"/>
      <c r="M279" s="1" t="s">
        <v>197</v>
      </c>
      <c r="N279" s="1" t="s">
        <v>43</v>
      </c>
      <c r="O279" s="1" t="s">
        <v>44</v>
      </c>
      <c r="P279" s="1" t="s">
        <v>37</v>
      </c>
      <c r="Q279" s="1"/>
      <c r="R279" s="2">
        <v>43887</v>
      </c>
      <c r="S279" s="1"/>
      <c r="W279" s="1" t="s">
        <v>38</v>
      </c>
      <c r="X279" s="2">
        <v>43890</v>
      </c>
      <c r="Y279" s="2">
        <v>43888</v>
      </c>
      <c r="Z279" s="2">
        <v>43888</v>
      </c>
      <c r="AA279" s="2"/>
      <c r="AB279" s="2">
        <v>43887</v>
      </c>
      <c r="AC279" s="1"/>
      <c r="AD279">
        <v>1</v>
      </c>
      <c r="AE279">
        <v>337</v>
      </c>
      <c r="AG2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0" spans="1:33" x14ac:dyDescent="0.35">
      <c r="A280">
        <v>281</v>
      </c>
      <c r="B280" s="1"/>
      <c r="C280">
        <v>0</v>
      </c>
      <c r="D280" s="1"/>
      <c r="E280" s="1"/>
      <c r="F280" s="1" t="s">
        <v>30</v>
      </c>
      <c r="G280" s="1" t="s">
        <v>1124</v>
      </c>
      <c r="H280" s="1" t="s">
        <v>1125</v>
      </c>
      <c r="I280" s="1" t="s">
        <v>1126</v>
      </c>
      <c r="J280" s="1" t="s">
        <v>1127</v>
      </c>
      <c r="K280" s="1"/>
      <c r="L280" s="1"/>
      <c r="M280" s="1" t="s">
        <v>197</v>
      </c>
      <c r="N280" s="1" t="s">
        <v>483</v>
      </c>
      <c r="O280" s="1" t="s">
        <v>484</v>
      </c>
      <c r="P280" s="1" t="s">
        <v>37</v>
      </c>
      <c r="Q280" s="1"/>
      <c r="R280" s="2">
        <v>43888</v>
      </c>
      <c r="S280" s="1"/>
      <c r="W280" s="1" t="s">
        <v>38</v>
      </c>
      <c r="X280" s="2">
        <v>43891</v>
      </c>
      <c r="Y280" s="2">
        <v>43902</v>
      </c>
      <c r="Z280" s="2">
        <v>43896</v>
      </c>
      <c r="AA280" s="2">
        <v>43888</v>
      </c>
      <c r="AB280" s="2">
        <v>43888</v>
      </c>
      <c r="AC280" s="1"/>
      <c r="AD280">
        <v>8</v>
      </c>
      <c r="AE280">
        <v>336</v>
      </c>
      <c r="AG2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81" spans="1:33" x14ac:dyDescent="0.35">
      <c r="A281">
        <v>282</v>
      </c>
      <c r="B281" s="1"/>
      <c r="C281">
        <v>0</v>
      </c>
      <c r="D281" s="1"/>
      <c r="E281" s="1"/>
      <c r="F281" s="1" t="s">
        <v>30</v>
      </c>
      <c r="G281" s="1" t="s">
        <v>1128</v>
      </c>
      <c r="H281" s="1" t="s">
        <v>1129</v>
      </c>
      <c r="I281" s="1"/>
      <c r="J281" s="1" t="s">
        <v>1130</v>
      </c>
      <c r="K281" s="1"/>
      <c r="L281" s="1"/>
      <c r="M281" s="1" t="s">
        <v>34</v>
      </c>
      <c r="N281" s="1" t="s">
        <v>341</v>
      </c>
      <c r="O281" s="1" t="s">
        <v>62</v>
      </c>
      <c r="P281" s="1" t="s">
        <v>37</v>
      </c>
      <c r="Q281" s="1"/>
      <c r="R281" s="2">
        <v>43888</v>
      </c>
      <c r="S281" s="1"/>
      <c r="W281" s="1" t="s">
        <v>38</v>
      </c>
      <c r="X281" s="2">
        <v>43895</v>
      </c>
      <c r="Y281" s="2">
        <v>43895</v>
      </c>
      <c r="Z281" s="2"/>
      <c r="AA281" s="2">
        <v>43895</v>
      </c>
      <c r="AB281" s="2">
        <v>43888</v>
      </c>
      <c r="AC281" s="1"/>
      <c r="AE281">
        <v>336</v>
      </c>
      <c r="AG2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2" spans="1:33" x14ac:dyDescent="0.35">
      <c r="A282">
        <v>283</v>
      </c>
      <c r="B282" s="1"/>
      <c r="C282">
        <v>0</v>
      </c>
      <c r="D282" s="1"/>
      <c r="E282" s="1"/>
      <c r="F282" s="1" t="s">
        <v>30</v>
      </c>
      <c r="G282" s="1" t="s">
        <v>1131</v>
      </c>
      <c r="H282" s="1" t="s">
        <v>1132</v>
      </c>
      <c r="I282" s="1"/>
      <c r="J282" s="1" t="s">
        <v>1133</v>
      </c>
      <c r="K282" s="1"/>
      <c r="L282" s="1"/>
      <c r="M282" s="1" t="s">
        <v>34</v>
      </c>
      <c r="N282" s="1" t="s">
        <v>129</v>
      </c>
      <c r="O282" s="1" t="s">
        <v>44</v>
      </c>
      <c r="P282" s="1" t="s">
        <v>278</v>
      </c>
      <c r="Q282" s="1"/>
      <c r="R282" s="2">
        <v>43889</v>
      </c>
      <c r="S282" s="1"/>
      <c r="W282" s="1" t="s">
        <v>38</v>
      </c>
      <c r="X282" s="2"/>
      <c r="Y282" s="2">
        <v>43902</v>
      </c>
      <c r="Z282" s="2">
        <v>43896</v>
      </c>
      <c r="AA282" s="2">
        <v>43892</v>
      </c>
      <c r="AB282" s="2">
        <v>43889</v>
      </c>
      <c r="AC282" s="1"/>
      <c r="AD282">
        <v>7</v>
      </c>
      <c r="AE282">
        <v>335</v>
      </c>
      <c r="AG2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83" spans="1:33" x14ac:dyDescent="0.35">
      <c r="A283">
        <v>284</v>
      </c>
      <c r="B283" s="1"/>
      <c r="C283">
        <v>0</v>
      </c>
      <c r="D283" s="1"/>
      <c r="E283" s="1" t="s">
        <v>730</v>
      </c>
      <c r="F283" s="1" t="s">
        <v>30</v>
      </c>
      <c r="G283" s="1" t="s">
        <v>1134</v>
      </c>
      <c r="H283" s="1" t="s">
        <v>1135</v>
      </c>
      <c r="I283" s="1"/>
      <c r="J283" s="1" t="s">
        <v>1136</v>
      </c>
      <c r="K283" s="1"/>
      <c r="L283" s="1"/>
      <c r="M283" s="1" t="s">
        <v>197</v>
      </c>
      <c r="N283" s="1" t="s">
        <v>43</v>
      </c>
      <c r="O283" s="1" t="s">
        <v>44</v>
      </c>
      <c r="P283" s="1" t="s">
        <v>37</v>
      </c>
      <c r="Q283" s="1"/>
      <c r="R283" s="2">
        <v>43892</v>
      </c>
      <c r="S283" s="1"/>
      <c r="W283" s="1" t="s">
        <v>38</v>
      </c>
      <c r="X283" s="2">
        <v>43895</v>
      </c>
      <c r="Y283" s="2">
        <v>43894</v>
      </c>
      <c r="Z283" s="2">
        <v>43892</v>
      </c>
      <c r="AA283" s="2">
        <v>43892</v>
      </c>
      <c r="AB283" s="2">
        <v>43892</v>
      </c>
      <c r="AC283" s="1"/>
      <c r="AD283">
        <v>0</v>
      </c>
      <c r="AE283">
        <v>332</v>
      </c>
      <c r="AG2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4" spans="1:33" x14ac:dyDescent="0.35">
      <c r="A284">
        <v>285</v>
      </c>
      <c r="B284" s="1"/>
      <c r="C284">
        <v>0</v>
      </c>
      <c r="D284" s="1"/>
      <c r="E284" s="1"/>
      <c r="F284" s="1" t="s">
        <v>30</v>
      </c>
      <c r="G284" s="1" t="s">
        <v>1137</v>
      </c>
      <c r="H284" s="1" t="s">
        <v>1138</v>
      </c>
      <c r="I284" s="1"/>
      <c r="J284" s="1" t="s">
        <v>1139</v>
      </c>
      <c r="K284" s="1"/>
      <c r="L284" s="1"/>
      <c r="M284" s="1" t="s">
        <v>197</v>
      </c>
      <c r="N284" s="1" t="s">
        <v>43</v>
      </c>
      <c r="O284" s="1" t="s">
        <v>44</v>
      </c>
      <c r="P284" s="1" t="s">
        <v>37</v>
      </c>
      <c r="Q284" s="1"/>
      <c r="R284" s="2">
        <v>43892</v>
      </c>
      <c r="S284" s="1"/>
      <c r="W284" s="1" t="s">
        <v>38</v>
      </c>
      <c r="X284" s="2">
        <v>43895</v>
      </c>
      <c r="Y284" s="2">
        <v>43894</v>
      </c>
      <c r="Z284" s="2">
        <v>43892</v>
      </c>
      <c r="AA284" s="2">
        <v>43892</v>
      </c>
      <c r="AB284" s="2">
        <v>43892</v>
      </c>
      <c r="AC284" s="1"/>
      <c r="AD284">
        <v>0</v>
      </c>
      <c r="AE284">
        <v>332</v>
      </c>
      <c r="AG2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5" spans="1:33" x14ac:dyDescent="0.35">
      <c r="A285">
        <v>286</v>
      </c>
      <c r="B285" s="1"/>
      <c r="C285">
        <v>0</v>
      </c>
      <c r="D285" s="1"/>
      <c r="E285" s="1"/>
      <c r="F285" s="1" t="s">
        <v>30</v>
      </c>
      <c r="G285" s="1" t="s">
        <v>1140</v>
      </c>
      <c r="H285" s="1" t="s">
        <v>1141</v>
      </c>
      <c r="I285" s="1"/>
      <c r="J285" s="1" t="s">
        <v>1142</v>
      </c>
      <c r="K285" s="1"/>
      <c r="L285" s="1"/>
      <c r="M285" s="1" t="s">
        <v>34</v>
      </c>
      <c r="N285" s="1" t="s">
        <v>245</v>
      </c>
      <c r="O285" s="1" t="s">
        <v>147</v>
      </c>
      <c r="P285" s="1" t="s">
        <v>37</v>
      </c>
      <c r="Q285" s="1"/>
      <c r="R285" s="2">
        <v>43893</v>
      </c>
      <c r="S285" s="1"/>
      <c r="W285" s="1" t="s">
        <v>38</v>
      </c>
      <c r="X285" s="2">
        <v>43900</v>
      </c>
      <c r="Y285" s="2">
        <v>43909</v>
      </c>
      <c r="Z285" s="2">
        <v>43908</v>
      </c>
      <c r="AA285" s="2">
        <v>43895</v>
      </c>
      <c r="AB285" s="2">
        <v>43893</v>
      </c>
      <c r="AC285" s="1"/>
      <c r="AD285">
        <v>15</v>
      </c>
      <c r="AE285">
        <v>331</v>
      </c>
      <c r="AG2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86" spans="1:33" x14ac:dyDescent="0.35">
      <c r="A286">
        <v>287</v>
      </c>
      <c r="B286" s="1"/>
      <c r="C286">
        <v>0</v>
      </c>
      <c r="D286" s="1"/>
      <c r="E286" s="1"/>
      <c r="F286" s="1" t="s">
        <v>30</v>
      </c>
      <c r="G286" s="1" t="s">
        <v>1143</v>
      </c>
      <c r="H286" s="1" t="s">
        <v>1144</v>
      </c>
      <c r="I286" s="1" t="s">
        <v>1145</v>
      </c>
      <c r="J286" s="1" t="s">
        <v>1146</v>
      </c>
      <c r="K286" s="1"/>
      <c r="L286" s="1"/>
      <c r="M286" s="1" t="s">
        <v>34</v>
      </c>
      <c r="N286" s="1" t="s">
        <v>129</v>
      </c>
      <c r="O286" s="1" t="s">
        <v>44</v>
      </c>
      <c r="P286" s="1" t="s">
        <v>37</v>
      </c>
      <c r="Q286" s="1"/>
      <c r="R286" s="2">
        <v>43893</v>
      </c>
      <c r="S286" s="1"/>
      <c r="W286" s="1" t="s">
        <v>38</v>
      </c>
      <c r="X286" s="2">
        <v>43900</v>
      </c>
      <c r="Y286" s="2">
        <v>43909</v>
      </c>
      <c r="Z286" s="2">
        <v>43909</v>
      </c>
      <c r="AA286" s="2"/>
      <c r="AB286" s="2">
        <v>43893</v>
      </c>
      <c r="AC286" s="1"/>
      <c r="AD286">
        <v>16</v>
      </c>
      <c r="AE286">
        <v>331</v>
      </c>
      <c r="AG2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287" spans="1:33" x14ac:dyDescent="0.35">
      <c r="A287">
        <v>288</v>
      </c>
      <c r="B287" s="1"/>
      <c r="C287">
        <v>0</v>
      </c>
      <c r="D287" s="1"/>
      <c r="E287" s="1"/>
      <c r="F287" s="1" t="s">
        <v>30</v>
      </c>
      <c r="G287" s="1" t="s">
        <v>1147</v>
      </c>
      <c r="H287" s="1" t="s">
        <v>1148</v>
      </c>
      <c r="I287" s="1"/>
      <c r="J287" s="1" t="s">
        <v>2399</v>
      </c>
      <c r="K287" s="1"/>
      <c r="L287" s="1"/>
      <c r="M287" s="1" t="s">
        <v>34</v>
      </c>
      <c r="N287" s="1" t="s">
        <v>294</v>
      </c>
      <c r="O287" s="1" t="s">
        <v>295</v>
      </c>
      <c r="P287" s="1" t="s">
        <v>116</v>
      </c>
      <c r="Q287" s="1"/>
      <c r="R287" s="2">
        <v>43894</v>
      </c>
      <c r="S287" s="1"/>
      <c r="W287" s="1" t="s">
        <v>38</v>
      </c>
      <c r="X287" s="2">
        <v>43900</v>
      </c>
      <c r="Y287" s="2">
        <v>44063</v>
      </c>
      <c r="Z287" s="2">
        <v>44063</v>
      </c>
      <c r="AA287" s="2">
        <v>43950</v>
      </c>
      <c r="AB287" s="2">
        <v>43893</v>
      </c>
      <c r="AC287" s="1"/>
      <c r="AD287">
        <v>170</v>
      </c>
      <c r="AE287">
        <v>331</v>
      </c>
      <c r="AG2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170</v>
      </c>
    </row>
    <row r="288" spans="1:33" x14ac:dyDescent="0.35">
      <c r="A288">
        <v>289</v>
      </c>
      <c r="B288" s="1"/>
      <c r="C288">
        <v>0</v>
      </c>
      <c r="D288" s="1"/>
      <c r="E288" s="1"/>
      <c r="F288" s="1" t="s">
        <v>30</v>
      </c>
      <c r="G288" s="1" t="s">
        <v>1149</v>
      </c>
      <c r="H288" s="1" t="s">
        <v>1150</v>
      </c>
      <c r="I288" s="1"/>
      <c r="J288" s="1"/>
      <c r="K288" s="1"/>
      <c r="L288" s="1"/>
      <c r="M288" s="1" t="s">
        <v>34</v>
      </c>
      <c r="N288" s="1" t="s">
        <v>245</v>
      </c>
      <c r="O288" s="1" t="s">
        <v>147</v>
      </c>
      <c r="P288" s="1" t="s">
        <v>37</v>
      </c>
      <c r="Q288" s="1"/>
      <c r="R288" s="2">
        <v>43893</v>
      </c>
      <c r="S288" s="1"/>
      <c r="W288" s="1" t="s">
        <v>38</v>
      </c>
      <c r="X288" s="2">
        <v>43900</v>
      </c>
      <c r="Y288" s="2">
        <v>43902</v>
      </c>
      <c r="Z288" s="2"/>
      <c r="AA288" s="2">
        <v>43902</v>
      </c>
      <c r="AB288" s="2">
        <v>43893</v>
      </c>
      <c r="AC288" s="1"/>
      <c r="AE288">
        <v>331</v>
      </c>
      <c r="AG2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9" spans="1:33" x14ac:dyDescent="0.35">
      <c r="A289">
        <v>290</v>
      </c>
      <c r="B289" s="1"/>
      <c r="C289">
        <v>0</v>
      </c>
      <c r="D289" s="1"/>
      <c r="E289" s="1"/>
      <c r="F289" s="1" t="s">
        <v>30</v>
      </c>
      <c r="G289" s="1" t="s">
        <v>1151</v>
      </c>
      <c r="H289" s="1"/>
      <c r="I289" s="1"/>
      <c r="J289" s="1" t="s">
        <v>1152</v>
      </c>
      <c r="K289" s="1"/>
      <c r="L289" s="1"/>
      <c r="M289" s="1" t="s">
        <v>34</v>
      </c>
      <c r="N289" s="1" t="s">
        <v>276</v>
      </c>
      <c r="O289" s="1" t="s">
        <v>277</v>
      </c>
      <c r="P289" s="1" t="s">
        <v>164</v>
      </c>
      <c r="Q289" s="1"/>
      <c r="R289" s="2">
        <v>43893</v>
      </c>
      <c r="S289" s="1"/>
      <c r="W289" s="1" t="s">
        <v>38</v>
      </c>
      <c r="X289" s="2">
        <v>43900</v>
      </c>
      <c r="Y289" s="2">
        <v>43895</v>
      </c>
      <c r="Z289" s="2">
        <v>43895</v>
      </c>
      <c r="AA289" s="2"/>
      <c r="AB289" s="2">
        <v>43893</v>
      </c>
      <c r="AC289" s="1"/>
      <c r="AD289">
        <v>2</v>
      </c>
      <c r="AE289">
        <v>331</v>
      </c>
      <c r="AG2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90" spans="1:33" x14ac:dyDescent="0.35">
      <c r="A290">
        <v>291</v>
      </c>
      <c r="B290" s="1"/>
      <c r="C290">
        <v>0</v>
      </c>
      <c r="D290" s="1"/>
      <c r="E290" s="1"/>
      <c r="F290" s="1" t="s">
        <v>30</v>
      </c>
      <c r="G290" s="1" t="s">
        <v>1153</v>
      </c>
      <c r="H290" s="1" t="s">
        <v>1154</v>
      </c>
      <c r="I290" s="1"/>
      <c r="J290" s="1" t="s">
        <v>1155</v>
      </c>
      <c r="K290" s="1"/>
      <c r="L290" s="1"/>
      <c r="M290" s="1" t="s">
        <v>197</v>
      </c>
      <c r="N290" s="1" t="s">
        <v>341</v>
      </c>
      <c r="O290" s="1" t="s">
        <v>62</v>
      </c>
      <c r="P290" s="1" t="s">
        <v>37</v>
      </c>
      <c r="Q290" s="1"/>
      <c r="R290" s="2">
        <v>43896</v>
      </c>
      <c r="S290" s="1"/>
      <c r="W290" s="1" t="s">
        <v>38</v>
      </c>
      <c r="X290" s="2">
        <v>43902</v>
      </c>
      <c r="Y290" s="2">
        <v>43909</v>
      </c>
      <c r="Z290" s="2">
        <v>43907</v>
      </c>
      <c r="AA290" s="2">
        <v>43902</v>
      </c>
      <c r="AB290" s="2">
        <v>43896</v>
      </c>
      <c r="AC290" s="1"/>
      <c r="AD290">
        <v>11</v>
      </c>
      <c r="AE290">
        <v>328</v>
      </c>
      <c r="AG2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91" spans="1:33" x14ac:dyDescent="0.35">
      <c r="A291">
        <v>292</v>
      </c>
      <c r="B291" s="1"/>
      <c r="C291">
        <v>0</v>
      </c>
      <c r="D291" s="1"/>
      <c r="E291" s="1"/>
      <c r="F291" s="1" t="s">
        <v>30</v>
      </c>
      <c r="G291" s="1" t="s">
        <v>1156</v>
      </c>
      <c r="H291" s="1" t="s">
        <v>1157</v>
      </c>
      <c r="I291" s="1"/>
      <c r="J291" s="1" t="s">
        <v>1158</v>
      </c>
      <c r="K291" s="1"/>
      <c r="L291" s="1"/>
      <c r="M291" s="1" t="s">
        <v>34</v>
      </c>
      <c r="N291" s="1" t="s">
        <v>341</v>
      </c>
      <c r="O291" s="1" t="s">
        <v>62</v>
      </c>
      <c r="P291" s="1" t="s">
        <v>63</v>
      </c>
      <c r="Q291" s="1"/>
      <c r="R291" s="2">
        <v>43896</v>
      </c>
      <c r="S291" s="1"/>
      <c r="W291" s="1" t="s">
        <v>38</v>
      </c>
      <c r="X291" s="2">
        <v>43903</v>
      </c>
      <c r="Y291" s="2">
        <v>43909</v>
      </c>
      <c r="Z291" s="2">
        <v>43902</v>
      </c>
      <c r="AA291" s="2">
        <v>43906</v>
      </c>
      <c r="AB291" s="2">
        <v>43896</v>
      </c>
      <c r="AC291" s="1"/>
      <c r="AD291">
        <v>6</v>
      </c>
      <c r="AE291">
        <v>328</v>
      </c>
      <c r="AG2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292" spans="1:33" x14ac:dyDescent="0.35">
      <c r="A292">
        <v>293</v>
      </c>
      <c r="B292" s="1"/>
      <c r="C292">
        <v>0</v>
      </c>
      <c r="D292" s="1"/>
      <c r="E292" s="1"/>
      <c r="F292" s="1" t="s">
        <v>30</v>
      </c>
      <c r="G292" s="1" t="s">
        <v>1159</v>
      </c>
      <c r="H292" s="1" t="s">
        <v>1160</v>
      </c>
      <c r="I292" s="1"/>
      <c r="J292" s="1" t="s">
        <v>1161</v>
      </c>
      <c r="K292" s="1"/>
      <c r="L292" s="1"/>
      <c r="M292" s="1" t="s">
        <v>197</v>
      </c>
      <c r="N292" s="1" t="s">
        <v>43</v>
      </c>
      <c r="O292" s="1" t="s">
        <v>44</v>
      </c>
      <c r="P292" s="1" t="s">
        <v>37</v>
      </c>
      <c r="Q292" s="1"/>
      <c r="R292" s="2">
        <v>43896</v>
      </c>
      <c r="S292" s="1"/>
      <c r="W292" s="1" t="s">
        <v>38</v>
      </c>
      <c r="X292" s="2">
        <v>43899</v>
      </c>
      <c r="Y292" s="2">
        <v>43899</v>
      </c>
      <c r="Z292" s="2">
        <v>43896</v>
      </c>
      <c r="AA292" s="2"/>
      <c r="AB292" s="2">
        <v>43896</v>
      </c>
      <c r="AC292" s="1"/>
      <c r="AD292">
        <v>0</v>
      </c>
      <c r="AE292">
        <v>328</v>
      </c>
      <c r="AG2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93" spans="1:33" x14ac:dyDescent="0.35">
      <c r="A293">
        <v>294</v>
      </c>
      <c r="B293" s="1"/>
      <c r="C293">
        <v>0</v>
      </c>
      <c r="D293" s="1" t="s">
        <v>111</v>
      </c>
      <c r="E293" s="1" t="s">
        <v>991</v>
      </c>
      <c r="F293" s="1" t="s">
        <v>30</v>
      </c>
      <c r="G293" s="1" t="s">
        <v>1162</v>
      </c>
      <c r="H293" s="1" t="s">
        <v>1163</v>
      </c>
      <c r="I293" s="1" t="s">
        <v>1164</v>
      </c>
      <c r="J293" s="1" t="s">
        <v>1442</v>
      </c>
      <c r="K293" s="1"/>
      <c r="L293" s="1"/>
      <c r="M293" s="1" t="s">
        <v>34</v>
      </c>
      <c r="N293" s="1" t="s">
        <v>97</v>
      </c>
      <c r="O293" s="1" t="s">
        <v>98</v>
      </c>
      <c r="P293" s="1" t="s">
        <v>37</v>
      </c>
      <c r="Q293" s="1"/>
      <c r="R293" s="2">
        <v>43899</v>
      </c>
      <c r="S293" s="1"/>
      <c r="W293" s="1" t="s">
        <v>38</v>
      </c>
      <c r="X293" s="2">
        <v>43906</v>
      </c>
      <c r="Y293" s="2">
        <v>43935</v>
      </c>
      <c r="Z293" s="2">
        <v>43931</v>
      </c>
      <c r="AA293" s="2">
        <v>43931</v>
      </c>
      <c r="AB293" s="2">
        <v>43899</v>
      </c>
      <c r="AC293" s="1"/>
      <c r="AD293">
        <v>32</v>
      </c>
      <c r="AE293">
        <v>325</v>
      </c>
      <c r="AG2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294" spans="1:33" x14ac:dyDescent="0.35">
      <c r="A294">
        <v>295</v>
      </c>
      <c r="B294" s="1"/>
      <c r="C294">
        <v>0</v>
      </c>
      <c r="D294" s="1"/>
      <c r="E294" s="1"/>
      <c r="F294" s="1" t="s">
        <v>30</v>
      </c>
      <c r="G294" s="1" t="s">
        <v>1165</v>
      </c>
      <c r="H294" s="1" t="s">
        <v>1166</v>
      </c>
      <c r="I294" s="1" t="s">
        <v>1167</v>
      </c>
      <c r="J294" s="1" t="s">
        <v>1168</v>
      </c>
      <c r="K294" s="1"/>
      <c r="L294" s="1"/>
      <c r="M294" s="1" t="s">
        <v>34</v>
      </c>
      <c r="N294" s="1" t="s">
        <v>276</v>
      </c>
      <c r="O294" s="1" t="s">
        <v>277</v>
      </c>
      <c r="P294" s="1" t="s">
        <v>278</v>
      </c>
      <c r="Q294" s="1"/>
      <c r="R294" s="2">
        <v>43899</v>
      </c>
      <c r="S294" s="1"/>
      <c r="W294" s="1" t="s">
        <v>38</v>
      </c>
      <c r="X294" s="2">
        <v>43906</v>
      </c>
      <c r="Y294" s="2">
        <v>43920</v>
      </c>
      <c r="Z294" s="2">
        <v>43920</v>
      </c>
      <c r="AA294" s="2">
        <v>43917</v>
      </c>
      <c r="AB294" s="2">
        <v>43899</v>
      </c>
      <c r="AC294" s="1"/>
      <c r="AD294">
        <v>21</v>
      </c>
      <c r="AE294">
        <v>325</v>
      </c>
      <c r="AG2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295" spans="1:33" x14ac:dyDescent="0.35">
      <c r="A295">
        <v>296</v>
      </c>
      <c r="B295" s="1"/>
      <c r="C295">
        <v>0</v>
      </c>
      <c r="D295" s="1" t="s">
        <v>1169</v>
      </c>
      <c r="E295" s="1" t="s">
        <v>1170</v>
      </c>
      <c r="F295" s="1" t="s">
        <v>30</v>
      </c>
      <c r="G295" s="1" t="s">
        <v>1171</v>
      </c>
      <c r="H295" s="1" t="s">
        <v>1172</v>
      </c>
      <c r="I295" s="1"/>
      <c r="J295" s="1" t="s">
        <v>1173</v>
      </c>
      <c r="K295" s="1"/>
      <c r="L295" s="1"/>
      <c r="M295" s="1" t="s">
        <v>197</v>
      </c>
      <c r="N295" s="1" t="s">
        <v>97</v>
      </c>
      <c r="O295" s="1" t="s">
        <v>98</v>
      </c>
      <c r="P295" s="1" t="s">
        <v>37</v>
      </c>
      <c r="Q295" s="1"/>
      <c r="R295" s="2">
        <v>43900</v>
      </c>
      <c r="S295" s="1"/>
      <c r="W295" s="1" t="s">
        <v>38</v>
      </c>
      <c r="X295" s="2">
        <v>43904</v>
      </c>
      <c r="Y295" s="2">
        <v>43916</v>
      </c>
      <c r="Z295" s="2">
        <v>43913</v>
      </c>
      <c r="AA295" s="2">
        <v>43901</v>
      </c>
      <c r="AB295" s="2">
        <v>43900</v>
      </c>
      <c r="AC295" s="1"/>
      <c r="AD295">
        <v>13</v>
      </c>
      <c r="AE295">
        <v>324</v>
      </c>
      <c r="AG2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96" spans="1:33" x14ac:dyDescent="0.35">
      <c r="A296">
        <v>297</v>
      </c>
      <c r="B296" s="1"/>
      <c r="C296">
        <v>0</v>
      </c>
      <c r="D296" s="1"/>
      <c r="E296" s="1" t="s">
        <v>1174</v>
      </c>
      <c r="F296" s="1" t="s">
        <v>30</v>
      </c>
      <c r="G296" s="1" t="s">
        <v>1175</v>
      </c>
      <c r="H296" s="1" t="s">
        <v>1176</v>
      </c>
      <c r="I296" s="1"/>
      <c r="J296" s="1" t="s">
        <v>1443</v>
      </c>
      <c r="K296" s="1"/>
      <c r="L296" s="1"/>
      <c r="M296" s="1" t="s">
        <v>34</v>
      </c>
      <c r="N296" s="1" t="s">
        <v>245</v>
      </c>
      <c r="O296" s="1" t="s">
        <v>147</v>
      </c>
      <c r="P296" s="1" t="s">
        <v>37</v>
      </c>
      <c r="Q296" s="1"/>
      <c r="R296" s="2">
        <v>43900</v>
      </c>
      <c r="S296" s="1"/>
      <c r="W296" s="1" t="s">
        <v>38</v>
      </c>
      <c r="X296" s="2">
        <v>43907</v>
      </c>
      <c r="Y296" s="2">
        <v>43936</v>
      </c>
      <c r="Z296" s="2">
        <v>43934</v>
      </c>
      <c r="AA296" s="2">
        <v>43901</v>
      </c>
      <c r="AB296" s="2">
        <v>43900</v>
      </c>
      <c r="AC296" s="1"/>
      <c r="AD296">
        <v>34</v>
      </c>
      <c r="AE296">
        <v>324</v>
      </c>
      <c r="AG2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297" spans="1:33" x14ac:dyDescent="0.35">
      <c r="A297">
        <v>298</v>
      </c>
      <c r="B297" s="1"/>
      <c r="C297">
        <v>0</v>
      </c>
      <c r="D297" s="1"/>
      <c r="E297" s="1"/>
      <c r="F297" s="1" t="s">
        <v>30</v>
      </c>
      <c r="G297" s="1" t="s">
        <v>1177</v>
      </c>
      <c r="H297" s="1" t="s">
        <v>1178</v>
      </c>
      <c r="I297" s="1"/>
      <c r="J297" s="1" t="s">
        <v>1179</v>
      </c>
      <c r="K297" s="1"/>
      <c r="L297" s="1"/>
      <c r="M297" s="1" t="s">
        <v>34</v>
      </c>
      <c r="N297" s="1" t="s">
        <v>192</v>
      </c>
      <c r="O297" s="1" t="s">
        <v>193</v>
      </c>
      <c r="P297" s="1" t="s">
        <v>63</v>
      </c>
      <c r="Q297" s="1"/>
      <c r="R297" s="2">
        <v>43901</v>
      </c>
      <c r="S297" s="1"/>
      <c r="W297" s="1" t="s">
        <v>38</v>
      </c>
      <c r="X297" s="2">
        <v>43908</v>
      </c>
      <c r="Y297" s="2">
        <v>43920</v>
      </c>
      <c r="Z297" s="2">
        <v>43909</v>
      </c>
      <c r="AA297" s="2">
        <v>43908</v>
      </c>
      <c r="AB297" s="2">
        <v>43901</v>
      </c>
      <c r="AC297" s="1"/>
      <c r="AD297">
        <v>8</v>
      </c>
      <c r="AE297">
        <v>323</v>
      </c>
      <c r="AG2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98" spans="1:33" x14ac:dyDescent="0.35">
      <c r="A298">
        <v>299</v>
      </c>
      <c r="B298" s="1"/>
      <c r="C298">
        <v>0</v>
      </c>
      <c r="D298" s="1"/>
      <c r="E298" s="1"/>
      <c r="F298" s="1" t="s">
        <v>30</v>
      </c>
      <c r="G298" s="1" t="s">
        <v>1180</v>
      </c>
      <c r="H298" s="1" t="s">
        <v>1181</v>
      </c>
      <c r="I298" s="1"/>
      <c r="J298" s="1" t="s">
        <v>1182</v>
      </c>
      <c r="K298" s="1"/>
      <c r="L298" s="1"/>
      <c r="M298" s="1" t="s">
        <v>34</v>
      </c>
      <c r="N298" s="1" t="s">
        <v>276</v>
      </c>
      <c r="O298" s="1" t="s">
        <v>277</v>
      </c>
      <c r="P298" s="1" t="s">
        <v>278</v>
      </c>
      <c r="Q298" s="1"/>
      <c r="R298" s="2">
        <v>43901</v>
      </c>
      <c r="S298" s="1"/>
      <c r="W298" s="1" t="s">
        <v>38</v>
      </c>
      <c r="X298" s="2">
        <v>43908</v>
      </c>
      <c r="Y298" s="2">
        <v>43913</v>
      </c>
      <c r="Z298" s="2">
        <v>43908</v>
      </c>
      <c r="AA298" s="2">
        <v>43908</v>
      </c>
      <c r="AB298" s="2">
        <v>43901</v>
      </c>
      <c r="AC298" s="1"/>
      <c r="AD298">
        <v>7</v>
      </c>
      <c r="AE298">
        <v>323</v>
      </c>
      <c r="AG2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99" spans="1:33" x14ac:dyDescent="0.35">
      <c r="A299">
        <v>300</v>
      </c>
      <c r="B299" s="1"/>
      <c r="C299">
        <v>0</v>
      </c>
      <c r="D299" s="1"/>
      <c r="E299" s="1"/>
      <c r="F299" s="1" t="s">
        <v>30</v>
      </c>
      <c r="G299" s="1" t="s">
        <v>1183</v>
      </c>
      <c r="H299" s="1" t="s">
        <v>1184</v>
      </c>
      <c r="I299" s="1"/>
      <c r="J299" s="1" t="s">
        <v>1185</v>
      </c>
      <c r="K299" s="1"/>
      <c r="L299" s="1"/>
      <c r="M299" s="1" t="s">
        <v>34</v>
      </c>
      <c r="N299" s="1" t="s">
        <v>192</v>
      </c>
      <c r="O299" s="1" t="s">
        <v>193</v>
      </c>
      <c r="P299" s="1" t="s">
        <v>37</v>
      </c>
      <c r="Q299" s="1"/>
      <c r="R299" s="2">
        <v>43901</v>
      </c>
      <c r="S299" s="1"/>
      <c r="W299" s="1" t="s">
        <v>38</v>
      </c>
      <c r="X299" s="2">
        <v>43908</v>
      </c>
      <c r="Y299" s="2">
        <v>43930</v>
      </c>
      <c r="Z299" s="2">
        <v>43922</v>
      </c>
      <c r="AA299" s="2">
        <v>43902</v>
      </c>
      <c r="AB299" s="2">
        <v>43901</v>
      </c>
      <c r="AC299" s="1"/>
      <c r="AD299">
        <v>21</v>
      </c>
      <c r="AE299">
        <v>323</v>
      </c>
      <c r="AG2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300" spans="1:33" x14ac:dyDescent="0.35">
      <c r="A300">
        <v>301</v>
      </c>
      <c r="B300" s="1"/>
      <c r="C300">
        <v>0</v>
      </c>
      <c r="D300" s="1" t="s">
        <v>206</v>
      </c>
      <c r="E300" s="1" t="s">
        <v>1186</v>
      </c>
      <c r="F300" s="1" t="s">
        <v>30</v>
      </c>
      <c r="G300" s="1" t="s">
        <v>1187</v>
      </c>
      <c r="H300" s="1" t="s">
        <v>1188</v>
      </c>
      <c r="I300" s="1"/>
      <c r="J300" s="1" t="s">
        <v>1189</v>
      </c>
      <c r="K300" s="1"/>
      <c r="L300" s="1"/>
      <c r="M300" s="1" t="s">
        <v>34</v>
      </c>
      <c r="N300" s="1" t="s">
        <v>97</v>
      </c>
      <c r="O300" s="1" t="s">
        <v>98</v>
      </c>
      <c r="P300" s="1" t="s">
        <v>99</v>
      </c>
      <c r="Q300" s="1"/>
      <c r="R300" s="2">
        <v>43901</v>
      </c>
      <c r="S300" s="1"/>
      <c r="W300" s="1" t="s">
        <v>38</v>
      </c>
      <c r="X300" s="2">
        <v>43908</v>
      </c>
      <c r="Y300" s="2">
        <v>43909</v>
      </c>
      <c r="Z300" s="2">
        <v>43908</v>
      </c>
      <c r="AA300" s="2">
        <v>43908</v>
      </c>
      <c r="AB300" s="2">
        <v>43901</v>
      </c>
      <c r="AC300" s="1"/>
      <c r="AD300">
        <v>7</v>
      </c>
      <c r="AE300">
        <v>323</v>
      </c>
      <c r="AG3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1" spans="1:33" x14ac:dyDescent="0.35">
      <c r="A301">
        <v>302</v>
      </c>
      <c r="B301" s="1"/>
      <c r="C301">
        <v>0</v>
      </c>
      <c r="D301" s="1" t="s">
        <v>206</v>
      </c>
      <c r="E301" s="1" t="s">
        <v>1190</v>
      </c>
      <c r="F301" s="1" t="s">
        <v>30</v>
      </c>
      <c r="G301" s="1" t="s">
        <v>1191</v>
      </c>
      <c r="H301" s="1" t="s">
        <v>1192</v>
      </c>
      <c r="I301" s="1" t="s">
        <v>1193</v>
      </c>
      <c r="J301" s="1" t="s">
        <v>1194</v>
      </c>
      <c r="K301" s="1"/>
      <c r="L301" s="1"/>
      <c r="M301" s="1" t="s">
        <v>34</v>
      </c>
      <c r="N301" s="1" t="s">
        <v>97</v>
      </c>
      <c r="O301" s="1" t="s">
        <v>98</v>
      </c>
      <c r="P301" s="1" t="s">
        <v>99</v>
      </c>
      <c r="Q301" s="1"/>
      <c r="R301" s="2">
        <v>43901</v>
      </c>
      <c r="S301" s="1"/>
      <c r="W301" s="1" t="s">
        <v>38</v>
      </c>
      <c r="X301" s="2">
        <v>43908</v>
      </c>
      <c r="Y301" s="2">
        <v>43908</v>
      </c>
      <c r="Z301" s="2">
        <v>43908</v>
      </c>
      <c r="AA301" s="2">
        <v>43906</v>
      </c>
      <c r="AB301" s="2">
        <v>43901</v>
      </c>
      <c r="AC301" s="1"/>
      <c r="AD301">
        <v>7</v>
      </c>
      <c r="AE301">
        <v>323</v>
      </c>
      <c r="AG3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2" spans="1:33" x14ac:dyDescent="0.35">
      <c r="A302">
        <v>303</v>
      </c>
      <c r="B302" s="1"/>
      <c r="C302">
        <v>0</v>
      </c>
      <c r="D302" s="1"/>
      <c r="E302" s="1"/>
      <c r="F302" s="1" t="s">
        <v>30</v>
      </c>
      <c r="G302" s="1" t="s">
        <v>1195</v>
      </c>
      <c r="H302" s="1" t="s">
        <v>1196</v>
      </c>
      <c r="I302" s="1"/>
      <c r="J302" s="1" t="s">
        <v>1197</v>
      </c>
      <c r="K302" s="1"/>
      <c r="L302" s="1"/>
      <c r="M302" s="1" t="s">
        <v>197</v>
      </c>
      <c r="N302" s="1" t="s">
        <v>129</v>
      </c>
      <c r="O302" s="1" t="s">
        <v>44</v>
      </c>
      <c r="P302" s="1" t="s">
        <v>37</v>
      </c>
      <c r="Q302" s="1"/>
      <c r="R302" s="2">
        <v>43902</v>
      </c>
      <c r="S302" s="1"/>
      <c r="W302" s="1" t="s">
        <v>38</v>
      </c>
      <c r="X302" s="2">
        <v>43905</v>
      </c>
      <c r="Y302" s="2">
        <v>43909</v>
      </c>
      <c r="Z302" s="2">
        <v>43908</v>
      </c>
      <c r="AA302" s="2"/>
      <c r="AB302" s="2">
        <v>43902</v>
      </c>
      <c r="AC302" s="1"/>
      <c r="AD302">
        <v>6</v>
      </c>
      <c r="AE302">
        <v>322</v>
      </c>
      <c r="AG3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03" spans="1:33" x14ac:dyDescent="0.35">
      <c r="A303">
        <v>304</v>
      </c>
      <c r="B303" s="1"/>
      <c r="C303">
        <v>0</v>
      </c>
      <c r="D303" s="1" t="s">
        <v>111</v>
      </c>
      <c r="E303" s="1" t="s">
        <v>1198</v>
      </c>
      <c r="F303" s="1" t="s">
        <v>30</v>
      </c>
      <c r="G303" s="1" t="s">
        <v>1199</v>
      </c>
      <c r="H303" s="1" t="s">
        <v>1200</v>
      </c>
      <c r="I303" s="1" t="s">
        <v>1201</v>
      </c>
      <c r="J303" s="1" t="s">
        <v>1202</v>
      </c>
      <c r="K303" s="1"/>
      <c r="L303" s="1"/>
      <c r="M303" s="1" t="s">
        <v>34</v>
      </c>
      <c r="N303" s="1" t="s">
        <v>97</v>
      </c>
      <c r="O303" s="1" t="s">
        <v>98</v>
      </c>
      <c r="P303" s="1" t="s">
        <v>37</v>
      </c>
      <c r="Q303" s="1"/>
      <c r="R303" s="2">
        <v>43902</v>
      </c>
      <c r="S303" s="1"/>
      <c r="W303" s="1" t="s">
        <v>38</v>
      </c>
      <c r="X303" s="2">
        <v>43909</v>
      </c>
      <c r="Y303" s="2">
        <v>43909</v>
      </c>
      <c r="Z303" s="2">
        <v>43909</v>
      </c>
      <c r="AA303" s="2">
        <v>43908</v>
      </c>
      <c r="AB303" s="2">
        <v>43902</v>
      </c>
      <c r="AC303" s="1"/>
      <c r="AD303">
        <v>7</v>
      </c>
      <c r="AE303">
        <v>322</v>
      </c>
      <c r="AG3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4" spans="1:33" x14ac:dyDescent="0.35">
      <c r="A304">
        <v>305</v>
      </c>
      <c r="B304" s="1"/>
      <c r="C304">
        <v>0</v>
      </c>
      <c r="D304" s="1"/>
      <c r="E304" s="1" t="s">
        <v>1203</v>
      </c>
      <c r="F304" s="1" t="s">
        <v>30</v>
      </c>
      <c r="G304" s="1" t="s">
        <v>1204</v>
      </c>
      <c r="H304" s="1" t="s">
        <v>1205</v>
      </c>
      <c r="I304" s="1"/>
      <c r="J304" s="1" t="s">
        <v>1206</v>
      </c>
      <c r="K304" s="1"/>
      <c r="L304" s="1"/>
      <c r="M304" s="1" t="s">
        <v>34</v>
      </c>
      <c r="N304" s="1" t="s">
        <v>483</v>
      </c>
      <c r="O304" s="1" t="s">
        <v>484</v>
      </c>
      <c r="P304" s="1" t="s">
        <v>37</v>
      </c>
      <c r="Q304" s="1"/>
      <c r="R304" s="2">
        <v>43903</v>
      </c>
      <c r="S304" s="1"/>
      <c r="W304" s="1" t="s">
        <v>38</v>
      </c>
      <c r="X304" s="2">
        <v>43910</v>
      </c>
      <c r="Y304" s="2">
        <v>43930</v>
      </c>
      <c r="Z304" s="2">
        <v>43922</v>
      </c>
      <c r="AA304" s="2">
        <v>43907</v>
      </c>
      <c r="AB304" s="2">
        <v>43903</v>
      </c>
      <c r="AC304" s="1"/>
      <c r="AD304">
        <v>19</v>
      </c>
      <c r="AE304">
        <v>321</v>
      </c>
      <c r="AG3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305" spans="1:33" x14ac:dyDescent="0.35">
      <c r="A305">
        <v>306</v>
      </c>
      <c r="B305" s="1"/>
      <c r="C305">
        <v>0</v>
      </c>
      <c r="D305" s="1"/>
      <c r="E305" s="1"/>
      <c r="F305" s="1" t="s">
        <v>30</v>
      </c>
      <c r="G305" s="1" t="s">
        <v>1207</v>
      </c>
      <c r="H305" s="1" t="s">
        <v>1208</v>
      </c>
      <c r="I305" s="1"/>
      <c r="J305" s="1" t="s">
        <v>1209</v>
      </c>
      <c r="K305" s="1"/>
      <c r="L305" s="1"/>
      <c r="M305" s="1" t="s">
        <v>34</v>
      </c>
      <c r="N305" s="1" t="s">
        <v>341</v>
      </c>
      <c r="O305" s="1" t="s">
        <v>62</v>
      </c>
      <c r="P305" s="1" t="s">
        <v>37</v>
      </c>
      <c r="Q305" s="1"/>
      <c r="R305" s="2">
        <v>43906</v>
      </c>
      <c r="S305" s="1"/>
      <c r="W305" s="1" t="s">
        <v>38</v>
      </c>
      <c r="X305" s="2">
        <v>43916</v>
      </c>
      <c r="Y305" s="2">
        <v>43914</v>
      </c>
      <c r="Z305" s="2">
        <v>43914</v>
      </c>
      <c r="AA305" s="2">
        <v>43909</v>
      </c>
      <c r="AB305" s="2">
        <v>43906</v>
      </c>
      <c r="AC305" s="1"/>
      <c r="AD305">
        <v>8</v>
      </c>
      <c r="AE305">
        <v>318</v>
      </c>
      <c r="AG3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06" spans="1:33" x14ac:dyDescent="0.35">
      <c r="A306">
        <v>307</v>
      </c>
      <c r="B306" s="1"/>
      <c r="C306">
        <v>0</v>
      </c>
      <c r="D306" s="1"/>
      <c r="E306" s="1"/>
      <c r="F306" s="1" t="s">
        <v>30</v>
      </c>
      <c r="G306" s="1" t="s">
        <v>1210</v>
      </c>
      <c r="H306" s="1" t="s">
        <v>1211</v>
      </c>
      <c r="I306" s="1"/>
      <c r="J306" s="1" t="s">
        <v>1212</v>
      </c>
      <c r="K306" s="1"/>
      <c r="L306" s="1"/>
      <c r="M306" s="1" t="s">
        <v>34</v>
      </c>
      <c r="N306" s="1" t="s">
        <v>276</v>
      </c>
      <c r="O306" s="1" t="s">
        <v>277</v>
      </c>
      <c r="P306" s="1" t="s">
        <v>278</v>
      </c>
      <c r="Q306" s="1"/>
      <c r="R306" s="2">
        <v>43907</v>
      </c>
      <c r="S306" s="1"/>
      <c r="W306" s="1" t="s">
        <v>38</v>
      </c>
      <c r="X306" s="2">
        <v>43914</v>
      </c>
      <c r="Y306" s="2">
        <v>43915</v>
      </c>
      <c r="Z306" s="2">
        <v>43915</v>
      </c>
      <c r="AA306" s="2">
        <v>43908</v>
      </c>
      <c r="AB306" s="2">
        <v>43907</v>
      </c>
      <c r="AC306" s="1"/>
      <c r="AD306">
        <v>8</v>
      </c>
      <c r="AE306">
        <v>317</v>
      </c>
      <c r="AG3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07" spans="1:33" x14ac:dyDescent="0.35">
      <c r="A307">
        <v>308</v>
      </c>
      <c r="B307" s="1"/>
      <c r="C307">
        <v>0</v>
      </c>
      <c r="D307" s="1"/>
      <c r="E307" s="1" t="s">
        <v>1213</v>
      </c>
      <c r="F307" s="1" t="s">
        <v>30</v>
      </c>
      <c r="G307" s="1" t="s">
        <v>1214</v>
      </c>
      <c r="H307" s="1" t="s">
        <v>1215</v>
      </c>
      <c r="I307" s="1"/>
      <c r="J307" s="1" t="s">
        <v>1216</v>
      </c>
      <c r="K307" s="1"/>
      <c r="L307" s="1"/>
      <c r="M307" s="1" t="s">
        <v>34</v>
      </c>
      <c r="N307" s="1" t="s">
        <v>245</v>
      </c>
      <c r="O307" s="1" t="s">
        <v>147</v>
      </c>
      <c r="P307" s="1" t="s">
        <v>37</v>
      </c>
      <c r="Q307" s="1"/>
      <c r="R307" s="2">
        <v>43930</v>
      </c>
      <c r="S307" s="1"/>
      <c r="W307" s="1" t="s">
        <v>38</v>
      </c>
      <c r="X307" s="2">
        <v>43914</v>
      </c>
      <c r="Y307" s="2">
        <v>43930</v>
      </c>
      <c r="Z307" s="2">
        <v>43930</v>
      </c>
      <c r="AA307" s="2">
        <v>43930</v>
      </c>
      <c r="AB307" s="2">
        <v>43907</v>
      </c>
      <c r="AC307" s="1"/>
      <c r="AD307">
        <v>23</v>
      </c>
      <c r="AE307">
        <v>317</v>
      </c>
      <c r="AG3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308" spans="1:33" x14ac:dyDescent="0.35">
      <c r="A308">
        <v>309</v>
      </c>
      <c r="B308" s="1"/>
      <c r="C308">
        <v>0</v>
      </c>
      <c r="D308" s="1"/>
      <c r="E308" s="1"/>
      <c r="F308" s="1" t="s">
        <v>30</v>
      </c>
      <c r="G308" s="1" t="s">
        <v>1217</v>
      </c>
      <c r="H308" s="1" t="s">
        <v>1218</v>
      </c>
      <c r="I308" s="1"/>
      <c r="J308" s="1" t="s">
        <v>1219</v>
      </c>
      <c r="K308" s="1"/>
      <c r="L308" s="1"/>
      <c r="M308" s="1" t="s">
        <v>34</v>
      </c>
      <c r="N308" s="1" t="s">
        <v>245</v>
      </c>
      <c r="O308" s="1" t="s">
        <v>147</v>
      </c>
      <c r="P308" s="1" t="s">
        <v>37</v>
      </c>
      <c r="Q308" s="1"/>
      <c r="R308" s="2">
        <v>43907</v>
      </c>
      <c r="S308" s="1"/>
      <c r="W308" s="1" t="s">
        <v>38</v>
      </c>
      <c r="X308" s="2">
        <v>43914</v>
      </c>
      <c r="Y308" s="2">
        <v>43909</v>
      </c>
      <c r="Z308" s="2">
        <v>43908</v>
      </c>
      <c r="AA308" s="2">
        <v>43908</v>
      </c>
      <c r="AB308" s="2">
        <v>43907</v>
      </c>
      <c r="AC308" s="1"/>
      <c r="AD308">
        <v>1</v>
      </c>
      <c r="AE308">
        <v>317</v>
      </c>
      <c r="AG3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09" spans="1:33" x14ac:dyDescent="0.35">
      <c r="A309">
        <v>310</v>
      </c>
      <c r="B309" s="1"/>
      <c r="C309">
        <v>0</v>
      </c>
      <c r="D309" s="1" t="s">
        <v>111</v>
      </c>
      <c r="E309" s="1" t="s">
        <v>1220</v>
      </c>
      <c r="F309" s="1" t="s">
        <v>30</v>
      </c>
      <c r="G309" s="1" t="s">
        <v>1221</v>
      </c>
      <c r="H309" s="1" t="s">
        <v>1222</v>
      </c>
      <c r="I309" s="1" t="s">
        <v>1223</v>
      </c>
      <c r="J309" s="1" t="s">
        <v>1224</v>
      </c>
      <c r="K309" s="1"/>
      <c r="L309" s="1"/>
      <c r="M309" s="1" t="s">
        <v>34</v>
      </c>
      <c r="N309" s="1" t="s">
        <v>97</v>
      </c>
      <c r="O309" s="1" t="s">
        <v>98</v>
      </c>
      <c r="P309" s="1" t="s">
        <v>37</v>
      </c>
      <c r="Q309" s="1"/>
      <c r="R309" s="2">
        <v>43908</v>
      </c>
      <c r="S309" s="1"/>
      <c r="W309" s="1" t="s">
        <v>38</v>
      </c>
      <c r="X309" s="2">
        <v>43915</v>
      </c>
      <c r="Y309" s="2">
        <v>43922</v>
      </c>
      <c r="Z309" s="2">
        <v>43922</v>
      </c>
      <c r="AA309" s="2">
        <v>43908</v>
      </c>
      <c r="AB309" s="2">
        <v>43908</v>
      </c>
      <c r="AC309" s="1"/>
      <c r="AD309">
        <v>14</v>
      </c>
      <c r="AE309">
        <v>316</v>
      </c>
      <c r="AG3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10" spans="1:33" x14ac:dyDescent="0.35">
      <c r="A310">
        <v>311</v>
      </c>
      <c r="B310" s="1"/>
      <c r="C310">
        <v>0</v>
      </c>
      <c r="D310" s="1" t="s">
        <v>206</v>
      </c>
      <c r="E310" s="1" t="s">
        <v>404</v>
      </c>
      <c r="F310" s="1" t="s">
        <v>30</v>
      </c>
      <c r="G310" s="1" t="s">
        <v>1225</v>
      </c>
      <c r="H310" s="1" t="s">
        <v>1226</v>
      </c>
      <c r="I310" s="1" t="s">
        <v>1227</v>
      </c>
      <c r="J310" s="1" t="s">
        <v>1228</v>
      </c>
      <c r="K310" s="1"/>
      <c r="L310" s="1"/>
      <c r="M310" s="1" t="s">
        <v>34</v>
      </c>
      <c r="N310" s="1" t="s">
        <v>97</v>
      </c>
      <c r="O310" s="1" t="s">
        <v>98</v>
      </c>
      <c r="P310" s="1" t="s">
        <v>99</v>
      </c>
      <c r="Q310" s="1"/>
      <c r="R310" s="2">
        <v>43908</v>
      </c>
      <c r="S310" s="1"/>
      <c r="W310" s="1" t="s">
        <v>38</v>
      </c>
      <c r="X310" s="2">
        <v>43915</v>
      </c>
      <c r="Y310" s="2">
        <v>43922</v>
      </c>
      <c r="Z310" s="2">
        <v>43922</v>
      </c>
      <c r="AA310" s="2">
        <v>43913</v>
      </c>
      <c r="AB310" s="2">
        <v>43908</v>
      </c>
      <c r="AC310" s="1"/>
      <c r="AD310">
        <v>14</v>
      </c>
      <c r="AE310">
        <v>316</v>
      </c>
      <c r="AG3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11" spans="1:33" x14ac:dyDescent="0.35">
      <c r="A311">
        <v>312</v>
      </c>
      <c r="B311" s="1"/>
      <c r="C311">
        <v>0</v>
      </c>
      <c r="D311" s="1"/>
      <c r="E311" s="1"/>
      <c r="F311" s="1" t="s">
        <v>30</v>
      </c>
      <c r="G311" s="1" t="s">
        <v>1229</v>
      </c>
      <c r="H311" s="1" t="s">
        <v>1230</v>
      </c>
      <c r="I311" s="1"/>
      <c r="J311" s="1" t="s">
        <v>2452</v>
      </c>
      <c r="K311" s="1"/>
      <c r="L311" s="1"/>
      <c r="M311" s="1" t="s">
        <v>197</v>
      </c>
      <c r="N311" s="1" t="s">
        <v>245</v>
      </c>
      <c r="O311" s="1" t="s">
        <v>147</v>
      </c>
      <c r="P311" s="1" t="s">
        <v>37</v>
      </c>
      <c r="Q311" s="1"/>
      <c r="R311" s="2">
        <v>44068</v>
      </c>
      <c r="S311" s="1"/>
      <c r="W311" s="1" t="s">
        <v>38</v>
      </c>
      <c r="X311" s="2">
        <v>44094</v>
      </c>
      <c r="Y311" s="2">
        <v>44209</v>
      </c>
      <c r="Z311" s="2">
        <v>44200</v>
      </c>
      <c r="AA311" s="2">
        <v>43914</v>
      </c>
      <c r="AB311" s="2">
        <v>43908</v>
      </c>
      <c r="AC311" s="1"/>
      <c r="AD311">
        <v>292</v>
      </c>
      <c r="AE311">
        <v>316</v>
      </c>
      <c r="AG3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292</v>
      </c>
    </row>
    <row r="312" spans="1:33" x14ac:dyDescent="0.35">
      <c r="A312">
        <v>313</v>
      </c>
      <c r="B312" s="1"/>
      <c r="C312">
        <v>0</v>
      </c>
      <c r="D312" s="1" t="s">
        <v>206</v>
      </c>
      <c r="E312" s="1" t="s">
        <v>1231</v>
      </c>
      <c r="F312" s="1" t="s">
        <v>30</v>
      </c>
      <c r="G312" s="1" t="s">
        <v>1232</v>
      </c>
      <c r="H312" s="1" t="s">
        <v>1233</v>
      </c>
      <c r="I312" s="1" t="s">
        <v>1234</v>
      </c>
      <c r="J312" s="1" t="s">
        <v>2453</v>
      </c>
      <c r="K312" s="1"/>
      <c r="L312" s="1"/>
      <c r="M312" s="1" t="s">
        <v>34</v>
      </c>
      <c r="N312" s="1" t="s">
        <v>97</v>
      </c>
      <c r="O312" s="1" t="s">
        <v>98</v>
      </c>
      <c r="P312" s="1" t="s">
        <v>99</v>
      </c>
      <c r="Q312" s="1"/>
      <c r="R312" s="2">
        <v>43910</v>
      </c>
      <c r="S312" s="1"/>
      <c r="W312" s="1" t="s">
        <v>38</v>
      </c>
      <c r="X312" s="2">
        <v>43917</v>
      </c>
      <c r="Y312" s="2">
        <v>43920</v>
      </c>
      <c r="Z312" s="2">
        <v>43920</v>
      </c>
      <c r="AA312" s="2">
        <v>43917</v>
      </c>
      <c r="AB312" s="2">
        <v>43910</v>
      </c>
      <c r="AC312" s="1"/>
      <c r="AD312">
        <v>10</v>
      </c>
      <c r="AE312">
        <v>314</v>
      </c>
      <c r="AG3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313" spans="1:33" x14ac:dyDescent="0.35">
      <c r="A313">
        <v>314</v>
      </c>
      <c r="B313" s="1"/>
      <c r="C313">
        <v>0</v>
      </c>
      <c r="D313" s="1" t="s">
        <v>1235</v>
      </c>
      <c r="E313" s="1"/>
      <c r="F313" s="1" t="s">
        <v>30</v>
      </c>
      <c r="G313" s="1" t="s">
        <v>1236</v>
      </c>
      <c r="H313" s="1" t="s">
        <v>1237</v>
      </c>
      <c r="I313" s="1"/>
      <c r="J313" s="1" t="s">
        <v>1238</v>
      </c>
      <c r="K313" s="1"/>
      <c r="L313" s="1"/>
      <c r="M313" s="1" t="s">
        <v>34</v>
      </c>
      <c r="N313" s="1" t="s">
        <v>129</v>
      </c>
      <c r="O313" s="1" t="s">
        <v>44</v>
      </c>
      <c r="P313" s="1" t="s">
        <v>37</v>
      </c>
      <c r="Q313" s="1"/>
      <c r="R313" s="2">
        <v>43913</v>
      </c>
      <c r="S313" s="1"/>
      <c r="W313" s="1" t="s">
        <v>38</v>
      </c>
      <c r="X313" s="2">
        <v>43920</v>
      </c>
      <c r="Y313" s="2">
        <v>43922</v>
      </c>
      <c r="Z313" s="2">
        <v>43917</v>
      </c>
      <c r="AA313" s="2"/>
      <c r="AB313" s="2">
        <v>43913</v>
      </c>
      <c r="AC313" s="1"/>
      <c r="AD313">
        <v>4</v>
      </c>
      <c r="AE313">
        <v>311</v>
      </c>
      <c r="AG3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4" spans="1:33" x14ac:dyDescent="0.35">
      <c r="A314">
        <v>315</v>
      </c>
      <c r="B314" s="1"/>
      <c r="C314">
        <v>0</v>
      </c>
      <c r="D314" s="1"/>
      <c r="E314" s="1"/>
      <c r="F314" s="1" t="s">
        <v>30</v>
      </c>
      <c r="G314" s="1" t="s">
        <v>1239</v>
      </c>
      <c r="H314" s="1" t="s">
        <v>1240</v>
      </c>
      <c r="I314" s="1"/>
      <c r="J314" s="1" t="s">
        <v>1241</v>
      </c>
      <c r="K314" s="1"/>
      <c r="L314" s="1"/>
      <c r="M314" s="1" t="s">
        <v>34</v>
      </c>
      <c r="N314" s="1" t="s">
        <v>129</v>
      </c>
      <c r="O314" s="1" t="s">
        <v>44</v>
      </c>
      <c r="P314" s="1" t="s">
        <v>37</v>
      </c>
      <c r="Q314" s="1"/>
      <c r="R314" s="2">
        <v>43913</v>
      </c>
      <c r="S314" s="1"/>
      <c r="W314" s="1" t="s">
        <v>38</v>
      </c>
      <c r="X314" s="2">
        <v>43920</v>
      </c>
      <c r="Y314" s="2">
        <v>43917</v>
      </c>
      <c r="Z314" s="2">
        <v>43917</v>
      </c>
      <c r="AA314" s="2">
        <v>43916</v>
      </c>
      <c r="AB314" s="2">
        <v>43913</v>
      </c>
      <c r="AC314" s="1"/>
      <c r="AD314">
        <v>4</v>
      </c>
      <c r="AE314">
        <v>311</v>
      </c>
      <c r="AG3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5" spans="1:33" x14ac:dyDescent="0.35">
      <c r="A315">
        <v>316</v>
      </c>
      <c r="B315" s="1"/>
      <c r="C315">
        <v>0</v>
      </c>
      <c r="D315" s="1"/>
      <c r="E315" s="1"/>
      <c r="F315" s="1" t="s">
        <v>30</v>
      </c>
      <c r="G315" s="1" t="s">
        <v>1242</v>
      </c>
      <c r="H315" s="1" t="s">
        <v>1243</v>
      </c>
      <c r="I315" s="1"/>
      <c r="J315" s="1" t="s">
        <v>2400</v>
      </c>
      <c r="K315" s="1"/>
      <c r="L315" s="1"/>
      <c r="M315" s="1" t="s">
        <v>197</v>
      </c>
      <c r="N315" s="1" t="s">
        <v>43</v>
      </c>
      <c r="O315" s="1" t="s">
        <v>44</v>
      </c>
      <c r="P315" s="1" t="s">
        <v>341</v>
      </c>
      <c r="Q315" s="1" t="s">
        <v>62</v>
      </c>
      <c r="R315" s="2">
        <v>43913</v>
      </c>
      <c r="S315" s="1"/>
      <c r="W315" s="1" t="s">
        <v>38</v>
      </c>
      <c r="X315" s="2">
        <v>43916</v>
      </c>
      <c r="Y315" s="2">
        <v>43920</v>
      </c>
      <c r="Z315" s="2">
        <v>43917</v>
      </c>
      <c r="AA315" s="2">
        <v>43920</v>
      </c>
      <c r="AB315" s="2">
        <v>43913</v>
      </c>
      <c r="AC315" s="1"/>
      <c r="AD315">
        <v>4</v>
      </c>
      <c r="AE315">
        <v>311</v>
      </c>
      <c r="AG3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6" spans="1:33" x14ac:dyDescent="0.35">
      <c r="A316">
        <v>317</v>
      </c>
      <c r="B316" s="1"/>
      <c r="C316">
        <v>0</v>
      </c>
      <c r="D316" s="1"/>
      <c r="E316" s="1"/>
      <c r="F316" s="1" t="s">
        <v>30</v>
      </c>
      <c r="G316" s="1" t="s">
        <v>1244</v>
      </c>
      <c r="H316" s="1" t="s">
        <v>1245</v>
      </c>
      <c r="I316" s="1"/>
      <c r="J316" s="1" t="s">
        <v>2302</v>
      </c>
      <c r="K316" s="1"/>
      <c r="L316" s="1"/>
      <c r="M316" s="1" t="s">
        <v>34</v>
      </c>
      <c r="N316" s="1" t="s">
        <v>192</v>
      </c>
      <c r="O316" s="1" t="s">
        <v>193</v>
      </c>
      <c r="P316" s="1" t="s">
        <v>37</v>
      </c>
      <c r="Q316" s="1"/>
      <c r="R316" s="2">
        <v>43913</v>
      </c>
      <c r="S316" s="1"/>
      <c r="W316" s="1" t="s">
        <v>38</v>
      </c>
      <c r="X316" s="2">
        <v>43920</v>
      </c>
      <c r="Y316" s="2">
        <v>43930</v>
      </c>
      <c r="Z316" s="2">
        <v>43924</v>
      </c>
      <c r="AA316" s="2">
        <v>43914</v>
      </c>
      <c r="AB316" s="2">
        <v>43913</v>
      </c>
      <c r="AC316" s="1"/>
      <c r="AD316">
        <v>11</v>
      </c>
      <c r="AE316">
        <v>311</v>
      </c>
      <c r="AG3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17" spans="1:33" x14ac:dyDescent="0.35">
      <c r="A317">
        <v>318</v>
      </c>
      <c r="B317" s="1"/>
      <c r="C317">
        <v>0</v>
      </c>
      <c r="D317" s="1"/>
      <c r="E317" s="1"/>
      <c r="F317" s="1" t="s">
        <v>30</v>
      </c>
      <c r="G317" s="1" t="s">
        <v>1246</v>
      </c>
      <c r="H317" s="1" t="s">
        <v>1247</v>
      </c>
      <c r="I317" s="1"/>
      <c r="J317" s="1" t="s">
        <v>1897</v>
      </c>
      <c r="K317" s="1"/>
      <c r="L317" s="1"/>
      <c r="M317" s="1" t="s">
        <v>34</v>
      </c>
      <c r="N317" s="1" t="s">
        <v>192</v>
      </c>
      <c r="O317" s="1" t="s">
        <v>193</v>
      </c>
      <c r="P317" s="1" t="s">
        <v>164</v>
      </c>
      <c r="Q317" s="1"/>
      <c r="R317" s="2">
        <v>43914</v>
      </c>
      <c r="S317" s="1"/>
      <c r="W317" s="1" t="s">
        <v>38</v>
      </c>
      <c r="X317" s="2">
        <v>43920</v>
      </c>
      <c r="Y317" s="2">
        <v>43992</v>
      </c>
      <c r="Z317" s="2">
        <v>43992</v>
      </c>
      <c r="AA317" s="2"/>
      <c r="AB317" s="2">
        <v>43914</v>
      </c>
      <c r="AC317" s="1"/>
      <c r="AD317">
        <v>78</v>
      </c>
      <c r="AE317">
        <v>310</v>
      </c>
      <c r="AG3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78</v>
      </c>
    </row>
    <row r="318" spans="1:33" x14ac:dyDescent="0.35">
      <c r="A318">
        <v>319</v>
      </c>
      <c r="B318" s="1"/>
      <c r="C318">
        <v>0</v>
      </c>
      <c r="D318" s="1"/>
      <c r="E318" s="1"/>
      <c r="F318" s="1" t="s">
        <v>30</v>
      </c>
      <c r="G318" s="1" t="s">
        <v>1248</v>
      </c>
      <c r="H318" s="1" t="s">
        <v>1249</v>
      </c>
      <c r="I318" s="1"/>
      <c r="J318" s="1" t="s">
        <v>1898</v>
      </c>
      <c r="K318" s="1"/>
      <c r="L318" s="1"/>
      <c r="M318" s="1" t="s">
        <v>197</v>
      </c>
      <c r="N318" s="1" t="s">
        <v>585</v>
      </c>
      <c r="O318" s="1" t="s">
        <v>586</v>
      </c>
      <c r="P318" s="1" t="s">
        <v>278</v>
      </c>
      <c r="Q318" s="1"/>
      <c r="R318" s="2">
        <v>43914</v>
      </c>
      <c r="S318" s="1"/>
      <c r="W318" s="1" t="s">
        <v>38</v>
      </c>
      <c r="X318" s="2">
        <v>43922</v>
      </c>
      <c r="Y318" s="2">
        <v>43992</v>
      </c>
      <c r="Z318" s="2">
        <v>43992</v>
      </c>
      <c r="AA318" s="2">
        <v>43917</v>
      </c>
      <c r="AB318" s="2">
        <v>43914</v>
      </c>
      <c r="AC318" s="1"/>
      <c r="AD318">
        <v>78</v>
      </c>
      <c r="AE318">
        <v>310</v>
      </c>
      <c r="AG3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78</v>
      </c>
    </row>
    <row r="319" spans="1:33" x14ac:dyDescent="0.35">
      <c r="A319">
        <v>320</v>
      </c>
      <c r="B319" s="1"/>
      <c r="C319">
        <v>0</v>
      </c>
      <c r="D319" s="1"/>
      <c r="E319" s="1"/>
      <c r="F319" s="1" t="s">
        <v>30</v>
      </c>
      <c r="G319" s="1" t="s">
        <v>1250</v>
      </c>
      <c r="H319" s="1" t="s">
        <v>1251</v>
      </c>
      <c r="I319" s="1"/>
      <c r="J319" s="1" t="s">
        <v>1252</v>
      </c>
      <c r="K319" s="1"/>
      <c r="L319" s="1"/>
      <c r="M319" s="1" t="s">
        <v>34</v>
      </c>
      <c r="N319" s="1" t="s">
        <v>43</v>
      </c>
      <c r="O319" s="1" t="s">
        <v>44</v>
      </c>
      <c r="P319" s="1" t="s">
        <v>37</v>
      </c>
      <c r="Q319" s="1"/>
      <c r="R319" s="2">
        <v>43914</v>
      </c>
      <c r="S319" s="1"/>
      <c r="W319" s="1" t="s">
        <v>38</v>
      </c>
      <c r="X319" s="2">
        <v>43921</v>
      </c>
      <c r="Y319" s="2">
        <v>43922</v>
      </c>
      <c r="Z319" s="2">
        <v>43921</v>
      </c>
      <c r="AA319" s="2"/>
      <c r="AB319" s="2">
        <v>43914</v>
      </c>
      <c r="AC319" s="1"/>
      <c r="AD319">
        <v>7</v>
      </c>
      <c r="AE319">
        <v>310</v>
      </c>
      <c r="AG3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0" spans="1:33" x14ac:dyDescent="0.35">
      <c r="A320">
        <v>321</v>
      </c>
      <c r="B320" s="1"/>
      <c r="C320">
        <v>0</v>
      </c>
      <c r="D320" s="1"/>
      <c r="E320" s="1"/>
      <c r="F320" s="1" t="s">
        <v>30</v>
      </c>
      <c r="G320" s="1" t="s">
        <v>1253</v>
      </c>
      <c r="H320" s="1" t="s">
        <v>1254</v>
      </c>
      <c r="I320" s="1"/>
      <c r="J320" s="1" t="s">
        <v>1255</v>
      </c>
      <c r="K320" s="1"/>
      <c r="L320" s="1"/>
      <c r="M320" s="1" t="s">
        <v>34</v>
      </c>
      <c r="N320" s="1" t="s">
        <v>192</v>
      </c>
      <c r="O320" s="1" t="s">
        <v>193</v>
      </c>
      <c r="P320" s="1" t="s">
        <v>37</v>
      </c>
      <c r="Q320" s="1"/>
      <c r="R320" s="2">
        <v>43922</v>
      </c>
      <c r="S320" s="1"/>
      <c r="W320" s="1" t="s">
        <v>38</v>
      </c>
      <c r="X320" s="2">
        <v>43922</v>
      </c>
      <c r="Y320" s="2">
        <v>43928</v>
      </c>
      <c r="Z320" s="2">
        <v>43922</v>
      </c>
      <c r="AA320" s="2">
        <v>43915</v>
      </c>
      <c r="AB320" s="2">
        <v>43915</v>
      </c>
      <c r="AC320" s="1"/>
      <c r="AD320">
        <v>7</v>
      </c>
      <c r="AE320">
        <v>309</v>
      </c>
      <c r="AG3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1" spans="1:33" x14ac:dyDescent="0.35">
      <c r="A321">
        <v>322</v>
      </c>
      <c r="B321" s="1"/>
      <c r="C321">
        <v>0</v>
      </c>
      <c r="D321" s="1" t="s">
        <v>1256</v>
      </c>
      <c r="E321" s="1" t="s">
        <v>1257</v>
      </c>
      <c r="F321" s="1" t="s">
        <v>30</v>
      </c>
      <c r="G321" s="1" t="s">
        <v>1258</v>
      </c>
      <c r="H321" s="1" t="s">
        <v>1259</v>
      </c>
      <c r="I321" s="1"/>
      <c r="J321" s="1" t="s">
        <v>2454</v>
      </c>
      <c r="K321" s="1"/>
      <c r="L321" s="1"/>
      <c r="M321" s="1" t="s">
        <v>34</v>
      </c>
      <c r="N321" s="1" t="s">
        <v>359</v>
      </c>
      <c r="O321" s="1" t="s">
        <v>360</v>
      </c>
      <c r="P321" s="1" t="s">
        <v>116</v>
      </c>
      <c r="Q321" s="1"/>
      <c r="R321" s="2">
        <v>43915</v>
      </c>
      <c r="S321" s="1"/>
      <c r="W321" s="1" t="s">
        <v>38</v>
      </c>
      <c r="X321" s="2">
        <v>43924</v>
      </c>
      <c r="Y321" s="2">
        <v>44182</v>
      </c>
      <c r="Z321" s="2">
        <v>44181</v>
      </c>
      <c r="AA321" s="2">
        <v>43922</v>
      </c>
      <c r="AB321" s="2">
        <v>43915</v>
      </c>
      <c r="AC321" s="1"/>
      <c r="AD321">
        <v>266</v>
      </c>
      <c r="AE321">
        <v>309</v>
      </c>
      <c r="AG3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266</v>
      </c>
    </row>
    <row r="322" spans="1:33" x14ac:dyDescent="0.35">
      <c r="A322">
        <v>323</v>
      </c>
      <c r="B322" s="1"/>
      <c r="C322">
        <v>0</v>
      </c>
      <c r="D322" s="1"/>
      <c r="E322" s="1"/>
      <c r="F322" s="1" t="s">
        <v>30</v>
      </c>
      <c r="G322" s="1" t="s">
        <v>1260</v>
      </c>
      <c r="H322" s="1" t="s">
        <v>1261</v>
      </c>
      <c r="I322" s="1"/>
      <c r="J322" s="1" t="s">
        <v>1262</v>
      </c>
      <c r="K322" s="1"/>
      <c r="L322" s="1"/>
      <c r="M322" s="1" t="s">
        <v>34</v>
      </c>
      <c r="N322" s="1" t="s">
        <v>43</v>
      </c>
      <c r="O322" s="1" t="s">
        <v>44</v>
      </c>
      <c r="P322" s="1" t="s">
        <v>51</v>
      </c>
      <c r="Q322" s="1" t="s">
        <v>37</v>
      </c>
      <c r="R322" s="2">
        <v>43915</v>
      </c>
      <c r="S322" s="1"/>
      <c r="V322">
        <v>3000</v>
      </c>
      <c r="W322" s="1" t="s">
        <v>38</v>
      </c>
      <c r="X322" s="2">
        <v>43922</v>
      </c>
      <c r="Y322" s="2">
        <v>43928</v>
      </c>
      <c r="Z322" s="2">
        <v>43923</v>
      </c>
      <c r="AA322" s="2">
        <v>43923</v>
      </c>
      <c r="AB322" s="2">
        <v>43915</v>
      </c>
      <c r="AC322" s="1"/>
      <c r="AD322">
        <v>8</v>
      </c>
      <c r="AE322">
        <v>309</v>
      </c>
      <c r="AG3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23" spans="1:33" x14ac:dyDescent="0.35">
      <c r="A323">
        <v>324</v>
      </c>
      <c r="B323" s="1"/>
      <c r="C323">
        <v>0</v>
      </c>
      <c r="D323" s="1"/>
      <c r="E323" s="1"/>
      <c r="F323" s="1" t="s">
        <v>30</v>
      </c>
      <c r="G323" s="1" t="s">
        <v>1263</v>
      </c>
      <c r="H323" s="1" t="s">
        <v>1264</v>
      </c>
      <c r="I323" s="1"/>
      <c r="J323" s="1" t="s">
        <v>1649</v>
      </c>
      <c r="K323" s="1"/>
      <c r="L323" s="1"/>
      <c r="M323" s="1" t="s">
        <v>34</v>
      </c>
      <c r="N323" s="1" t="s">
        <v>341</v>
      </c>
      <c r="O323" s="1" t="s">
        <v>62</v>
      </c>
      <c r="P323" s="1" t="s">
        <v>37</v>
      </c>
      <c r="Q323" s="1"/>
      <c r="R323" s="2">
        <v>43915</v>
      </c>
      <c r="S323" s="1"/>
      <c r="W323" s="1" t="s">
        <v>38</v>
      </c>
      <c r="X323" s="2">
        <v>43922</v>
      </c>
      <c r="Y323" s="2">
        <v>43943</v>
      </c>
      <c r="Z323" s="2">
        <v>43943</v>
      </c>
      <c r="AA323" s="2">
        <v>43915</v>
      </c>
      <c r="AB323" s="2">
        <v>43915</v>
      </c>
      <c r="AC323" s="1"/>
      <c r="AD323">
        <v>28</v>
      </c>
      <c r="AE323">
        <v>309</v>
      </c>
      <c r="AG3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324" spans="1:33" x14ac:dyDescent="0.35">
      <c r="A324">
        <v>325</v>
      </c>
      <c r="B324" s="1"/>
      <c r="C324">
        <v>0</v>
      </c>
      <c r="D324" s="1"/>
      <c r="E324" s="1"/>
      <c r="F324" s="1" t="s">
        <v>30</v>
      </c>
      <c r="G324" s="1" t="s">
        <v>1265</v>
      </c>
      <c r="H324" s="1" t="s">
        <v>1266</v>
      </c>
      <c r="I324" s="1" t="s">
        <v>1267</v>
      </c>
      <c r="J324" s="1" t="s">
        <v>1268</v>
      </c>
      <c r="K324" s="1"/>
      <c r="L324" s="1"/>
      <c r="M324" s="1" t="s">
        <v>34</v>
      </c>
      <c r="N324" s="1" t="s">
        <v>43</v>
      </c>
      <c r="O324" s="1" t="s">
        <v>44</v>
      </c>
      <c r="P324" s="1" t="s">
        <v>1269</v>
      </c>
      <c r="Q324" s="1" t="s">
        <v>1270</v>
      </c>
      <c r="R324" s="2">
        <v>43916</v>
      </c>
      <c r="S324" s="1"/>
      <c r="U324">
        <v>2000</v>
      </c>
      <c r="W324" s="1" t="s">
        <v>38</v>
      </c>
      <c r="X324" s="2">
        <v>43923</v>
      </c>
      <c r="Y324" s="2">
        <v>43916</v>
      </c>
      <c r="Z324" s="2">
        <v>43916</v>
      </c>
      <c r="AA324" s="2">
        <v>43916</v>
      </c>
      <c r="AB324" s="2">
        <v>43916</v>
      </c>
      <c r="AC324" s="1"/>
      <c r="AD324">
        <v>0</v>
      </c>
      <c r="AE324">
        <v>308</v>
      </c>
      <c r="AG3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25" spans="1:33" x14ac:dyDescent="0.35">
      <c r="A325">
        <v>326</v>
      </c>
      <c r="B325" s="1"/>
      <c r="C325">
        <v>0</v>
      </c>
      <c r="D325" s="1" t="s">
        <v>206</v>
      </c>
      <c r="E325" s="1" t="s">
        <v>1271</v>
      </c>
      <c r="F325" s="1" t="s">
        <v>30</v>
      </c>
      <c r="G325" s="1" t="s">
        <v>1272</v>
      </c>
      <c r="H325" s="1" t="s">
        <v>1273</v>
      </c>
      <c r="I325" s="1" t="s">
        <v>1274</v>
      </c>
      <c r="J325" s="1" t="s">
        <v>1699</v>
      </c>
      <c r="K325" s="1"/>
      <c r="L325" s="1"/>
      <c r="M325" s="1" t="s">
        <v>34</v>
      </c>
      <c r="N325" s="1" t="s">
        <v>97</v>
      </c>
      <c r="O325" s="1" t="s">
        <v>98</v>
      </c>
      <c r="P325" s="1" t="s">
        <v>37</v>
      </c>
      <c r="Q325" s="1"/>
      <c r="R325" s="2">
        <v>43916</v>
      </c>
      <c r="S325" s="1"/>
      <c r="W325" s="1" t="s">
        <v>38</v>
      </c>
      <c r="X325" s="2">
        <v>43923</v>
      </c>
      <c r="Y325" s="2">
        <v>43962</v>
      </c>
      <c r="Z325" s="2">
        <v>43957</v>
      </c>
      <c r="AA325" s="2">
        <v>43957</v>
      </c>
      <c r="AB325" s="2">
        <v>43916</v>
      </c>
      <c r="AC325" s="1"/>
      <c r="AD325">
        <v>41</v>
      </c>
      <c r="AE325">
        <v>308</v>
      </c>
      <c r="AG3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326" spans="1:33" x14ac:dyDescent="0.35">
      <c r="A326">
        <v>327</v>
      </c>
      <c r="B326" s="1"/>
      <c r="C326">
        <v>0</v>
      </c>
      <c r="D326" s="1" t="s">
        <v>206</v>
      </c>
      <c r="E326" s="1" t="s">
        <v>1275</v>
      </c>
      <c r="F326" s="1" t="s">
        <v>30</v>
      </c>
      <c r="G326" s="1" t="s">
        <v>1276</v>
      </c>
      <c r="H326" s="1" t="s">
        <v>1277</v>
      </c>
      <c r="I326" s="1" t="s">
        <v>1278</v>
      </c>
      <c r="J326" s="1" t="s">
        <v>1279</v>
      </c>
      <c r="K326" s="1"/>
      <c r="L326" s="1"/>
      <c r="M326" s="1" t="s">
        <v>34</v>
      </c>
      <c r="N326" s="1" t="s">
        <v>97</v>
      </c>
      <c r="O326" s="1" t="s">
        <v>98</v>
      </c>
      <c r="P326" s="1" t="s">
        <v>99</v>
      </c>
      <c r="Q326" s="1"/>
      <c r="R326" s="2">
        <v>43916</v>
      </c>
      <c r="S326" s="1"/>
      <c r="W326" s="1" t="s">
        <v>38</v>
      </c>
      <c r="X326" s="2">
        <v>43923</v>
      </c>
      <c r="Y326" s="2">
        <v>43928</v>
      </c>
      <c r="Z326" s="2">
        <v>43927</v>
      </c>
      <c r="AA326" s="2">
        <v>43922</v>
      </c>
      <c r="AB326" s="2">
        <v>43916</v>
      </c>
      <c r="AC326" s="1"/>
      <c r="AD326">
        <v>11</v>
      </c>
      <c r="AE326">
        <v>308</v>
      </c>
      <c r="AG3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27" spans="1:33" x14ac:dyDescent="0.35">
      <c r="A327">
        <v>328</v>
      </c>
      <c r="B327" s="1"/>
      <c r="C327">
        <v>0</v>
      </c>
      <c r="D327" s="1" t="s">
        <v>206</v>
      </c>
      <c r="E327" s="1" t="s">
        <v>1280</v>
      </c>
      <c r="F327" s="1" t="s">
        <v>30</v>
      </c>
      <c r="G327" s="1" t="s">
        <v>1281</v>
      </c>
      <c r="H327" s="1" t="s">
        <v>1282</v>
      </c>
      <c r="I327" s="1" t="s">
        <v>1283</v>
      </c>
      <c r="J327" s="1" t="s">
        <v>1284</v>
      </c>
      <c r="K327" s="1"/>
      <c r="L327" s="1"/>
      <c r="M327" s="1" t="s">
        <v>34</v>
      </c>
      <c r="N327" s="1" t="s">
        <v>97</v>
      </c>
      <c r="O327" s="1" t="s">
        <v>98</v>
      </c>
      <c r="P327" s="1" t="s">
        <v>37</v>
      </c>
      <c r="Q327" s="1"/>
      <c r="R327" s="2">
        <v>43916</v>
      </c>
      <c r="S327" s="1"/>
      <c r="W327" s="1" t="s">
        <v>38</v>
      </c>
      <c r="X327" s="2">
        <v>43923</v>
      </c>
      <c r="Y327" s="2">
        <v>43935</v>
      </c>
      <c r="Z327" s="2">
        <v>43923</v>
      </c>
      <c r="AA327" s="2">
        <v>43920</v>
      </c>
      <c r="AB327" s="2">
        <v>43916</v>
      </c>
      <c r="AC327" s="1"/>
      <c r="AD327">
        <v>7</v>
      </c>
      <c r="AE327">
        <v>308</v>
      </c>
      <c r="AG3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8" spans="1:33" x14ac:dyDescent="0.35">
      <c r="A328">
        <v>329</v>
      </c>
      <c r="B328" s="1"/>
      <c r="C328">
        <v>0</v>
      </c>
      <c r="D328" s="1"/>
      <c r="E328" s="1"/>
      <c r="F328" s="1" t="s">
        <v>30</v>
      </c>
      <c r="G328" s="1" t="s">
        <v>1285</v>
      </c>
      <c r="H328" s="1" t="s">
        <v>1286</v>
      </c>
      <c r="I328" s="1"/>
      <c r="J328" s="1" t="s">
        <v>1650</v>
      </c>
      <c r="K328" s="1"/>
      <c r="L328" s="1"/>
      <c r="M328" s="1" t="s">
        <v>34</v>
      </c>
      <c r="N328" s="1" t="s">
        <v>129</v>
      </c>
      <c r="O328" s="1" t="s">
        <v>44</v>
      </c>
      <c r="P328" s="1" t="s">
        <v>37</v>
      </c>
      <c r="Q328" s="1"/>
      <c r="R328" s="2">
        <v>43917</v>
      </c>
      <c r="S328" s="1"/>
      <c r="W328" s="1" t="s">
        <v>38</v>
      </c>
      <c r="X328" s="2">
        <v>43924</v>
      </c>
      <c r="Y328" s="2">
        <v>43956</v>
      </c>
      <c r="Z328" s="2">
        <v>43952</v>
      </c>
      <c r="AA328" s="2"/>
      <c r="AB328" s="2">
        <v>43917</v>
      </c>
      <c r="AC328" s="1"/>
      <c r="AD328">
        <v>35</v>
      </c>
      <c r="AE328">
        <v>307</v>
      </c>
      <c r="AG3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29" spans="1:33" x14ac:dyDescent="0.35">
      <c r="A329">
        <v>330</v>
      </c>
      <c r="B329" s="1"/>
      <c r="C329">
        <v>0</v>
      </c>
      <c r="D329" s="1" t="s">
        <v>1287</v>
      </c>
      <c r="E329" s="1"/>
      <c r="F329" s="1" t="s">
        <v>30</v>
      </c>
      <c r="G329" s="1" t="s">
        <v>1288</v>
      </c>
      <c r="H329" s="1" t="s">
        <v>1289</v>
      </c>
      <c r="I329" s="1"/>
      <c r="J329" s="1" t="s">
        <v>1290</v>
      </c>
      <c r="K329" s="1"/>
      <c r="L329" s="1"/>
      <c r="M329" s="1" t="s">
        <v>34</v>
      </c>
      <c r="N329" s="1" t="s">
        <v>378</v>
      </c>
      <c r="O329" s="1" t="s">
        <v>147</v>
      </c>
      <c r="P329" s="1" t="s">
        <v>37</v>
      </c>
      <c r="Q329" s="1"/>
      <c r="R329" s="2">
        <v>43917</v>
      </c>
      <c r="S329" s="1"/>
      <c r="W329" s="1" t="s">
        <v>38</v>
      </c>
      <c r="X329" s="2">
        <v>43924</v>
      </c>
      <c r="Y329" s="2">
        <v>43928</v>
      </c>
      <c r="Z329" s="2">
        <v>43923</v>
      </c>
      <c r="AA329" s="2">
        <v>43920</v>
      </c>
      <c r="AB329" s="2">
        <v>43917</v>
      </c>
      <c r="AC329" s="1"/>
      <c r="AD329">
        <v>6</v>
      </c>
      <c r="AE329">
        <v>307</v>
      </c>
      <c r="AG3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30" spans="1:33" x14ac:dyDescent="0.35">
      <c r="A330">
        <v>331</v>
      </c>
      <c r="B330" s="1"/>
      <c r="C330">
        <v>0</v>
      </c>
      <c r="D330" s="1"/>
      <c r="E330" s="1"/>
      <c r="F330" s="1" t="s">
        <v>30</v>
      </c>
      <c r="G330" s="1" t="s">
        <v>1291</v>
      </c>
      <c r="H330" s="1" t="s">
        <v>1292</v>
      </c>
      <c r="I330" s="1"/>
      <c r="J330" s="1" t="s">
        <v>1444</v>
      </c>
      <c r="K330" s="1"/>
      <c r="L330" s="1"/>
      <c r="M330" s="1" t="s">
        <v>34</v>
      </c>
      <c r="N330" s="1" t="s">
        <v>43</v>
      </c>
      <c r="O330" s="1" t="s">
        <v>44</v>
      </c>
      <c r="P330" s="1" t="s">
        <v>37</v>
      </c>
      <c r="Q330" s="1"/>
      <c r="R330" s="2">
        <v>43917</v>
      </c>
      <c r="S330" s="1"/>
      <c r="W330" s="1" t="s">
        <v>38</v>
      </c>
      <c r="X330" s="2">
        <v>43924</v>
      </c>
      <c r="Y330" s="2">
        <v>43951</v>
      </c>
      <c r="Z330" s="2">
        <v>43944</v>
      </c>
      <c r="AA330" s="2"/>
      <c r="AB330" s="2">
        <v>43917</v>
      </c>
      <c r="AC330" s="1"/>
      <c r="AD330">
        <v>27</v>
      </c>
      <c r="AE330">
        <v>307</v>
      </c>
      <c r="AG3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31" spans="1:33" x14ac:dyDescent="0.35">
      <c r="A331">
        <v>332</v>
      </c>
      <c r="B331" s="1"/>
      <c r="C331">
        <v>0</v>
      </c>
      <c r="D331" s="1"/>
      <c r="E331" s="1"/>
      <c r="F331" s="1" t="s">
        <v>30</v>
      </c>
      <c r="G331" s="1" t="s">
        <v>1293</v>
      </c>
      <c r="H331" s="1"/>
      <c r="I331" s="1"/>
      <c r="J331" s="1" t="s">
        <v>1294</v>
      </c>
      <c r="K331" s="1"/>
      <c r="L331" s="1"/>
      <c r="M331" s="1" t="s">
        <v>34</v>
      </c>
      <c r="N331" s="1" t="s">
        <v>276</v>
      </c>
      <c r="O331" s="1" t="s">
        <v>277</v>
      </c>
      <c r="P331" s="1" t="s">
        <v>164</v>
      </c>
      <c r="Q331" s="1"/>
      <c r="R331" s="2">
        <v>43917</v>
      </c>
      <c r="S331" s="1"/>
      <c r="W331" s="1" t="s">
        <v>38</v>
      </c>
      <c r="X331" s="2">
        <v>43924</v>
      </c>
      <c r="Y331" s="2">
        <v>43920</v>
      </c>
      <c r="Z331" s="2">
        <v>43920</v>
      </c>
      <c r="AA331" s="2"/>
      <c r="AB331" s="2">
        <v>43917</v>
      </c>
      <c r="AC331" s="1"/>
      <c r="AD331">
        <v>3</v>
      </c>
      <c r="AE331">
        <v>307</v>
      </c>
      <c r="AG3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32" spans="1:33" x14ac:dyDescent="0.35">
      <c r="A332">
        <v>333</v>
      </c>
      <c r="B332" s="1"/>
      <c r="C332">
        <v>0</v>
      </c>
      <c r="D332" s="1"/>
      <c r="E332" s="1"/>
      <c r="F332" s="1" t="s">
        <v>30</v>
      </c>
      <c r="G332" s="1" t="s">
        <v>1295</v>
      </c>
      <c r="H332" s="1" t="s">
        <v>1296</v>
      </c>
      <c r="I332" s="1"/>
      <c r="J332" s="1" t="s">
        <v>1700</v>
      </c>
      <c r="K332" s="1"/>
      <c r="L332" s="1"/>
      <c r="M332" s="1" t="s">
        <v>34</v>
      </c>
      <c r="N332" s="1" t="s">
        <v>245</v>
      </c>
      <c r="O332" s="1" t="s">
        <v>147</v>
      </c>
      <c r="P332" s="1" t="s">
        <v>37</v>
      </c>
      <c r="Q332" s="1"/>
      <c r="R332" s="2">
        <v>43920</v>
      </c>
      <c r="S332" s="1"/>
      <c r="W332" s="1" t="s">
        <v>38</v>
      </c>
      <c r="X332" s="2">
        <v>43927</v>
      </c>
      <c r="Y332" s="2">
        <v>43962</v>
      </c>
      <c r="Z332" s="2">
        <v>43959</v>
      </c>
      <c r="AA332" s="2">
        <v>43920</v>
      </c>
      <c r="AB332" s="2">
        <v>43920</v>
      </c>
      <c r="AC332" s="1"/>
      <c r="AD332">
        <v>39</v>
      </c>
      <c r="AE332">
        <v>304</v>
      </c>
      <c r="AG3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333" spans="1:33" x14ac:dyDescent="0.35">
      <c r="A333">
        <v>334</v>
      </c>
      <c r="B333" s="1"/>
      <c r="C333">
        <v>0</v>
      </c>
      <c r="D333" s="1"/>
      <c r="E333" s="1"/>
      <c r="F333" s="1" t="s">
        <v>30</v>
      </c>
      <c r="G333" s="1" t="s">
        <v>1297</v>
      </c>
      <c r="H333" s="1" t="s">
        <v>1298</v>
      </c>
      <c r="I333" s="1"/>
      <c r="J333" s="1" t="s">
        <v>1299</v>
      </c>
      <c r="K333" s="1"/>
      <c r="L333" s="1"/>
      <c r="M333" s="1" t="s">
        <v>34</v>
      </c>
      <c r="N333" s="1" t="s">
        <v>43</v>
      </c>
      <c r="O333" s="1" t="s">
        <v>44</v>
      </c>
      <c r="P333" s="1" t="s">
        <v>37</v>
      </c>
      <c r="Q333" s="1"/>
      <c r="R333" s="2">
        <v>43920</v>
      </c>
      <c r="S333" s="1"/>
      <c r="W333" s="1" t="s">
        <v>38</v>
      </c>
      <c r="X333" s="2">
        <v>43927</v>
      </c>
      <c r="Y333" s="2">
        <v>43922</v>
      </c>
      <c r="Z333" s="2">
        <v>43921</v>
      </c>
      <c r="AA333" s="2"/>
      <c r="AB333" s="2">
        <v>43920</v>
      </c>
      <c r="AC333" s="1"/>
      <c r="AD333">
        <v>1</v>
      </c>
      <c r="AE333">
        <v>304</v>
      </c>
      <c r="AG3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34" spans="1:33" x14ac:dyDescent="0.35">
      <c r="A334">
        <v>335</v>
      </c>
      <c r="B334" s="1"/>
      <c r="C334">
        <v>0</v>
      </c>
      <c r="D334" s="1"/>
      <c r="E334" s="1"/>
      <c r="F334" s="1" t="s">
        <v>30</v>
      </c>
      <c r="G334" s="1" t="s">
        <v>1300</v>
      </c>
      <c r="H334" s="1" t="s">
        <v>1301</v>
      </c>
      <c r="I334" s="1"/>
      <c r="J334" s="1" t="s">
        <v>1302</v>
      </c>
      <c r="K334" s="1"/>
      <c r="L334" s="1"/>
      <c r="M334" s="1" t="s">
        <v>34</v>
      </c>
      <c r="N334" s="1" t="s">
        <v>341</v>
      </c>
      <c r="O334" s="1" t="s">
        <v>62</v>
      </c>
      <c r="P334" s="1" t="s">
        <v>37</v>
      </c>
      <c r="Q334" s="1"/>
      <c r="R334" s="2">
        <v>43920</v>
      </c>
      <c r="S334" s="1"/>
      <c r="W334" s="1" t="s">
        <v>38</v>
      </c>
      <c r="X334" s="2">
        <v>43927</v>
      </c>
      <c r="Y334" s="2">
        <v>43927</v>
      </c>
      <c r="Z334" s="2">
        <v>43922</v>
      </c>
      <c r="AA334" s="2">
        <v>43920</v>
      </c>
      <c r="AB334" s="2">
        <v>43920</v>
      </c>
      <c r="AC334" s="1"/>
      <c r="AD334">
        <v>2</v>
      </c>
      <c r="AE334">
        <v>304</v>
      </c>
      <c r="AG3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35" spans="1:33" x14ac:dyDescent="0.35">
      <c r="A335">
        <v>336</v>
      </c>
      <c r="B335" s="1"/>
      <c r="C335">
        <v>0</v>
      </c>
      <c r="D335" s="1"/>
      <c r="E335" s="1"/>
      <c r="F335" s="1" t="s">
        <v>30</v>
      </c>
      <c r="G335" s="1" t="s">
        <v>1303</v>
      </c>
      <c r="H335" s="1" t="s">
        <v>1304</v>
      </c>
      <c r="I335" s="1"/>
      <c r="J335" s="1" t="s">
        <v>1445</v>
      </c>
      <c r="K335" s="1"/>
      <c r="L335" s="1"/>
      <c r="M335" s="1" t="s">
        <v>34</v>
      </c>
      <c r="N335" s="1" t="s">
        <v>266</v>
      </c>
      <c r="O335" s="1" t="s">
        <v>267</v>
      </c>
      <c r="P335" s="1" t="s">
        <v>37</v>
      </c>
      <c r="Q335" s="1"/>
      <c r="R335" s="2">
        <v>43921</v>
      </c>
      <c r="S335" s="1"/>
      <c r="W335" s="1" t="s">
        <v>38</v>
      </c>
      <c r="X335" s="2">
        <v>43928</v>
      </c>
      <c r="Y335" s="2">
        <v>43937</v>
      </c>
      <c r="Z335" s="2">
        <v>43936</v>
      </c>
      <c r="AA335" s="2">
        <v>43922</v>
      </c>
      <c r="AB335" s="2">
        <v>43921</v>
      </c>
      <c r="AC335" s="1"/>
      <c r="AD335">
        <v>15</v>
      </c>
      <c r="AE335">
        <v>303</v>
      </c>
      <c r="AG3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336" spans="1:33" x14ac:dyDescent="0.35">
      <c r="A336">
        <v>337</v>
      </c>
      <c r="B336" s="1"/>
      <c r="C336">
        <v>0</v>
      </c>
      <c r="D336" s="1" t="s">
        <v>1235</v>
      </c>
      <c r="E336" s="1"/>
      <c r="F336" s="1" t="s">
        <v>30</v>
      </c>
      <c r="G336" s="1" t="s">
        <v>1305</v>
      </c>
      <c r="H336" s="1" t="s">
        <v>1306</v>
      </c>
      <c r="I336" s="1" t="s">
        <v>1307</v>
      </c>
      <c r="J336" s="1" t="s">
        <v>1308</v>
      </c>
      <c r="K336" s="1"/>
      <c r="L336" s="1"/>
      <c r="M336" s="1" t="s">
        <v>197</v>
      </c>
      <c r="N336" s="1" t="s">
        <v>129</v>
      </c>
      <c r="O336" s="1" t="s">
        <v>44</v>
      </c>
      <c r="P336" s="1" t="s">
        <v>278</v>
      </c>
      <c r="Q336" s="1"/>
      <c r="R336" s="2">
        <v>43921</v>
      </c>
      <c r="S336" s="1"/>
      <c r="W336" s="1" t="s">
        <v>38</v>
      </c>
      <c r="X336" s="2">
        <v>43924</v>
      </c>
      <c r="Y336" s="2">
        <v>43930</v>
      </c>
      <c r="Z336" s="2">
        <v>43923</v>
      </c>
      <c r="AA336" s="2">
        <v>43921</v>
      </c>
      <c r="AB336" s="2">
        <v>43921</v>
      </c>
      <c r="AC336" s="1"/>
      <c r="AD336">
        <v>2</v>
      </c>
      <c r="AE336">
        <v>303</v>
      </c>
      <c r="AG3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37" spans="1:33" x14ac:dyDescent="0.35">
      <c r="A337">
        <v>338</v>
      </c>
      <c r="B337" s="1"/>
      <c r="C337">
        <v>0</v>
      </c>
      <c r="D337" s="1"/>
      <c r="E337" s="1"/>
      <c r="F337" s="1" t="s">
        <v>30</v>
      </c>
      <c r="G337" s="1" t="s">
        <v>1309</v>
      </c>
      <c r="H337" s="1" t="s">
        <v>1310</v>
      </c>
      <c r="I337" s="1"/>
      <c r="J337" s="1" t="s">
        <v>1701</v>
      </c>
      <c r="K337" s="1"/>
      <c r="L337" s="1"/>
      <c r="M337" s="1" t="s">
        <v>34</v>
      </c>
      <c r="N337" s="1" t="s">
        <v>266</v>
      </c>
      <c r="O337" s="1" t="s">
        <v>267</v>
      </c>
      <c r="P337" s="1" t="s">
        <v>37</v>
      </c>
      <c r="Q337" s="1"/>
      <c r="R337" s="2">
        <v>43921</v>
      </c>
      <c r="S337" s="1"/>
      <c r="W337" s="1" t="s">
        <v>38</v>
      </c>
      <c r="X337" s="2">
        <v>43928</v>
      </c>
      <c r="Y337" s="2">
        <v>43965</v>
      </c>
      <c r="Z337" s="2">
        <v>43963</v>
      </c>
      <c r="AA337" s="2">
        <v>43922</v>
      </c>
      <c r="AB337" s="2">
        <v>43921</v>
      </c>
      <c r="AC337" s="1"/>
      <c r="AD337">
        <v>42</v>
      </c>
      <c r="AE337">
        <v>303</v>
      </c>
      <c r="AG3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338" spans="1:33" x14ac:dyDescent="0.35">
      <c r="A338">
        <v>339</v>
      </c>
      <c r="B338" s="1"/>
      <c r="C338">
        <v>0</v>
      </c>
      <c r="D338" s="1"/>
      <c r="E338" s="1"/>
      <c r="F338" s="1" t="s">
        <v>30</v>
      </c>
      <c r="G338" s="1" t="s">
        <v>1311</v>
      </c>
      <c r="H338" s="1" t="s">
        <v>1312</v>
      </c>
      <c r="I338" s="1"/>
      <c r="J338" s="1" t="s">
        <v>1446</v>
      </c>
      <c r="K338" s="1"/>
      <c r="L338" s="1"/>
      <c r="M338" s="1" t="s">
        <v>197</v>
      </c>
      <c r="N338" s="1" t="s">
        <v>266</v>
      </c>
      <c r="O338" s="1" t="s">
        <v>267</v>
      </c>
      <c r="P338" s="1" t="s">
        <v>37</v>
      </c>
      <c r="Q338" s="1"/>
      <c r="R338" s="2">
        <v>43921</v>
      </c>
      <c r="S338" s="1"/>
      <c r="W338" s="1" t="s">
        <v>38</v>
      </c>
      <c r="X338" s="2">
        <v>43928</v>
      </c>
      <c r="Y338" s="2">
        <v>43937</v>
      </c>
      <c r="Z338" s="2">
        <v>43935</v>
      </c>
      <c r="AA338" s="2">
        <v>43922</v>
      </c>
      <c r="AB338" s="2">
        <v>43921</v>
      </c>
      <c r="AC338" s="1"/>
      <c r="AD338">
        <v>14</v>
      </c>
      <c r="AE338">
        <v>303</v>
      </c>
      <c r="AG3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39" spans="1:33" x14ac:dyDescent="0.35">
      <c r="A339">
        <v>340</v>
      </c>
      <c r="B339" s="1"/>
      <c r="C339">
        <v>0</v>
      </c>
      <c r="D339" s="1"/>
      <c r="E339" s="1"/>
      <c r="F339" s="1" t="s">
        <v>30</v>
      </c>
      <c r="G339" s="1" t="s">
        <v>1313</v>
      </c>
      <c r="H339" s="1" t="s">
        <v>1314</v>
      </c>
      <c r="I339" s="1"/>
      <c r="J339" s="1" t="s">
        <v>1702</v>
      </c>
      <c r="K339" s="1"/>
      <c r="L339" s="1"/>
      <c r="M339" s="1" t="s">
        <v>34</v>
      </c>
      <c r="N339" s="1" t="s">
        <v>266</v>
      </c>
      <c r="O339" s="1" t="s">
        <v>267</v>
      </c>
      <c r="P339" s="1" t="s">
        <v>37</v>
      </c>
      <c r="Q339" s="1"/>
      <c r="R339" s="2">
        <v>43921</v>
      </c>
      <c r="S339" s="1"/>
      <c r="W339" s="1" t="s">
        <v>38</v>
      </c>
      <c r="X339" s="2">
        <v>43928</v>
      </c>
      <c r="Y339" s="2">
        <v>43965</v>
      </c>
      <c r="Z339" s="2">
        <v>43964</v>
      </c>
      <c r="AA339" s="2">
        <v>43922</v>
      </c>
      <c r="AB339" s="2">
        <v>43921</v>
      </c>
      <c r="AC339" s="1"/>
      <c r="AD339">
        <v>43</v>
      </c>
      <c r="AE339">
        <v>303</v>
      </c>
      <c r="AG3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43</v>
      </c>
    </row>
    <row r="340" spans="1:33" x14ac:dyDescent="0.35">
      <c r="A340">
        <v>341</v>
      </c>
      <c r="B340" s="1"/>
      <c r="C340">
        <v>0</v>
      </c>
      <c r="D340" s="1"/>
      <c r="E340" s="1"/>
      <c r="F340" s="1" t="s">
        <v>30</v>
      </c>
      <c r="G340" s="1" t="s">
        <v>1315</v>
      </c>
      <c r="H340" s="1" t="s">
        <v>1316</v>
      </c>
      <c r="I340" s="1"/>
      <c r="J340" s="1" t="s">
        <v>1703</v>
      </c>
      <c r="K340" s="1"/>
      <c r="L340" s="1"/>
      <c r="M340" s="1" t="s">
        <v>34</v>
      </c>
      <c r="N340" s="1" t="s">
        <v>266</v>
      </c>
      <c r="O340" s="1" t="s">
        <v>267</v>
      </c>
      <c r="P340" s="1" t="s">
        <v>37</v>
      </c>
      <c r="Q340" s="1"/>
      <c r="R340" s="2">
        <v>43921</v>
      </c>
      <c r="S340" s="1"/>
      <c r="W340" s="1" t="s">
        <v>38</v>
      </c>
      <c r="X340" s="2">
        <v>43928</v>
      </c>
      <c r="Y340" s="2">
        <v>43962</v>
      </c>
      <c r="Z340" s="2">
        <v>43959</v>
      </c>
      <c r="AA340" s="2">
        <v>43922</v>
      </c>
      <c r="AB340" s="2">
        <v>43921</v>
      </c>
      <c r="AC340" s="1"/>
      <c r="AD340">
        <v>38</v>
      </c>
      <c r="AE340">
        <v>303</v>
      </c>
      <c r="AG3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38</v>
      </c>
    </row>
    <row r="341" spans="1:33" x14ac:dyDescent="0.35">
      <c r="A341">
        <v>342</v>
      </c>
      <c r="B341" s="1"/>
      <c r="C341">
        <v>0</v>
      </c>
      <c r="D341" s="1"/>
      <c r="E341" s="1"/>
      <c r="F341" s="1" t="s">
        <v>30</v>
      </c>
      <c r="G341" s="1" t="s">
        <v>1317</v>
      </c>
      <c r="H341" s="1" t="s">
        <v>1318</v>
      </c>
      <c r="I341" s="1"/>
      <c r="J341" s="1" t="s">
        <v>1704</v>
      </c>
      <c r="K341" s="1"/>
      <c r="L341" s="1"/>
      <c r="M341" s="1" t="s">
        <v>34</v>
      </c>
      <c r="N341" s="1" t="s">
        <v>266</v>
      </c>
      <c r="O341" s="1" t="s">
        <v>267</v>
      </c>
      <c r="P341" s="1" t="s">
        <v>37</v>
      </c>
      <c r="Q341" s="1"/>
      <c r="R341" s="2">
        <v>43921</v>
      </c>
      <c r="S341" s="1"/>
      <c r="W341" s="1" t="s">
        <v>38</v>
      </c>
      <c r="X341" s="2">
        <v>43928</v>
      </c>
      <c r="Y341" s="2">
        <v>43965</v>
      </c>
      <c r="Z341" s="2">
        <v>43964</v>
      </c>
      <c r="AA341" s="2">
        <v>43922</v>
      </c>
      <c r="AB341" s="2">
        <v>43921</v>
      </c>
      <c r="AC341" s="1"/>
      <c r="AD341">
        <v>43</v>
      </c>
      <c r="AE341">
        <v>303</v>
      </c>
      <c r="AG3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43</v>
      </c>
    </row>
    <row r="342" spans="1:33" x14ac:dyDescent="0.35">
      <c r="A342">
        <v>343</v>
      </c>
      <c r="B342" s="1"/>
      <c r="C342">
        <v>0</v>
      </c>
      <c r="D342" s="1"/>
      <c r="E342" s="1"/>
      <c r="F342" s="1" t="s">
        <v>30</v>
      </c>
      <c r="G342" s="1" t="s">
        <v>1319</v>
      </c>
      <c r="H342" s="1" t="s">
        <v>1320</v>
      </c>
      <c r="I342" s="1"/>
      <c r="J342" s="1" t="s">
        <v>1321</v>
      </c>
      <c r="K342" s="1"/>
      <c r="L342" s="1"/>
      <c r="M342" s="1" t="s">
        <v>34</v>
      </c>
      <c r="N342" s="1" t="s">
        <v>266</v>
      </c>
      <c r="O342" s="1" t="s">
        <v>267</v>
      </c>
      <c r="P342" s="1" t="s">
        <v>37</v>
      </c>
      <c r="Q342" s="1"/>
      <c r="R342" s="2">
        <v>43921</v>
      </c>
      <c r="S342" s="1"/>
      <c r="W342" s="1" t="s">
        <v>38</v>
      </c>
      <c r="X342" s="2">
        <v>43928</v>
      </c>
      <c r="Y342" s="2">
        <v>43931</v>
      </c>
      <c r="Z342" s="2">
        <v>43930</v>
      </c>
      <c r="AA342" s="2">
        <v>43922</v>
      </c>
      <c r="AB342" s="2">
        <v>43921</v>
      </c>
      <c r="AC342" s="1"/>
      <c r="AD342">
        <v>9</v>
      </c>
      <c r="AE342">
        <v>303</v>
      </c>
      <c r="AG3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343" spans="1:33" x14ac:dyDescent="0.35">
      <c r="A343">
        <v>344</v>
      </c>
      <c r="B343" s="1"/>
      <c r="C343">
        <v>0</v>
      </c>
      <c r="D343" s="1"/>
      <c r="E343" s="1"/>
      <c r="F343" s="1" t="s">
        <v>30</v>
      </c>
      <c r="G343" s="1" t="s">
        <v>1322</v>
      </c>
      <c r="H343" s="1" t="s">
        <v>1323</v>
      </c>
      <c r="I343" s="1"/>
      <c r="J343" s="1" t="s">
        <v>1447</v>
      </c>
      <c r="K343" s="1"/>
      <c r="L343" s="1"/>
      <c r="M343" s="1" t="s">
        <v>34</v>
      </c>
      <c r="N343" s="1" t="s">
        <v>43</v>
      </c>
      <c r="O343" s="1" t="s">
        <v>44</v>
      </c>
      <c r="P343" s="1" t="s">
        <v>37</v>
      </c>
      <c r="Q343" s="1"/>
      <c r="R343" s="2">
        <v>43921</v>
      </c>
      <c r="S343" s="1"/>
      <c r="W343" s="1" t="s">
        <v>38</v>
      </c>
      <c r="X343" s="2">
        <v>43928</v>
      </c>
      <c r="Y343" s="2">
        <v>43935</v>
      </c>
      <c r="Z343" s="2">
        <v>43934</v>
      </c>
      <c r="AA343" s="2"/>
      <c r="AB343" s="2">
        <v>43921</v>
      </c>
      <c r="AC343" s="1"/>
      <c r="AD343">
        <v>13</v>
      </c>
      <c r="AE343">
        <v>303</v>
      </c>
      <c r="AG3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344" spans="1:33" x14ac:dyDescent="0.35">
      <c r="A344">
        <v>345</v>
      </c>
      <c r="B344" s="1"/>
      <c r="C344">
        <v>0</v>
      </c>
      <c r="D344" s="1"/>
      <c r="E344" s="1"/>
      <c r="F344" s="1" t="s">
        <v>30</v>
      </c>
      <c r="G344" s="1" t="s">
        <v>1324</v>
      </c>
      <c r="H344" s="1" t="s">
        <v>1325</v>
      </c>
      <c r="I344" s="1"/>
      <c r="J344" s="1" t="s">
        <v>1448</v>
      </c>
      <c r="K344" s="1"/>
      <c r="L344" s="1"/>
      <c r="M344" s="1" t="s">
        <v>34</v>
      </c>
      <c r="N344" s="1" t="s">
        <v>266</v>
      </c>
      <c r="O344" s="1" t="s">
        <v>267</v>
      </c>
      <c r="P344" s="1" t="s">
        <v>37</v>
      </c>
      <c r="Q344" s="1"/>
      <c r="R344" s="2">
        <v>43921</v>
      </c>
      <c r="S344" s="1"/>
      <c r="W344" s="1" t="s">
        <v>38</v>
      </c>
      <c r="X344" s="2">
        <v>43928</v>
      </c>
      <c r="Y344" s="2">
        <v>43951</v>
      </c>
      <c r="Z344" s="2">
        <v>43951</v>
      </c>
      <c r="AA344" s="2">
        <v>43923</v>
      </c>
      <c r="AB344" s="2">
        <v>43921</v>
      </c>
      <c r="AC344" s="1"/>
      <c r="AD344">
        <v>30</v>
      </c>
      <c r="AE344">
        <v>303</v>
      </c>
      <c r="AG3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345" spans="1:33" x14ac:dyDescent="0.35">
      <c r="A345">
        <v>346</v>
      </c>
      <c r="B345" s="1"/>
      <c r="C345">
        <v>0</v>
      </c>
      <c r="D345" s="1"/>
      <c r="E345" s="1"/>
      <c r="F345" s="1" t="s">
        <v>30</v>
      </c>
      <c r="G345" s="1" t="s">
        <v>1326</v>
      </c>
      <c r="H345" s="1" t="s">
        <v>1327</v>
      </c>
      <c r="I345" s="1"/>
      <c r="J345" s="1"/>
      <c r="K345" s="1"/>
      <c r="L345" s="1"/>
      <c r="M345" s="1" t="s">
        <v>34</v>
      </c>
      <c r="N345" s="1" t="s">
        <v>192</v>
      </c>
      <c r="O345" s="1" t="s">
        <v>193</v>
      </c>
      <c r="P345" s="1" t="s">
        <v>164</v>
      </c>
      <c r="Q345" s="1"/>
      <c r="R345" s="2">
        <v>43921</v>
      </c>
      <c r="S345" s="1"/>
      <c r="W345" s="1" t="s">
        <v>38</v>
      </c>
      <c r="X345" s="2">
        <v>43928</v>
      </c>
      <c r="Y345" s="2">
        <v>43923</v>
      </c>
      <c r="Z345" s="2"/>
      <c r="AA345" s="2"/>
      <c r="AB345" s="2">
        <v>43921</v>
      </c>
      <c r="AC345" s="1"/>
      <c r="AE345">
        <v>303</v>
      </c>
      <c r="AG3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46" spans="1:33" x14ac:dyDescent="0.35">
      <c r="A346">
        <v>347</v>
      </c>
      <c r="B346" s="1"/>
      <c r="C346">
        <v>0</v>
      </c>
      <c r="D346" s="1"/>
      <c r="E346" s="1"/>
      <c r="F346" s="1" t="s">
        <v>30</v>
      </c>
      <c r="G346" s="1" t="s">
        <v>1328</v>
      </c>
      <c r="H346" s="1" t="s">
        <v>1329</v>
      </c>
      <c r="I346" s="1"/>
      <c r="J346" s="1" t="s">
        <v>1449</v>
      </c>
      <c r="K346" s="1"/>
      <c r="L346" s="1"/>
      <c r="M346" s="1" t="s">
        <v>34</v>
      </c>
      <c r="N346" s="1" t="s">
        <v>245</v>
      </c>
      <c r="O346" s="1" t="s">
        <v>147</v>
      </c>
      <c r="P346" s="1" t="s">
        <v>379</v>
      </c>
      <c r="Q346" s="1"/>
      <c r="R346" s="2">
        <v>43922</v>
      </c>
      <c r="S346" s="1"/>
      <c r="W346" s="1" t="s">
        <v>38</v>
      </c>
      <c r="X346" s="2">
        <v>43929</v>
      </c>
      <c r="Y346" s="2">
        <v>43941</v>
      </c>
      <c r="Z346" s="2">
        <v>43941</v>
      </c>
      <c r="AA346" s="2">
        <v>43938</v>
      </c>
      <c r="AB346" s="2">
        <v>43922</v>
      </c>
      <c r="AC346" s="1"/>
      <c r="AD346">
        <v>19</v>
      </c>
      <c r="AE346">
        <v>302</v>
      </c>
      <c r="AG3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347" spans="1:33" x14ac:dyDescent="0.35">
      <c r="A347">
        <v>348</v>
      </c>
      <c r="B347" s="1"/>
      <c r="C347">
        <v>0</v>
      </c>
      <c r="D347" s="1"/>
      <c r="E347" s="1"/>
      <c r="F347" s="1" t="s">
        <v>30</v>
      </c>
      <c r="G347" s="1" t="s">
        <v>1330</v>
      </c>
      <c r="H347" s="1" t="s">
        <v>1331</v>
      </c>
      <c r="I347" s="1"/>
      <c r="J347" s="1" t="s">
        <v>1332</v>
      </c>
      <c r="K347" s="1"/>
      <c r="L347" s="1"/>
      <c r="M347" s="1" t="s">
        <v>197</v>
      </c>
      <c r="N347" s="1" t="s">
        <v>437</v>
      </c>
      <c r="O347" s="1" t="s">
        <v>44</v>
      </c>
      <c r="P347" s="1" t="s">
        <v>278</v>
      </c>
      <c r="Q347" s="1"/>
      <c r="R347" s="2">
        <v>43922</v>
      </c>
      <c r="S347" s="1"/>
      <c r="W347" s="1" t="s">
        <v>38</v>
      </c>
      <c r="X347" s="2">
        <v>43925</v>
      </c>
      <c r="Y347" s="2">
        <v>43971</v>
      </c>
      <c r="Z347" s="2">
        <v>43924</v>
      </c>
      <c r="AA347" s="2">
        <v>43923</v>
      </c>
      <c r="AB347" s="2">
        <v>43922</v>
      </c>
      <c r="AC347" s="1"/>
      <c r="AD347">
        <v>2</v>
      </c>
      <c r="AE347">
        <v>302</v>
      </c>
      <c r="AG3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48" spans="1:33" x14ac:dyDescent="0.35">
      <c r="A348">
        <v>349</v>
      </c>
      <c r="B348" s="1"/>
      <c r="C348">
        <v>0</v>
      </c>
      <c r="D348" s="1" t="s">
        <v>1256</v>
      </c>
      <c r="E348" s="1" t="s">
        <v>1333</v>
      </c>
      <c r="F348" s="1" t="s">
        <v>30</v>
      </c>
      <c r="G348" s="1" t="s">
        <v>1334</v>
      </c>
      <c r="H348" s="1" t="s">
        <v>1335</v>
      </c>
      <c r="I348" s="1"/>
      <c r="J348" s="1" t="s">
        <v>1450</v>
      </c>
      <c r="K348" s="1"/>
      <c r="L348" s="1"/>
      <c r="M348" s="1" t="s">
        <v>197</v>
      </c>
      <c r="N348" s="1" t="s">
        <v>359</v>
      </c>
      <c r="O348" s="1" t="s">
        <v>360</v>
      </c>
      <c r="P348" s="1" t="s">
        <v>37</v>
      </c>
      <c r="Q348" s="1"/>
      <c r="R348" s="2">
        <v>43922</v>
      </c>
      <c r="S348" s="1"/>
      <c r="W348" s="1" t="s">
        <v>38</v>
      </c>
      <c r="X348" s="2">
        <v>43931</v>
      </c>
      <c r="Y348" s="2">
        <v>43951</v>
      </c>
      <c r="Z348" s="2">
        <v>43948</v>
      </c>
      <c r="AA348" s="2"/>
      <c r="AB348" s="2">
        <v>43922</v>
      </c>
      <c r="AC348" s="1"/>
      <c r="AD348">
        <v>26</v>
      </c>
      <c r="AE348">
        <v>302</v>
      </c>
      <c r="AG3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349" spans="1:33" x14ac:dyDescent="0.35">
      <c r="A349">
        <v>350</v>
      </c>
      <c r="B349" s="1"/>
      <c r="C349">
        <v>0</v>
      </c>
      <c r="D349" s="1" t="s">
        <v>1256</v>
      </c>
      <c r="E349" s="1" t="s">
        <v>1333</v>
      </c>
      <c r="F349" s="1" t="s">
        <v>30</v>
      </c>
      <c r="G349" s="1" t="s">
        <v>1336</v>
      </c>
      <c r="H349" s="1" t="s">
        <v>1337</v>
      </c>
      <c r="I349" s="1"/>
      <c r="J349" s="1" t="s">
        <v>1338</v>
      </c>
      <c r="K349" s="1"/>
      <c r="L349" s="1"/>
      <c r="M349" s="1" t="s">
        <v>197</v>
      </c>
      <c r="N349" s="1" t="s">
        <v>359</v>
      </c>
      <c r="O349" s="1" t="s">
        <v>360</v>
      </c>
      <c r="P349" s="1" t="s">
        <v>37</v>
      </c>
      <c r="Q349" s="1"/>
      <c r="R349" s="2">
        <v>43922</v>
      </c>
      <c r="S349" s="1"/>
      <c r="W349" s="1" t="s">
        <v>38</v>
      </c>
      <c r="X349" s="2">
        <v>43931</v>
      </c>
      <c r="Y349" s="2">
        <v>43928</v>
      </c>
      <c r="Z349" s="2">
        <v>43923</v>
      </c>
      <c r="AA349" s="2"/>
      <c r="AB349" s="2">
        <v>43922</v>
      </c>
      <c r="AC349" s="1"/>
      <c r="AD349">
        <v>1</v>
      </c>
      <c r="AE349">
        <v>302</v>
      </c>
      <c r="AG3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50" spans="1:33" x14ac:dyDescent="0.35">
      <c r="A350">
        <v>351</v>
      </c>
      <c r="B350" s="1"/>
      <c r="C350">
        <v>0</v>
      </c>
      <c r="D350" s="1" t="s">
        <v>1256</v>
      </c>
      <c r="E350" s="1" t="s">
        <v>1333</v>
      </c>
      <c r="F350" s="1" t="s">
        <v>30</v>
      </c>
      <c r="G350" s="1" t="s">
        <v>1339</v>
      </c>
      <c r="H350" s="1" t="s">
        <v>1340</v>
      </c>
      <c r="I350" s="1"/>
      <c r="J350" s="1" t="s">
        <v>1451</v>
      </c>
      <c r="K350" s="1"/>
      <c r="L350" s="1"/>
      <c r="M350" s="1" t="s">
        <v>197</v>
      </c>
      <c r="N350" s="1" t="s">
        <v>359</v>
      </c>
      <c r="O350" s="1" t="s">
        <v>360</v>
      </c>
      <c r="P350" s="1" t="s">
        <v>37</v>
      </c>
      <c r="Q350" s="1"/>
      <c r="R350" s="2">
        <v>43922</v>
      </c>
      <c r="S350" s="1"/>
      <c r="V350">
        <v>16281</v>
      </c>
      <c r="W350" s="1" t="s">
        <v>38</v>
      </c>
      <c r="X350" s="2">
        <v>43931</v>
      </c>
      <c r="Y350" s="2">
        <v>43943</v>
      </c>
      <c r="Z350" s="2">
        <v>43938</v>
      </c>
      <c r="AA350" s="2"/>
      <c r="AB350" s="2">
        <v>43922</v>
      </c>
      <c r="AC350" s="1"/>
      <c r="AD350">
        <v>16</v>
      </c>
      <c r="AE350">
        <v>302</v>
      </c>
      <c r="AG3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351" spans="1:33" x14ac:dyDescent="0.35">
      <c r="A351">
        <v>352</v>
      </c>
      <c r="B351" s="1"/>
      <c r="C351">
        <v>0</v>
      </c>
      <c r="D351" s="1" t="s">
        <v>1341</v>
      </c>
      <c r="E351" s="1"/>
      <c r="F351" s="1" t="s">
        <v>30</v>
      </c>
      <c r="G351" s="1" t="s">
        <v>1342</v>
      </c>
      <c r="H351" s="1" t="s">
        <v>1343</v>
      </c>
      <c r="I351" s="1"/>
      <c r="J351" s="1" t="s">
        <v>1344</v>
      </c>
      <c r="K351" s="1"/>
      <c r="L351" s="1"/>
      <c r="M351" s="1" t="s">
        <v>34</v>
      </c>
      <c r="N351" s="1" t="s">
        <v>378</v>
      </c>
      <c r="O351" s="1" t="s">
        <v>147</v>
      </c>
      <c r="P351" s="1" t="s">
        <v>379</v>
      </c>
      <c r="Q351" s="1"/>
      <c r="R351" s="2">
        <v>43922</v>
      </c>
      <c r="S351" s="1"/>
      <c r="W351" s="1" t="s">
        <v>38</v>
      </c>
      <c r="X351" s="2">
        <v>43929</v>
      </c>
      <c r="Y351" s="2">
        <v>43931</v>
      </c>
      <c r="Z351" s="2">
        <v>43930</v>
      </c>
      <c r="AA351" s="2">
        <v>43923</v>
      </c>
      <c r="AB351" s="2">
        <v>43922</v>
      </c>
      <c r="AC351" s="1"/>
      <c r="AD351">
        <v>8</v>
      </c>
      <c r="AE351">
        <v>302</v>
      </c>
      <c r="AG3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52" spans="1:33" x14ac:dyDescent="0.35">
      <c r="A352">
        <v>353</v>
      </c>
      <c r="B352" s="1"/>
      <c r="C352">
        <v>0</v>
      </c>
      <c r="D352" s="1" t="s">
        <v>206</v>
      </c>
      <c r="E352" s="1" t="s">
        <v>1280</v>
      </c>
      <c r="F352" s="1" t="s">
        <v>30</v>
      </c>
      <c r="G352" s="1" t="s">
        <v>1345</v>
      </c>
      <c r="H352" s="1" t="s">
        <v>1346</v>
      </c>
      <c r="I352" s="1" t="s">
        <v>1347</v>
      </c>
      <c r="J352" s="1" t="s">
        <v>1651</v>
      </c>
      <c r="K352" s="1"/>
      <c r="L352" s="1"/>
      <c r="M352" s="1" t="s">
        <v>34</v>
      </c>
      <c r="N352" s="1" t="s">
        <v>97</v>
      </c>
      <c r="O352" s="1" t="s">
        <v>98</v>
      </c>
      <c r="P352" s="1" t="s">
        <v>37</v>
      </c>
      <c r="Q352" s="1"/>
      <c r="R352" s="2">
        <v>43922</v>
      </c>
      <c r="S352" s="1"/>
      <c r="W352" s="1" t="s">
        <v>38</v>
      </c>
      <c r="X352" s="2">
        <v>43929</v>
      </c>
      <c r="Y352" s="2">
        <v>43956</v>
      </c>
      <c r="Z352" s="2">
        <v>43956</v>
      </c>
      <c r="AA352" s="2">
        <v>43923</v>
      </c>
      <c r="AB352" s="2">
        <v>43922</v>
      </c>
      <c r="AC352" s="1"/>
      <c r="AD352">
        <v>34</v>
      </c>
      <c r="AE352">
        <v>302</v>
      </c>
      <c r="AG3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353" spans="1:33" x14ac:dyDescent="0.35">
      <c r="A353">
        <v>354</v>
      </c>
      <c r="B353" s="1"/>
      <c r="C353">
        <v>0</v>
      </c>
      <c r="D353" s="1" t="s">
        <v>111</v>
      </c>
      <c r="E353" s="1" t="s">
        <v>1348</v>
      </c>
      <c r="F353" s="1" t="s">
        <v>30</v>
      </c>
      <c r="G353" s="1" t="s">
        <v>1349</v>
      </c>
      <c r="H353" s="1" t="s">
        <v>1350</v>
      </c>
      <c r="I353" s="1" t="s">
        <v>1351</v>
      </c>
      <c r="J353" s="1" t="s">
        <v>1652</v>
      </c>
      <c r="K353" s="1"/>
      <c r="L353" s="1"/>
      <c r="M353" s="1" t="s">
        <v>34</v>
      </c>
      <c r="N353" s="1" t="s">
        <v>97</v>
      </c>
      <c r="O353" s="1" t="s">
        <v>98</v>
      </c>
      <c r="P353" s="1" t="s">
        <v>37</v>
      </c>
      <c r="Q353" s="1"/>
      <c r="R353" s="2">
        <v>43922</v>
      </c>
      <c r="S353" s="1"/>
      <c r="W353" s="1" t="s">
        <v>38</v>
      </c>
      <c r="X353" s="2">
        <v>43929</v>
      </c>
      <c r="Y353" s="2">
        <v>43956</v>
      </c>
      <c r="Z353" s="2">
        <v>43956</v>
      </c>
      <c r="AA353" s="2">
        <v>43927</v>
      </c>
      <c r="AB353" s="2">
        <v>43922</v>
      </c>
      <c r="AC353" s="1"/>
      <c r="AD353">
        <v>34</v>
      </c>
      <c r="AE353">
        <v>302</v>
      </c>
      <c r="AG3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354" spans="1:33" x14ac:dyDescent="0.35">
      <c r="A354">
        <v>355</v>
      </c>
      <c r="B354" s="1"/>
      <c r="C354">
        <v>0</v>
      </c>
      <c r="D354" s="1" t="s">
        <v>1352</v>
      </c>
      <c r="E354" s="1" t="s">
        <v>1353</v>
      </c>
      <c r="F354" s="1" t="s">
        <v>30</v>
      </c>
      <c r="G354" s="1" t="s">
        <v>1354</v>
      </c>
      <c r="H354" s="1" t="s">
        <v>1355</v>
      </c>
      <c r="I354" s="1"/>
      <c r="J354" s="1" t="s">
        <v>1356</v>
      </c>
      <c r="K354" s="1"/>
      <c r="L354" s="1"/>
      <c r="M354" s="1" t="s">
        <v>34</v>
      </c>
      <c r="N354" s="1" t="s">
        <v>378</v>
      </c>
      <c r="O354" s="1" t="s">
        <v>147</v>
      </c>
      <c r="P354" s="1" t="s">
        <v>37</v>
      </c>
      <c r="Q354" s="1"/>
      <c r="R354" s="2">
        <v>43922</v>
      </c>
      <c r="S354" s="1"/>
      <c r="W354" s="1" t="s">
        <v>38</v>
      </c>
      <c r="X354" s="2">
        <v>43929</v>
      </c>
      <c r="Y354" s="2">
        <v>43935</v>
      </c>
      <c r="Z354" s="2">
        <v>43930</v>
      </c>
      <c r="AA354" s="2">
        <v>43931</v>
      </c>
      <c r="AB354" s="2">
        <v>43922</v>
      </c>
      <c r="AC354" s="1"/>
      <c r="AD354">
        <v>8</v>
      </c>
      <c r="AE354">
        <v>302</v>
      </c>
      <c r="AG3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55" spans="1:33" x14ac:dyDescent="0.35">
      <c r="A355">
        <v>356</v>
      </c>
      <c r="B355" s="1"/>
      <c r="C355">
        <v>0</v>
      </c>
      <c r="D355" s="1" t="s">
        <v>1357</v>
      </c>
      <c r="E355" s="1" t="s">
        <v>1358</v>
      </c>
      <c r="F355" s="1" t="s">
        <v>30</v>
      </c>
      <c r="G355" s="1" t="s">
        <v>1359</v>
      </c>
      <c r="H355" s="1" t="s">
        <v>1360</v>
      </c>
      <c r="I355" s="1"/>
      <c r="J355" s="1" t="s">
        <v>1705</v>
      </c>
      <c r="K355" s="1"/>
      <c r="L355" s="1"/>
      <c r="M355" s="1" t="s">
        <v>34</v>
      </c>
      <c r="N355" s="1" t="s">
        <v>378</v>
      </c>
      <c r="O355" s="1" t="s">
        <v>147</v>
      </c>
      <c r="P355" s="1" t="s">
        <v>37</v>
      </c>
      <c r="Q355" s="1"/>
      <c r="R355" s="2">
        <v>43923</v>
      </c>
      <c r="S355" s="1"/>
      <c r="W355" s="1" t="s">
        <v>38</v>
      </c>
      <c r="X355" s="2">
        <v>43930</v>
      </c>
      <c r="Y355" s="2">
        <v>43962</v>
      </c>
      <c r="Z355" s="2">
        <v>43959</v>
      </c>
      <c r="AA355" s="2">
        <v>43923</v>
      </c>
      <c r="AB355" s="2">
        <v>43923</v>
      </c>
      <c r="AC355" s="1"/>
      <c r="AD355">
        <v>36</v>
      </c>
      <c r="AE355">
        <v>301</v>
      </c>
      <c r="AG3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356" spans="1:33" x14ac:dyDescent="0.35">
      <c r="A356">
        <v>357</v>
      </c>
      <c r="B356" s="1"/>
      <c r="C356">
        <v>0</v>
      </c>
      <c r="D356" s="1"/>
      <c r="E356" s="1" t="s">
        <v>1361</v>
      </c>
      <c r="F356" s="1" t="s">
        <v>30</v>
      </c>
      <c r="G356" s="1" t="s">
        <v>1362</v>
      </c>
      <c r="H356" s="1" t="s">
        <v>1363</v>
      </c>
      <c r="I356" s="1"/>
      <c r="J356" s="1" t="s">
        <v>1364</v>
      </c>
      <c r="K356" s="1"/>
      <c r="L356" s="1"/>
      <c r="M356" s="1" t="s">
        <v>197</v>
      </c>
      <c r="N356" s="1" t="s">
        <v>43</v>
      </c>
      <c r="O356" s="1" t="s">
        <v>44</v>
      </c>
      <c r="P356" s="1" t="s">
        <v>37</v>
      </c>
      <c r="Q356" s="1"/>
      <c r="R356" s="2">
        <v>43923</v>
      </c>
      <c r="S356" s="1"/>
      <c r="W356" s="1" t="s">
        <v>38</v>
      </c>
      <c r="X356" s="2">
        <v>43924</v>
      </c>
      <c r="Y356" s="2">
        <v>43944</v>
      </c>
      <c r="Z356" s="2">
        <v>43930</v>
      </c>
      <c r="AA356" s="2">
        <v>43923</v>
      </c>
      <c r="AB356" s="2">
        <v>43923</v>
      </c>
      <c r="AC356" s="1"/>
      <c r="AD356">
        <v>7</v>
      </c>
      <c r="AE356">
        <v>301</v>
      </c>
      <c r="AG3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57" spans="1:33" x14ac:dyDescent="0.35">
      <c r="A357">
        <v>358</v>
      </c>
      <c r="B357" s="1"/>
      <c r="C357">
        <v>0</v>
      </c>
      <c r="D357" s="1"/>
      <c r="E357" s="1"/>
      <c r="F357" s="1" t="s">
        <v>30</v>
      </c>
      <c r="G357" s="1" t="s">
        <v>1365</v>
      </c>
      <c r="H357" s="1" t="s">
        <v>1366</v>
      </c>
      <c r="I357" s="1"/>
      <c r="J357" s="1" t="s">
        <v>1452</v>
      </c>
      <c r="K357" s="1"/>
      <c r="L357" s="1"/>
      <c r="M357" s="1" t="s">
        <v>34</v>
      </c>
      <c r="N357" s="1" t="s">
        <v>43</v>
      </c>
      <c r="O357" s="1" t="s">
        <v>44</v>
      </c>
      <c r="P357" s="1" t="s">
        <v>37</v>
      </c>
      <c r="Q357" s="1"/>
      <c r="R357" s="2">
        <v>43923</v>
      </c>
      <c r="S357" s="1"/>
      <c r="W357" s="1" t="s">
        <v>38</v>
      </c>
      <c r="X357" s="2">
        <v>43930</v>
      </c>
      <c r="Y357" s="2">
        <v>43937</v>
      </c>
      <c r="Z357" s="2">
        <v>43936</v>
      </c>
      <c r="AA357" s="2"/>
      <c r="AB357" s="2">
        <v>43923</v>
      </c>
      <c r="AC357" s="1"/>
      <c r="AD357">
        <v>13</v>
      </c>
      <c r="AE357">
        <v>301</v>
      </c>
      <c r="AG3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358" spans="1:33" x14ac:dyDescent="0.35">
      <c r="A358">
        <v>359</v>
      </c>
      <c r="B358" s="1"/>
      <c r="C358">
        <v>0</v>
      </c>
      <c r="D358" s="1" t="s">
        <v>1367</v>
      </c>
      <c r="E358" s="1" t="s">
        <v>1368</v>
      </c>
      <c r="F358" s="1" t="s">
        <v>30</v>
      </c>
      <c r="G358" s="1" t="s">
        <v>1369</v>
      </c>
      <c r="H358" s="1" t="s">
        <v>1370</v>
      </c>
      <c r="I358" s="1"/>
      <c r="J358" s="1" t="s">
        <v>1706</v>
      </c>
      <c r="K358" s="1"/>
      <c r="L358" s="1"/>
      <c r="M358" s="1" t="s">
        <v>34</v>
      </c>
      <c r="N358" s="1" t="s">
        <v>585</v>
      </c>
      <c r="O358" s="1" t="s">
        <v>586</v>
      </c>
      <c r="P358" s="1" t="s">
        <v>278</v>
      </c>
      <c r="Q358" s="1"/>
      <c r="R358" s="2">
        <v>43959</v>
      </c>
      <c r="S358" s="1"/>
      <c r="U358">
        <v>3000</v>
      </c>
      <c r="W358" s="1" t="s">
        <v>38</v>
      </c>
      <c r="X358" s="2">
        <v>43930</v>
      </c>
      <c r="Y358" s="2">
        <v>43959</v>
      </c>
      <c r="Z358" s="2">
        <v>43959</v>
      </c>
      <c r="AA358" s="2">
        <v>43928</v>
      </c>
      <c r="AB358" s="2">
        <v>43923</v>
      </c>
      <c r="AC358" s="1"/>
      <c r="AD358">
        <v>36</v>
      </c>
      <c r="AE358">
        <v>301</v>
      </c>
      <c r="AG3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359" spans="1:33" x14ac:dyDescent="0.35">
      <c r="A359">
        <v>360</v>
      </c>
      <c r="B359" s="1"/>
      <c r="C359">
        <v>0</v>
      </c>
      <c r="D359" s="1"/>
      <c r="E359" s="1"/>
      <c r="F359" s="1" t="s">
        <v>30</v>
      </c>
      <c r="G359" s="1" t="s">
        <v>1371</v>
      </c>
      <c r="H359" s="1" t="s">
        <v>1372</v>
      </c>
      <c r="I359" s="1"/>
      <c r="J359" s="1" t="s">
        <v>1707</v>
      </c>
      <c r="K359" s="1"/>
      <c r="L359" s="1"/>
      <c r="M359" s="1" t="s">
        <v>34</v>
      </c>
      <c r="N359" s="1" t="s">
        <v>341</v>
      </c>
      <c r="O359" s="1" t="s">
        <v>62</v>
      </c>
      <c r="P359" s="1" t="s">
        <v>63</v>
      </c>
      <c r="Q359" s="1"/>
      <c r="R359" s="2">
        <v>43924</v>
      </c>
      <c r="S359" s="1"/>
      <c r="W359" s="1" t="s">
        <v>38</v>
      </c>
      <c r="X359" s="2">
        <v>43930</v>
      </c>
      <c r="Y359" s="2">
        <v>43971</v>
      </c>
      <c r="Z359" s="2">
        <v>43969</v>
      </c>
      <c r="AA359" s="2">
        <v>43966</v>
      </c>
      <c r="AB359" s="2">
        <v>43924</v>
      </c>
      <c r="AC359" s="1"/>
      <c r="AD359">
        <v>45</v>
      </c>
      <c r="AE359">
        <v>300</v>
      </c>
      <c r="AG3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360" spans="1:33" x14ac:dyDescent="0.35">
      <c r="A360">
        <v>361</v>
      </c>
      <c r="B360" s="1"/>
      <c r="C360">
        <v>0</v>
      </c>
      <c r="D360" s="1"/>
      <c r="E360" s="1"/>
      <c r="F360" s="1" t="s">
        <v>30</v>
      </c>
      <c r="G360" s="1" t="s">
        <v>1373</v>
      </c>
      <c r="H360" s="1" t="s">
        <v>1374</v>
      </c>
      <c r="I360" s="1"/>
      <c r="J360" s="1" t="s">
        <v>1453</v>
      </c>
      <c r="K360" s="1"/>
      <c r="L360" s="1"/>
      <c r="M360" s="1" t="s">
        <v>197</v>
      </c>
      <c r="N360" s="1" t="s">
        <v>164</v>
      </c>
      <c r="O360" s="1"/>
      <c r="P360" s="1" t="s">
        <v>37</v>
      </c>
      <c r="Q360" s="1"/>
      <c r="R360" s="2">
        <v>43949</v>
      </c>
      <c r="S360" s="1"/>
      <c r="W360" s="1" t="s">
        <v>38</v>
      </c>
      <c r="X360" s="2">
        <v>43927</v>
      </c>
      <c r="Y360" s="2">
        <v>43951</v>
      </c>
      <c r="Z360" s="2">
        <v>43949</v>
      </c>
      <c r="AA360" s="2"/>
      <c r="AB360" s="2">
        <v>43924</v>
      </c>
      <c r="AC360" s="1"/>
      <c r="AD360">
        <v>25</v>
      </c>
      <c r="AE360">
        <v>300</v>
      </c>
      <c r="AG3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361" spans="1:33" x14ac:dyDescent="0.35">
      <c r="A361">
        <v>362</v>
      </c>
      <c r="B361" s="1"/>
      <c r="C361">
        <v>0</v>
      </c>
      <c r="D361" s="1" t="s">
        <v>111</v>
      </c>
      <c r="E361" s="1" t="s">
        <v>1375</v>
      </c>
      <c r="F361" s="1" t="s">
        <v>30</v>
      </c>
      <c r="G361" s="1" t="s">
        <v>1376</v>
      </c>
      <c r="H361" s="1" t="s">
        <v>1377</v>
      </c>
      <c r="I361" s="1" t="s">
        <v>1378</v>
      </c>
      <c r="J361" s="1" t="s">
        <v>1708</v>
      </c>
      <c r="K361" s="1"/>
      <c r="L361" s="1"/>
      <c r="M361" s="1" t="s">
        <v>34</v>
      </c>
      <c r="N361" s="1" t="s">
        <v>97</v>
      </c>
      <c r="O361" s="1" t="s">
        <v>98</v>
      </c>
      <c r="P361" s="1" t="s">
        <v>37</v>
      </c>
      <c r="Q361" s="1"/>
      <c r="R361" s="2">
        <v>43924</v>
      </c>
      <c r="S361" s="1"/>
      <c r="W361" s="1" t="s">
        <v>38</v>
      </c>
      <c r="X361" s="2">
        <v>43931</v>
      </c>
      <c r="Y361" s="2">
        <v>43962</v>
      </c>
      <c r="Z361" s="2">
        <v>43959</v>
      </c>
      <c r="AA361" s="2">
        <v>43927</v>
      </c>
      <c r="AB361" s="2">
        <v>43924</v>
      </c>
      <c r="AC361" s="1"/>
      <c r="AD361">
        <v>35</v>
      </c>
      <c r="AE361">
        <v>300</v>
      </c>
      <c r="AG3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62" spans="1:33" x14ac:dyDescent="0.35">
      <c r="A362">
        <v>363</v>
      </c>
      <c r="B362" s="1"/>
      <c r="C362">
        <v>0</v>
      </c>
      <c r="D362" s="1" t="s">
        <v>111</v>
      </c>
      <c r="E362" s="1" t="s">
        <v>1379</v>
      </c>
      <c r="F362" s="1" t="s">
        <v>30</v>
      </c>
      <c r="G362" s="1" t="s">
        <v>1380</v>
      </c>
      <c r="H362" s="1" t="s">
        <v>1381</v>
      </c>
      <c r="I362" s="1" t="s">
        <v>1382</v>
      </c>
      <c r="J362" s="1" t="s">
        <v>1454</v>
      </c>
      <c r="K362" s="1"/>
      <c r="L362" s="1"/>
      <c r="M362" s="1" t="s">
        <v>34</v>
      </c>
      <c r="N362" s="1" t="s">
        <v>97</v>
      </c>
      <c r="O362" s="1" t="s">
        <v>98</v>
      </c>
      <c r="P362" s="1" t="s">
        <v>37</v>
      </c>
      <c r="Q362" s="1"/>
      <c r="R362" s="2">
        <v>43924</v>
      </c>
      <c r="S362" s="1"/>
      <c r="W362" s="1" t="s">
        <v>38</v>
      </c>
      <c r="X362" s="2">
        <v>43931</v>
      </c>
      <c r="Y362" s="2">
        <v>43948</v>
      </c>
      <c r="Z362" s="2">
        <v>43948</v>
      </c>
      <c r="AA362" s="2">
        <v>43927</v>
      </c>
      <c r="AB362" s="2">
        <v>43924</v>
      </c>
      <c r="AC362" s="1"/>
      <c r="AD362">
        <v>24</v>
      </c>
      <c r="AE362">
        <v>300</v>
      </c>
      <c r="AG3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363" spans="1:33" x14ac:dyDescent="0.35">
      <c r="A363">
        <v>364</v>
      </c>
      <c r="B363" s="1"/>
      <c r="C363">
        <v>0</v>
      </c>
      <c r="D363" s="1" t="s">
        <v>111</v>
      </c>
      <c r="E363" s="1" t="s">
        <v>1383</v>
      </c>
      <c r="F363" s="1" t="s">
        <v>30</v>
      </c>
      <c r="G363" s="1" t="s">
        <v>1384</v>
      </c>
      <c r="H363" s="1" t="s">
        <v>1385</v>
      </c>
      <c r="I363" s="1" t="s">
        <v>1386</v>
      </c>
      <c r="J363" s="1" t="s">
        <v>1455</v>
      </c>
      <c r="K363" s="1"/>
      <c r="L363" s="1"/>
      <c r="M363" s="1" t="s">
        <v>34</v>
      </c>
      <c r="N363" s="1" t="s">
        <v>97</v>
      </c>
      <c r="O363" s="1" t="s">
        <v>98</v>
      </c>
      <c r="P363" s="1" t="s">
        <v>37</v>
      </c>
      <c r="Q363" s="1"/>
      <c r="R363" s="2">
        <v>43924</v>
      </c>
      <c r="S363" s="1"/>
      <c r="W363" s="1" t="s">
        <v>38</v>
      </c>
      <c r="X363" s="2">
        <v>43931</v>
      </c>
      <c r="Y363" s="2">
        <v>43936</v>
      </c>
      <c r="Z363" s="2">
        <v>43935</v>
      </c>
      <c r="AA363" s="2">
        <v>43927</v>
      </c>
      <c r="AB363" s="2">
        <v>43924</v>
      </c>
      <c r="AC363" s="1"/>
      <c r="AD363">
        <v>11</v>
      </c>
      <c r="AE363">
        <v>300</v>
      </c>
      <c r="AG3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64" spans="1:33" x14ac:dyDescent="0.35">
      <c r="A364">
        <v>365</v>
      </c>
      <c r="B364" s="1"/>
      <c r="C364">
        <v>0</v>
      </c>
      <c r="D364" s="1"/>
      <c r="E364" s="1"/>
      <c r="F364" s="1" t="s">
        <v>30</v>
      </c>
      <c r="G364" s="1" t="s">
        <v>1387</v>
      </c>
      <c r="H364" s="1" t="s">
        <v>1388</v>
      </c>
      <c r="I364" s="1"/>
      <c r="J364" s="1" t="s">
        <v>1389</v>
      </c>
      <c r="K364" s="1"/>
      <c r="L364" s="1"/>
      <c r="M364" s="1" t="s">
        <v>34</v>
      </c>
      <c r="N364" s="1" t="s">
        <v>192</v>
      </c>
      <c r="O364" s="1" t="s">
        <v>193</v>
      </c>
      <c r="P364" s="1" t="s">
        <v>37</v>
      </c>
      <c r="Q364" s="1"/>
      <c r="R364" s="2">
        <v>43925</v>
      </c>
      <c r="S364" s="1"/>
      <c r="W364" s="1" t="s">
        <v>38</v>
      </c>
      <c r="X364" s="2">
        <v>43932</v>
      </c>
      <c r="Y364" s="2">
        <v>43930</v>
      </c>
      <c r="Z364" s="2"/>
      <c r="AA364" s="2">
        <v>43930</v>
      </c>
      <c r="AB364" s="2">
        <v>43925</v>
      </c>
      <c r="AC364" s="1"/>
      <c r="AE364">
        <v>299</v>
      </c>
      <c r="AG3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65" spans="1:33" x14ac:dyDescent="0.35">
      <c r="A365">
        <v>366</v>
      </c>
      <c r="B365" s="1"/>
      <c r="C365">
        <v>0</v>
      </c>
      <c r="D365" s="1"/>
      <c r="E365" s="1"/>
      <c r="F365" s="1" t="s">
        <v>30</v>
      </c>
      <c r="G365" s="1" t="s">
        <v>1390</v>
      </c>
      <c r="H365" s="1" t="s">
        <v>1391</v>
      </c>
      <c r="I365" s="1"/>
      <c r="J365" s="1" t="s">
        <v>1456</v>
      </c>
      <c r="K365" s="1"/>
      <c r="L365" s="1"/>
      <c r="M365" s="1" t="s">
        <v>34</v>
      </c>
      <c r="N365" s="1" t="s">
        <v>245</v>
      </c>
      <c r="O365" s="1" t="s">
        <v>147</v>
      </c>
      <c r="P365" s="1" t="s">
        <v>37</v>
      </c>
      <c r="Q365" s="1"/>
      <c r="R365" s="2">
        <v>43927</v>
      </c>
      <c r="S365" s="1"/>
      <c r="W365" s="1" t="s">
        <v>38</v>
      </c>
      <c r="X365" s="2">
        <v>43934</v>
      </c>
      <c r="Y365" s="2">
        <v>43944</v>
      </c>
      <c r="Z365" s="2">
        <v>43944</v>
      </c>
      <c r="AA365" s="2">
        <v>43937</v>
      </c>
      <c r="AB365" s="2">
        <v>43927</v>
      </c>
      <c r="AC365" s="1"/>
      <c r="AD365">
        <v>17</v>
      </c>
      <c r="AE365">
        <v>297</v>
      </c>
      <c r="AG3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366" spans="1:33" x14ac:dyDescent="0.35">
      <c r="A366">
        <v>367</v>
      </c>
      <c r="B366" s="1"/>
      <c r="C366">
        <v>0</v>
      </c>
      <c r="D366" s="1"/>
      <c r="E366" s="1"/>
      <c r="F366" s="1" t="s">
        <v>30</v>
      </c>
      <c r="G366" s="1" t="s">
        <v>1392</v>
      </c>
      <c r="H366" s="1" t="s">
        <v>1393</v>
      </c>
      <c r="I366" s="1"/>
      <c r="J366" s="1" t="s">
        <v>1709</v>
      </c>
      <c r="K366" s="1"/>
      <c r="L366" s="1"/>
      <c r="M366" s="1" t="s">
        <v>34</v>
      </c>
      <c r="N366" s="1" t="s">
        <v>245</v>
      </c>
      <c r="O366" s="1" t="s">
        <v>147</v>
      </c>
      <c r="P366" s="1" t="s">
        <v>379</v>
      </c>
      <c r="Q366" s="1"/>
      <c r="R366" s="2">
        <v>43927</v>
      </c>
      <c r="S366" s="1"/>
      <c r="W366" s="1" t="s">
        <v>38</v>
      </c>
      <c r="X366" s="2">
        <v>43934</v>
      </c>
      <c r="Y366" s="2">
        <v>43958</v>
      </c>
      <c r="Z366" s="2">
        <v>43957</v>
      </c>
      <c r="AA366" s="2">
        <v>43950</v>
      </c>
      <c r="AB366" s="2">
        <v>43927</v>
      </c>
      <c r="AC366" s="1"/>
      <c r="AD366">
        <v>30</v>
      </c>
      <c r="AE366">
        <v>297</v>
      </c>
      <c r="AG3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367" spans="1:33" x14ac:dyDescent="0.35">
      <c r="A367">
        <v>368</v>
      </c>
      <c r="B367" s="1"/>
      <c r="C367">
        <v>0</v>
      </c>
      <c r="D367" s="1" t="s">
        <v>1394</v>
      </c>
      <c r="E367" s="1"/>
      <c r="F367" s="1" t="s">
        <v>30</v>
      </c>
      <c r="G367" s="1" t="s">
        <v>1395</v>
      </c>
      <c r="H367" s="1" t="s">
        <v>1396</v>
      </c>
      <c r="I367" s="1"/>
      <c r="J367" s="1" t="s">
        <v>1457</v>
      </c>
      <c r="K367" s="1"/>
      <c r="L367" s="1"/>
      <c r="M367" s="1" t="s">
        <v>34</v>
      </c>
      <c r="N367" s="1" t="s">
        <v>245</v>
      </c>
      <c r="O367" s="1" t="s">
        <v>147</v>
      </c>
      <c r="P367" s="1" t="s">
        <v>37</v>
      </c>
      <c r="Q367" s="1"/>
      <c r="R367" s="2">
        <v>43927</v>
      </c>
      <c r="S367" s="1"/>
      <c r="W367" s="1" t="s">
        <v>38</v>
      </c>
      <c r="X367" s="2">
        <v>43934</v>
      </c>
      <c r="Y367" s="2">
        <v>43951</v>
      </c>
      <c r="Z367" s="2">
        <v>43951</v>
      </c>
      <c r="AA367" s="2">
        <v>43927</v>
      </c>
      <c r="AB367" s="2">
        <v>43927</v>
      </c>
      <c r="AC367" s="1"/>
      <c r="AD367">
        <v>24</v>
      </c>
      <c r="AE367">
        <v>297</v>
      </c>
      <c r="AG3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368" spans="1:33" x14ac:dyDescent="0.35">
      <c r="A368">
        <v>370</v>
      </c>
      <c r="B368" s="1"/>
      <c r="C368">
        <v>0</v>
      </c>
      <c r="D368" s="1"/>
      <c r="E368" s="1"/>
      <c r="F368" s="1" t="s">
        <v>30</v>
      </c>
      <c r="G368" s="1" t="s">
        <v>1397</v>
      </c>
      <c r="H368" s="1" t="s">
        <v>1398</v>
      </c>
      <c r="I368" s="1"/>
      <c r="J368" s="1" t="s">
        <v>1399</v>
      </c>
      <c r="K368" s="1"/>
      <c r="L368" s="1"/>
      <c r="M368" s="1" t="s">
        <v>34</v>
      </c>
      <c r="N368" s="1" t="s">
        <v>164</v>
      </c>
      <c r="O368" s="1"/>
      <c r="P368" s="1" t="s">
        <v>37</v>
      </c>
      <c r="Q368" s="1"/>
      <c r="R368" s="2">
        <v>43927</v>
      </c>
      <c r="S368" s="1"/>
      <c r="W368" s="1" t="s">
        <v>38</v>
      </c>
      <c r="X368" s="2">
        <v>43934</v>
      </c>
      <c r="Y368" s="2">
        <v>43930</v>
      </c>
      <c r="Z368" s="2">
        <v>43930</v>
      </c>
      <c r="AA368" s="2">
        <v>43930</v>
      </c>
      <c r="AB368" s="2">
        <v>43927</v>
      </c>
      <c r="AC368" s="1"/>
      <c r="AD368">
        <v>3</v>
      </c>
      <c r="AE368">
        <v>297</v>
      </c>
      <c r="AG3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69" spans="1:33" x14ac:dyDescent="0.35">
      <c r="A369">
        <v>371</v>
      </c>
      <c r="B369" s="1"/>
      <c r="C369">
        <v>0</v>
      </c>
      <c r="D369" s="1"/>
      <c r="E369" s="1"/>
      <c r="F369" s="1" t="s">
        <v>30</v>
      </c>
      <c r="G369" s="1" t="s">
        <v>1400</v>
      </c>
      <c r="H369" s="1" t="s">
        <v>1401</v>
      </c>
      <c r="I369" s="1"/>
      <c r="J369" s="1" t="s">
        <v>1402</v>
      </c>
      <c r="K369" s="1"/>
      <c r="L369" s="1"/>
      <c r="M369" s="1" t="s">
        <v>197</v>
      </c>
      <c r="N369" s="1" t="s">
        <v>43</v>
      </c>
      <c r="O369" s="1" t="s">
        <v>44</v>
      </c>
      <c r="P369" s="1" t="s">
        <v>192</v>
      </c>
      <c r="Q369" s="1" t="s">
        <v>193</v>
      </c>
      <c r="R369" s="2">
        <v>43927</v>
      </c>
      <c r="S369" s="1"/>
      <c r="W369" s="1" t="s">
        <v>38</v>
      </c>
      <c r="X369" s="2">
        <v>43930</v>
      </c>
      <c r="Y369" s="2">
        <v>43930</v>
      </c>
      <c r="Z369" s="2">
        <v>43930</v>
      </c>
      <c r="AA369" s="2">
        <v>43930</v>
      </c>
      <c r="AB369" s="2">
        <v>43927</v>
      </c>
      <c r="AC369" s="1"/>
      <c r="AD369">
        <v>3</v>
      </c>
      <c r="AE369">
        <v>297</v>
      </c>
      <c r="AG3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70" spans="1:33" x14ac:dyDescent="0.35">
      <c r="A370">
        <v>372</v>
      </c>
      <c r="B370" s="1"/>
      <c r="C370">
        <v>0</v>
      </c>
      <c r="D370" s="1"/>
      <c r="E370" s="1"/>
      <c r="F370" s="1" t="s">
        <v>30</v>
      </c>
      <c r="G370" s="1" t="s">
        <v>1403</v>
      </c>
      <c r="H370" s="1" t="s">
        <v>1404</v>
      </c>
      <c r="I370" s="1"/>
      <c r="J370" s="1" t="s">
        <v>1405</v>
      </c>
      <c r="K370" s="1"/>
      <c r="L370" s="1"/>
      <c r="M370" s="1" t="s">
        <v>197</v>
      </c>
      <c r="N370" s="1" t="s">
        <v>43</v>
      </c>
      <c r="O370" s="1" t="s">
        <v>44</v>
      </c>
      <c r="P370" s="1" t="s">
        <v>37</v>
      </c>
      <c r="Q370" s="1"/>
      <c r="R370" s="2">
        <v>43928</v>
      </c>
      <c r="S370" s="1"/>
      <c r="W370" s="1" t="s">
        <v>38</v>
      </c>
      <c r="X370" s="2">
        <v>43931</v>
      </c>
      <c r="Y370" s="2">
        <v>43931</v>
      </c>
      <c r="Z370" s="2">
        <v>43930</v>
      </c>
      <c r="AA370" s="2"/>
      <c r="AB370" s="2">
        <v>43928</v>
      </c>
      <c r="AC370" s="1"/>
      <c r="AD370">
        <v>2</v>
      </c>
      <c r="AE370">
        <v>296</v>
      </c>
      <c r="AG3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71" spans="1:33" x14ac:dyDescent="0.35">
      <c r="A371">
        <v>373</v>
      </c>
      <c r="B371" s="1"/>
      <c r="C371">
        <v>0</v>
      </c>
      <c r="D371" s="1"/>
      <c r="E371" s="1"/>
      <c r="F371" s="1" t="s">
        <v>30</v>
      </c>
      <c r="G371" s="1" t="s">
        <v>1406</v>
      </c>
      <c r="H371" s="1" t="s">
        <v>1407</v>
      </c>
      <c r="I371" s="1"/>
      <c r="J371" s="1" t="s">
        <v>1653</v>
      </c>
      <c r="K371" s="1"/>
      <c r="L371" s="1"/>
      <c r="M371" s="1" t="s">
        <v>34</v>
      </c>
      <c r="N371" s="1" t="s">
        <v>43</v>
      </c>
      <c r="O371" s="1" t="s">
        <v>44</v>
      </c>
      <c r="P371" s="1" t="s">
        <v>37</v>
      </c>
      <c r="Q371" s="1"/>
      <c r="R371" s="2">
        <v>43928</v>
      </c>
      <c r="S371" s="1"/>
      <c r="W371" s="1" t="s">
        <v>38</v>
      </c>
      <c r="X371" s="2">
        <v>43935</v>
      </c>
      <c r="Y371" s="2">
        <v>43956</v>
      </c>
      <c r="Z371" s="2">
        <v>43955</v>
      </c>
      <c r="AA371" s="2">
        <v>43951</v>
      </c>
      <c r="AB371" s="2">
        <v>43928</v>
      </c>
      <c r="AC371" s="1"/>
      <c r="AD371">
        <v>27</v>
      </c>
      <c r="AE371">
        <v>296</v>
      </c>
      <c r="AG3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72" spans="1:33" x14ac:dyDescent="0.35">
      <c r="A372">
        <v>374</v>
      </c>
      <c r="B372" s="1"/>
      <c r="C372">
        <v>0</v>
      </c>
      <c r="D372" s="1"/>
      <c r="E372" s="1"/>
      <c r="F372" s="1" t="s">
        <v>30</v>
      </c>
      <c r="G372" s="1" t="s">
        <v>1408</v>
      </c>
      <c r="H372" s="1" t="s">
        <v>1409</v>
      </c>
      <c r="I372" s="1"/>
      <c r="J372" s="1" t="s">
        <v>1410</v>
      </c>
      <c r="K372" s="1"/>
      <c r="L372" s="1"/>
      <c r="M372" s="1" t="s">
        <v>34</v>
      </c>
      <c r="N372" s="1" t="s">
        <v>341</v>
      </c>
      <c r="O372" s="1" t="s">
        <v>62</v>
      </c>
      <c r="P372" s="1" t="s">
        <v>37</v>
      </c>
      <c r="Q372" s="1"/>
      <c r="R372" s="2">
        <v>43928</v>
      </c>
      <c r="S372" s="1"/>
      <c r="W372" s="1" t="s">
        <v>38</v>
      </c>
      <c r="X372" s="2">
        <v>43935</v>
      </c>
      <c r="Y372" s="2">
        <v>43930</v>
      </c>
      <c r="Z372" s="2">
        <v>43930</v>
      </c>
      <c r="AA372" s="2">
        <v>43929</v>
      </c>
      <c r="AB372" s="2">
        <v>43928</v>
      </c>
      <c r="AC372" s="1"/>
      <c r="AD372">
        <v>2</v>
      </c>
      <c r="AE372">
        <v>296</v>
      </c>
      <c r="AG3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73" spans="1:33" x14ac:dyDescent="0.35">
      <c r="A373">
        <v>375</v>
      </c>
      <c r="B373" s="1"/>
      <c r="C373">
        <v>0</v>
      </c>
      <c r="D373" s="1" t="s">
        <v>92</v>
      </c>
      <c r="E373" s="1" t="s">
        <v>217</v>
      </c>
      <c r="F373" s="1" t="s">
        <v>30</v>
      </c>
      <c r="G373" s="1" t="s">
        <v>1411</v>
      </c>
      <c r="H373" s="1" t="s">
        <v>1412</v>
      </c>
      <c r="I373" s="1"/>
      <c r="J373" s="1" t="s">
        <v>1654</v>
      </c>
      <c r="K373" s="1"/>
      <c r="L373" s="1"/>
      <c r="M373" s="1" t="s">
        <v>34</v>
      </c>
      <c r="N373" s="1" t="s">
        <v>97</v>
      </c>
      <c r="O373" s="1" t="s">
        <v>98</v>
      </c>
      <c r="P373" s="1" t="s">
        <v>37</v>
      </c>
      <c r="Q373" s="1"/>
      <c r="R373" s="2">
        <v>43928</v>
      </c>
      <c r="S373" s="1"/>
      <c r="W373" s="1" t="s">
        <v>38</v>
      </c>
      <c r="X373" s="2">
        <v>43935</v>
      </c>
      <c r="Y373" s="2">
        <v>43956</v>
      </c>
      <c r="Z373" s="2">
        <v>43955</v>
      </c>
      <c r="AA373" s="2">
        <v>43929</v>
      </c>
      <c r="AB373" s="2">
        <v>43928</v>
      </c>
      <c r="AC373" s="1"/>
      <c r="AD373">
        <v>27</v>
      </c>
      <c r="AE373">
        <v>296</v>
      </c>
      <c r="AG3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74" spans="1:33" x14ac:dyDescent="0.35">
      <c r="A374">
        <v>376</v>
      </c>
      <c r="B374" s="1"/>
      <c r="C374">
        <v>0</v>
      </c>
      <c r="D374" s="1"/>
      <c r="E374" s="1"/>
      <c r="F374" s="1" t="s">
        <v>30</v>
      </c>
      <c r="G374" s="1" t="s">
        <v>1413</v>
      </c>
      <c r="H374" s="1" t="s">
        <v>1414</v>
      </c>
      <c r="I374" s="1"/>
      <c r="J374" s="1" t="s">
        <v>1458</v>
      </c>
      <c r="K374" s="1"/>
      <c r="L374" s="1"/>
      <c r="M374" s="1" t="s">
        <v>34</v>
      </c>
      <c r="N374" s="1" t="s">
        <v>43</v>
      </c>
      <c r="O374" s="1" t="s">
        <v>44</v>
      </c>
      <c r="P374" s="1" t="s">
        <v>266</v>
      </c>
      <c r="Q374" s="1" t="s">
        <v>267</v>
      </c>
      <c r="R374" s="2">
        <v>43929</v>
      </c>
      <c r="S374" s="1"/>
      <c r="W374" s="1" t="s">
        <v>38</v>
      </c>
      <c r="X374" s="2">
        <v>43936</v>
      </c>
      <c r="Y374" s="2">
        <v>43935</v>
      </c>
      <c r="Z374" s="2">
        <v>43934</v>
      </c>
      <c r="AA374" s="2">
        <v>43935</v>
      </c>
      <c r="AB374" s="2">
        <v>43929</v>
      </c>
      <c r="AC374" s="1"/>
      <c r="AD374">
        <v>5</v>
      </c>
      <c r="AE374">
        <v>295</v>
      </c>
      <c r="AG3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375" spans="1:33" x14ac:dyDescent="0.35">
      <c r="A375">
        <v>377</v>
      </c>
      <c r="B375" s="1"/>
      <c r="C375">
        <v>0</v>
      </c>
      <c r="D375" s="1"/>
      <c r="E375" s="1"/>
      <c r="F375" s="1" t="s">
        <v>30</v>
      </c>
      <c r="G375" s="1" t="s">
        <v>1415</v>
      </c>
      <c r="H375" s="1" t="s">
        <v>1416</v>
      </c>
      <c r="I375" s="1"/>
      <c r="J375" s="1" t="s">
        <v>1417</v>
      </c>
      <c r="K375" s="1"/>
      <c r="L375" s="1"/>
      <c r="M375" s="1" t="s">
        <v>34</v>
      </c>
      <c r="N375" s="1" t="s">
        <v>43</v>
      </c>
      <c r="O375" s="1" t="s">
        <v>44</v>
      </c>
      <c r="P375" s="1" t="s">
        <v>37</v>
      </c>
      <c r="Q375" s="1"/>
      <c r="R375" s="2">
        <v>43930</v>
      </c>
      <c r="S375" s="1"/>
      <c r="W375" s="1" t="s">
        <v>38</v>
      </c>
      <c r="X375" s="2">
        <v>43936</v>
      </c>
      <c r="Y375" s="2">
        <v>43930</v>
      </c>
      <c r="Z375" s="2">
        <v>43930</v>
      </c>
      <c r="AA375" s="2">
        <v>43930</v>
      </c>
      <c r="AB375" s="2">
        <v>43930</v>
      </c>
      <c r="AC375" s="1"/>
      <c r="AD375">
        <v>0</v>
      </c>
      <c r="AE375">
        <v>294</v>
      </c>
      <c r="AG3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6" spans="1:33" x14ac:dyDescent="0.35">
      <c r="A376">
        <v>378</v>
      </c>
      <c r="B376" s="1"/>
      <c r="C376">
        <v>0</v>
      </c>
      <c r="D376" s="1"/>
      <c r="E376" s="1"/>
      <c r="F376" s="1" t="s">
        <v>30</v>
      </c>
      <c r="G376" s="1" t="s">
        <v>1418</v>
      </c>
      <c r="H376" s="1" t="s">
        <v>1419</v>
      </c>
      <c r="I376" s="1"/>
      <c r="J376" s="1" t="s">
        <v>1420</v>
      </c>
      <c r="K376" s="1"/>
      <c r="L376" s="1"/>
      <c r="M376" s="1" t="s">
        <v>197</v>
      </c>
      <c r="N376" s="1" t="s">
        <v>43</v>
      </c>
      <c r="O376" s="1" t="s">
        <v>44</v>
      </c>
      <c r="P376" s="1" t="s">
        <v>99</v>
      </c>
      <c r="Q376" s="1"/>
      <c r="R376" s="2">
        <v>43930</v>
      </c>
      <c r="S376" s="1"/>
      <c r="W376" s="1" t="s">
        <v>38</v>
      </c>
      <c r="X376" s="2">
        <v>43933</v>
      </c>
      <c r="Y376" s="2">
        <v>43931</v>
      </c>
      <c r="Z376" s="2">
        <v>43930</v>
      </c>
      <c r="AA376" s="2">
        <v>43930</v>
      </c>
      <c r="AB376" s="2">
        <v>43930</v>
      </c>
      <c r="AC376" s="1"/>
      <c r="AD376">
        <v>0</v>
      </c>
      <c r="AE376">
        <v>294</v>
      </c>
      <c r="AG3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7" spans="1:33" x14ac:dyDescent="0.35">
      <c r="A377">
        <v>379</v>
      </c>
      <c r="B377" s="1"/>
      <c r="C377">
        <v>0</v>
      </c>
      <c r="D377" s="1"/>
      <c r="E377" s="1"/>
      <c r="F377" s="1" t="s">
        <v>30</v>
      </c>
      <c r="G377" s="1" t="s">
        <v>1421</v>
      </c>
      <c r="H377" s="1" t="s">
        <v>1422</v>
      </c>
      <c r="I377" s="1"/>
      <c r="J377" s="1" t="s">
        <v>2303</v>
      </c>
      <c r="K377" s="1"/>
      <c r="L377" s="1"/>
      <c r="M377" s="1" t="s">
        <v>34</v>
      </c>
      <c r="N377" s="1" t="s">
        <v>1423</v>
      </c>
      <c r="O377" s="1" t="s">
        <v>1424</v>
      </c>
      <c r="P377" s="1" t="s">
        <v>63</v>
      </c>
      <c r="Q377" s="1"/>
      <c r="R377" s="2">
        <v>43937</v>
      </c>
      <c r="S377" s="1"/>
      <c r="W377" s="1" t="s">
        <v>38</v>
      </c>
      <c r="X377" s="2">
        <v>43937</v>
      </c>
      <c r="Y377" s="2">
        <v>43943</v>
      </c>
      <c r="Z377" s="2">
        <v>43937</v>
      </c>
      <c r="AA377" s="2">
        <v>43936</v>
      </c>
      <c r="AB377" s="2">
        <v>43930</v>
      </c>
      <c r="AC377" s="1"/>
      <c r="AD377">
        <v>7</v>
      </c>
      <c r="AE377">
        <v>294</v>
      </c>
      <c r="AG3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78" spans="1:33" x14ac:dyDescent="0.35">
      <c r="A378">
        <v>380</v>
      </c>
      <c r="B378" s="1"/>
      <c r="C378">
        <v>0</v>
      </c>
      <c r="D378" s="1"/>
      <c r="E378" s="1"/>
      <c r="F378" s="1" t="s">
        <v>30</v>
      </c>
      <c r="G378" s="1" t="s">
        <v>1425</v>
      </c>
      <c r="H378" s="1" t="s">
        <v>1426</v>
      </c>
      <c r="I378" s="1"/>
      <c r="J378" s="1" t="s">
        <v>1459</v>
      </c>
      <c r="K378" s="1"/>
      <c r="L378" s="1"/>
      <c r="M378" s="1" t="s">
        <v>34</v>
      </c>
      <c r="N378" s="1" t="s">
        <v>1423</v>
      </c>
      <c r="O378" s="1" t="s">
        <v>1424</v>
      </c>
      <c r="P378" s="1" t="s">
        <v>63</v>
      </c>
      <c r="Q378" s="1"/>
      <c r="R378" s="2">
        <v>43935</v>
      </c>
      <c r="S378" s="1"/>
      <c r="W378" s="1" t="s">
        <v>38</v>
      </c>
      <c r="X378" s="2">
        <v>43937</v>
      </c>
      <c r="Y378" s="2">
        <v>43936</v>
      </c>
      <c r="Z378" s="2">
        <v>43935</v>
      </c>
      <c r="AA378" s="2">
        <v>43931</v>
      </c>
      <c r="AB378" s="2">
        <v>43930</v>
      </c>
      <c r="AC378" s="1"/>
      <c r="AD378">
        <v>5</v>
      </c>
      <c r="AE378">
        <v>294</v>
      </c>
      <c r="AG3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379" spans="1:33" x14ac:dyDescent="0.35">
      <c r="A379">
        <v>381</v>
      </c>
      <c r="B379" s="1"/>
      <c r="C379">
        <v>0</v>
      </c>
      <c r="D379" s="1"/>
      <c r="E379" s="1"/>
      <c r="F379" s="1" t="s">
        <v>30</v>
      </c>
      <c r="G379" s="1" t="s">
        <v>1427</v>
      </c>
      <c r="H379" s="1" t="s">
        <v>1428</v>
      </c>
      <c r="I379" s="1"/>
      <c r="J379" s="1" t="s">
        <v>1460</v>
      </c>
      <c r="K379" s="1"/>
      <c r="L379" s="1"/>
      <c r="M379" s="1" t="s">
        <v>34</v>
      </c>
      <c r="N379" s="1" t="s">
        <v>245</v>
      </c>
      <c r="O379" s="1" t="s">
        <v>147</v>
      </c>
      <c r="P379" s="1" t="s">
        <v>37</v>
      </c>
      <c r="Q379" s="1"/>
      <c r="R379" s="2">
        <v>43931</v>
      </c>
      <c r="S379" s="1"/>
      <c r="W379" s="1" t="s">
        <v>38</v>
      </c>
      <c r="X379" s="2">
        <v>43938</v>
      </c>
      <c r="Y379" s="2">
        <v>43935</v>
      </c>
      <c r="Z379" s="2">
        <v>43931</v>
      </c>
      <c r="AA379" s="2">
        <v>43931</v>
      </c>
      <c r="AB379" s="2">
        <v>43931</v>
      </c>
      <c r="AC379" s="1"/>
      <c r="AD379">
        <v>0</v>
      </c>
      <c r="AE379">
        <v>293</v>
      </c>
      <c r="AG3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0" spans="1:33" x14ac:dyDescent="0.35">
      <c r="A380">
        <v>382</v>
      </c>
      <c r="B380" s="1"/>
      <c r="C380">
        <v>0</v>
      </c>
      <c r="D380" s="1"/>
      <c r="E380" s="1"/>
      <c r="F380" s="1" t="s">
        <v>30</v>
      </c>
      <c r="G380" s="1" t="s">
        <v>1429</v>
      </c>
      <c r="H380" s="1" t="s">
        <v>1430</v>
      </c>
      <c r="I380" s="1"/>
      <c r="J380" s="1" t="s">
        <v>1461</v>
      </c>
      <c r="K380" s="1"/>
      <c r="L380" s="1"/>
      <c r="M380" s="1" t="s">
        <v>34</v>
      </c>
      <c r="N380" s="1" t="s">
        <v>192</v>
      </c>
      <c r="O380" s="1" t="s">
        <v>193</v>
      </c>
      <c r="P380" s="1" t="s">
        <v>37</v>
      </c>
      <c r="Q380" s="1"/>
      <c r="R380" s="2">
        <v>43931</v>
      </c>
      <c r="S380" s="1"/>
      <c r="W380" s="1" t="s">
        <v>38</v>
      </c>
      <c r="X380" s="2">
        <v>43938</v>
      </c>
      <c r="Y380" s="2">
        <v>43936</v>
      </c>
      <c r="Z380" s="2">
        <v>43931</v>
      </c>
      <c r="AA380" s="2">
        <v>43931</v>
      </c>
      <c r="AB380" s="2">
        <v>43931</v>
      </c>
      <c r="AC380" s="1"/>
      <c r="AD380">
        <v>0</v>
      </c>
      <c r="AE380">
        <v>293</v>
      </c>
      <c r="AG3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1" spans="1:33" x14ac:dyDescent="0.35">
      <c r="A381">
        <v>383</v>
      </c>
      <c r="B381" s="1"/>
      <c r="C381">
        <v>0</v>
      </c>
      <c r="D381" s="1"/>
      <c r="E381" s="1"/>
      <c r="F381" s="1" t="s">
        <v>30</v>
      </c>
      <c r="G381" s="1" t="s">
        <v>1462</v>
      </c>
      <c r="H381" s="1" t="s">
        <v>1463</v>
      </c>
      <c r="I381" s="1"/>
      <c r="J381" s="1" t="s">
        <v>1710</v>
      </c>
      <c r="K381" s="1"/>
      <c r="L381" s="1"/>
      <c r="M381" s="1" t="s">
        <v>34</v>
      </c>
      <c r="N381" s="1" t="s">
        <v>1464</v>
      </c>
      <c r="O381" s="1" t="s">
        <v>1465</v>
      </c>
      <c r="P381" s="1" t="s">
        <v>278</v>
      </c>
      <c r="Q381" s="1"/>
      <c r="R381" s="2">
        <v>43931</v>
      </c>
      <c r="S381" s="1"/>
      <c r="W381" s="1" t="s">
        <v>38</v>
      </c>
      <c r="X381" s="2">
        <v>43938</v>
      </c>
      <c r="Y381" s="2">
        <v>43958</v>
      </c>
      <c r="Z381" s="2">
        <v>43957</v>
      </c>
      <c r="AA381" s="2">
        <v>43957</v>
      </c>
      <c r="AB381" s="2">
        <v>43931</v>
      </c>
      <c r="AC381" s="1"/>
      <c r="AD381">
        <v>26</v>
      </c>
      <c r="AE381">
        <v>293</v>
      </c>
      <c r="AG3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382" spans="1:33" x14ac:dyDescent="0.35">
      <c r="A382">
        <v>384</v>
      </c>
      <c r="B382" s="1"/>
      <c r="C382">
        <v>0</v>
      </c>
      <c r="D382" s="1"/>
      <c r="E382" s="1"/>
      <c r="F382" s="1" t="s">
        <v>30</v>
      </c>
      <c r="G382" s="1" t="s">
        <v>1466</v>
      </c>
      <c r="H382" s="1" t="s">
        <v>1467</v>
      </c>
      <c r="I382" s="1" t="s">
        <v>1468</v>
      </c>
      <c r="J382" s="1" t="s">
        <v>1711</v>
      </c>
      <c r="K382" s="1"/>
      <c r="L382" s="1"/>
      <c r="M382" s="1" t="s">
        <v>197</v>
      </c>
      <c r="N382" s="1" t="s">
        <v>129</v>
      </c>
      <c r="O382" s="1" t="s">
        <v>44</v>
      </c>
      <c r="P382" s="1" t="s">
        <v>37</v>
      </c>
      <c r="Q382" s="1"/>
      <c r="R382" s="2">
        <v>43934</v>
      </c>
      <c r="S382" s="1"/>
      <c r="W382" s="1" t="s">
        <v>38</v>
      </c>
      <c r="X382" s="2">
        <v>43938</v>
      </c>
      <c r="Y382" s="2">
        <v>43965</v>
      </c>
      <c r="Z382" s="2">
        <v>43957</v>
      </c>
      <c r="AA382" s="2">
        <v>43935</v>
      </c>
      <c r="AB382" s="2">
        <v>43934</v>
      </c>
      <c r="AC382" s="1"/>
      <c r="AD382">
        <v>23</v>
      </c>
      <c r="AE382">
        <v>290</v>
      </c>
      <c r="AG3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383" spans="1:33" x14ac:dyDescent="0.35">
      <c r="A383">
        <v>385</v>
      </c>
      <c r="B383" s="1"/>
      <c r="C383">
        <v>0</v>
      </c>
      <c r="D383" s="1" t="s">
        <v>899</v>
      </c>
      <c r="E383" s="1" t="s">
        <v>1469</v>
      </c>
      <c r="F383" s="1" t="s">
        <v>30</v>
      </c>
      <c r="G383" s="1" t="s">
        <v>1470</v>
      </c>
      <c r="H383" s="1" t="s">
        <v>1471</v>
      </c>
      <c r="I383" s="1"/>
      <c r="J383" s="1" t="s">
        <v>1472</v>
      </c>
      <c r="K383" s="1"/>
      <c r="L383" s="1"/>
      <c r="M383" s="1" t="s">
        <v>34</v>
      </c>
      <c r="N383" s="1" t="s">
        <v>378</v>
      </c>
      <c r="O383" s="1" t="s">
        <v>147</v>
      </c>
      <c r="P383" s="1" t="s">
        <v>379</v>
      </c>
      <c r="Q383" s="1"/>
      <c r="R383" s="2">
        <v>43934</v>
      </c>
      <c r="S383" s="1"/>
      <c r="W383" s="1" t="s">
        <v>38</v>
      </c>
      <c r="X383" s="2">
        <v>43941</v>
      </c>
      <c r="Y383" s="2">
        <v>43944</v>
      </c>
      <c r="Z383" s="2">
        <v>43943</v>
      </c>
      <c r="AA383" s="2">
        <v>43936</v>
      </c>
      <c r="AB383" s="2">
        <v>43934</v>
      </c>
      <c r="AC383" s="1"/>
      <c r="AD383">
        <v>9</v>
      </c>
      <c r="AE383">
        <v>290</v>
      </c>
      <c r="AG3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384" spans="1:33" x14ac:dyDescent="0.35">
      <c r="A384">
        <v>386</v>
      </c>
      <c r="B384" s="1"/>
      <c r="C384">
        <v>0</v>
      </c>
      <c r="D384" s="1"/>
      <c r="E384" s="1"/>
      <c r="F384" s="1" t="s">
        <v>30</v>
      </c>
      <c r="G384" s="1" t="s">
        <v>1473</v>
      </c>
      <c r="H384" s="1" t="s">
        <v>1474</v>
      </c>
      <c r="I384" s="1"/>
      <c r="J384" s="1" t="s">
        <v>1655</v>
      </c>
      <c r="K384" s="1"/>
      <c r="L384" s="1"/>
      <c r="M384" s="1" t="s">
        <v>197</v>
      </c>
      <c r="N384" s="1" t="s">
        <v>43</v>
      </c>
      <c r="O384" s="1" t="s">
        <v>44</v>
      </c>
      <c r="P384" s="1" t="s">
        <v>37</v>
      </c>
      <c r="Q384" s="1"/>
      <c r="R384" s="2">
        <v>43935</v>
      </c>
      <c r="S384" s="1"/>
      <c r="W384" s="1" t="s">
        <v>38</v>
      </c>
      <c r="X384" s="2">
        <v>43935</v>
      </c>
      <c r="Y384" s="2">
        <v>43956</v>
      </c>
      <c r="Z384" s="2">
        <v>43955</v>
      </c>
      <c r="AA384" s="2"/>
      <c r="AB384" s="2">
        <v>43935</v>
      </c>
      <c r="AC384" s="1"/>
      <c r="AD384">
        <v>20</v>
      </c>
      <c r="AE384">
        <v>289</v>
      </c>
      <c r="AG3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385" spans="1:33" x14ac:dyDescent="0.35">
      <c r="A385">
        <v>387</v>
      </c>
      <c r="B385" s="1"/>
      <c r="C385">
        <v>0</v>
      </c>
      <c r="D385" s="1"/>
      <c r="E385" s="1"/>
      <c r="F385" s="1" t="s">
        <v>30</v>
      </c>
      <c r="G385" s="1" t="s">
        <v>1475</v>
      </c>
      <c r="H385" s="1" t="s">
        <v>1476</v>
      </c>
      <c r="I385" s="1"/>
      <c r="J385" s="1" t="s">
        <v>2455</v>
      </c>
      <c r="K385" s="1"/>
      <c r="L385" s="1"/>
      <c r="M385" s="1" t="s">
        <v>34</v>
      </c>
      <c r="N385" s="1" t="s">
        <v>880</v>
      </c>
      <c r="O385" s="1" t="s">
        <v>44</v>
      </c>
      <c r="P385" s="1" t="s">
        <v>116</v>
      </c>
      <c r="Q385" s="1"/>
      <c r="R385" s="2">
        <v>43935</v>
      </c>
      <c r="S385" s="1"/>
      <c r="W385" s="1" t="s">
        <v>38</v>
      </c>
      <c r="X385" s="2">
        <v>43942</v>
      </c>
      <c r="Y385" s="2">
        <v>44074</v>
      </c>
      <c r="Z385" s="2">
        <v>44071</v>
      </c>
      <c r="AA385" s="2">
        <v>43966</v>
      </c>
      <c r="AB385" s="2">
        <v>43935</v>
      </c>
      <c r="AC385" s="1"/>
      <c r="AD385">
        <v>136</v>
      </c>
      <c r="AE385">
        <v>289</v>
      </c>
      <c r="AG3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136</v>
      </c>
    </row>
    <row r="386" spans="1:33" x14ac:dyDescent="0.35">
      <c r="A386">
        <v>388</v>
      </c>
      <c r="B386" s="1"/>
      <c r="C386">
        <v>0</v>
      </c>
      <c r="D386" s="1"/>
      <c r="E386" s="1"/>
      <c r="F386" s="1" t="s">
        <v>30</v>
      </c>
      <c r="G386" s="1" t="s">
        <v>1477</v>
      </c>
      <c r="H386" s="1" t="s">
        <v>1478</v>
      </c>
      <c r="I386" s="1"/>
      <c r="J386" s="1" t="s">
        <v>1712</v>
      </c>
      <c r="K386" s="1"/>
      <c r="L386" s="1"/>
      <c r="M386" s="1" t="s">
        <v>34</v>
      </c>
      <c r="N386" s="1" t="s">
        <v>341</v>
      </c>
      <c r="O386" s="1" t="s">
        <v>62</v>
      </c>
      <c r="P386" s="1" t="s">
        <v>37</v>
      </c>
      <c r="Q386" s="1"/>
      <c r="R386" s="2">
        <v>43935</v>
      </c>
      <c r="S386" s="1"/>
      <c r="W386" s="1" t="s">
        <v>38</v>
      </c>
      <c r="X386" s="2">
        <v>43942</v>
      </c>
      <c r="Y386" s="2">
        <v>43966</v>
      </c>
      <c r="Z386" s="2">
        <v>43966</v>
      </c>
      <c r="AA386" s="2">
        <v>43936</v>
      </c>
      <c r="AB386" s="2">
        <v>43935</v>
      </c>
      <c r="AC386" s="1"/>
      <c r="AD386">
        <v>31</v>
      </c>
      <c r="AE386">
        <v>289</v>
      </c>
      <c r="AG3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387" spans="1:33" x14ac:dyDescent="0.35">
      <c r="A387">
        <v>389</v>
      </c>
      <c r="B387" s="1"/>
      <c r="C387">
        <v>0</v>
      </c>
      <c r="D387" s="1" t="s">
        <v>1479</v>
      </c>
      <c r="E387" s="1"/>
      <c r="F387" s="1" t="s">
        <v>30</v>
      </c>
      <c r="G387" s="1" t="s">
        <v>1480</v>
      </c>
      <c r="H387" s="1" t="s">
        <v>1481</v>
      </c>
      <c r="I387" s="1"/>
      <c r="J387" s="1" t="s">
        <v>1482</v>
      </c>
      <c r="K387" s="1"/>
      <c r="L387" s="1"/>
      <c r="M387" s="1" t="s">
        <v>34</v>
      </c>
      <c r="N387" s="1" t="s">
        <v>378</v>
      </c>
      <c r="O387" s="1" t="s">
        <v>147</v>
      </c>
      <c r="P387" s="1" t="s">
        <v>379</v>
      </c>
      <c r="Q387" s="1"/>
      <c r="R387" s="2">
        <v>43935</v>
      </c>
      <c r="S387" s="1"/>
      <c r="W387" s="1" t="s">
        <v>38</v>
      </c>
      <c r="X387" s="2">
        <v>43942</v>
      </c>
      <c r="Y387" s="2">
        <v>43944</v>
      </c>
      <c r="Z387" s="2">
        <v>43943</v>
      </c>
      <c r="AA387" s="2">
        <v>43936</v>
      </c>
      <c r="AB387" s="2">
        <v>43935</v>
      </c>
      <c r="AC387" s="1"/>
      <c r="AD387">
        <v>8</v>
      </c>
      <c r="AE387">
        <v>289</v>
      </c>
      <c r="AG3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88" spans="1:33" x14ac:dyDescent="0.35">
      <c r="A388">
        <v>390</v>
      </c>
      <c r="B388" s="1"/>
      <c r="C388">
        <v>0</v>
      </c>
      <c r="D388" s="1" t="s">
        <v>1483</v>
      </c>
      <c r="E388" s="1"/>
      <c r="F388" s="1" t="s">
        <v>30</v>
      </c>
      <c r="G388" s="1" t="s">
        <v>1484</v>
      </c>
      <c r="H388" s="1" t="s">
        <v>1485</v>
      </c>
      <c r="I388" s="1"/>
      <c r="J388" s="1" t="s">
        <v>1713</v>
      </c>
      <c r="K388" s="1"/>
      <c r="L388" s="1"/>
      <c r="M388" s="1" t="s">
        <v>34</v>
      </c>
      <c r="N388" s="1" t="s">
        <v>378</v>
      </c>
      <c r="O388" s="1" t="s">
        <v>147</v>
      </c>
      <c r="P388" s="1" t="s">
        <v>916</v>
      </c>
      <c r="Q388" s="1" t="s">
        <v>917</v>
      </c>
      <c r="R388" s="2">
        <v>43935</v>
      </c>
      <c r="S388" s="1"/>
      <c r="W388" s="1" t="s">
        <v>38</v>
      </c>
      <c r="X388" s="2">
        <v>43942</v>
      </c>
      <c r="Y388" s="2">
        <v>43962</v>
      </c>
      <c r="Z388" s="2">
        <v>43962</v>
      </c>
      <c r="AA388" s="2">
        <v>43962</v>
      </c>
      <c r="AB388" s="2">
        <v>43935</v>
      </c>
      <c r="AC388" s="1"/>
      <c r="AD388">
        <v>27</v>
      </c>
      <c r="AE388">
        <v>289</v>
      </c>
      <c r="AG3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89" spans="1:33" x14ac:dyDescent="0.35">
      <c r="A389">
        <v>391</v>
      </c>
      <c r="B389" s="1"/>
      <c r="C389">
        <v>0</v>
      </c>
      <c r="D389" s="1"/>
      <c r="E389" s="1"/>
      <c r="F389" s="1" t="s">
        <v>30</v>
      </c>
      <c r="G389" s="1" t="s">
        <v>1486</v>
      </c>
      <c r="H389" s="1" t="s">
        <v>1487</v>
      </c>
      <c r="I389" s="1"/>
      <c r="J389" s="1" t="s">
        <v>1488</v>
      </c>
      <c r="K389" s="1"/>
      <c r="L389" s="1"/>
      <c r="M389" s="1" t="s">
        <v>34</v>
      </c>
      <c r="N389" s="1" t="s">
        <v>192</v>
      </c>
      <c r="O389" s="1" t="s">
        <v>193</v>
      </c>
      <c r="P389" s="1" t="s">
        <v>37</v>
      </c>
      <c r="Q389" s="1"/>
      <c r="R389" s="2">
        <v>43935</v>
      </c>
      <c r="S389" s="1"/>
      <c r="W389" s="1" t="s">
        <v>38</v>
      </c>
      <c r="X389" s="2">
        <v>43942</v>
      </c>
      <c r="Y389" s="2">
        <v>43936</v>
      </c>
      <c r="Z389" s="2">
        <v>43936</v>
      </c>
      <c r="AA389" s="2">
        <v>43936</v>
      </c>
      <c r="AB389" s="2">
        <v>43935</v>
      </c>
      <c r="AC389" s="1"/>
      <c r="AD389">
        <v>1</v>
      </c>
      <c r="AE389">
        <v>289</v>
      </c>
      <c r="AG3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90" spans="1:33" x14ac:dyDescent="0.35">
      <c r="A390">
        <v>392</v>
      </c>
      <c r="B390" s="1"/>
      <c r="C390">
        <v>0</v>
      </c>
      <c r="D390" s="1"/>
      <c r="E390" s="1" t="s">
        <v>1489</v>
      </c>
      <c r="F390" s="1" t="s">
        <v>30</v>
      </c>
      <c r="G390" s="1" t="s">
        <v>1490</v>
      </c>
      <c r="H390" s="1" t="s">
        <v>1491</v>
      </c>
      <c r="I390" s="1"/>
      <c r="J390" s="1" t="s">
        <v>1714</v>
      </c>
      <c r="K390" s="1"/>
      <c r="L390" s="1"/>
      <c r="M390" s="1" t="s">
        <v>34</v>
      </c>
      <c r="N390" s="1" t="s">
        <v>378</v>
      </c>
      <c r="O390" s="1" t="s">
        <v>147</v>
      </c>
      <c r="P390" s="1" t="s">
        <v>379</v>
      </c>
      <c r="Q390" s="1"/>
      <c r="R390" s="2">
        <v>43971</v>
      </c>
      <c r="S390" s="1"/>
      <c r="W390" s="1" t="s">
        <v>38</v>
      </c>
      <c r="X390" s="2">
        <v>43943</v>
      </c>
      <c r="Y390" s="2">
        <v>43972</v>
      </c>
      <c r="Z390" s="2">
        <v>43971</v>
      </c>
      <c r="AA390" s="2">
        <v>43950</v>
      </c>
      <c r="AB390" s="2">
        <v>43936</v>
      </c>
      <c r="AC390" s="1"/>
      <c r="AD390">
        <v>35</v>
      </c>
      <c r="AE390">
        <v>288</v>
      </c>
      <c r="AG3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91" spans="1:33" x14ac:dyDescent="0.35">
      <c r="A391">
        <v>393</v>
      </c>
      <c r="B391" s="1"/>
      <c r="C391">
        <v>0</v>
      </c>
      <c r="D391" s="1"/>
      <c r="E391" s="1"/>
      <c r="F391" s="1" t="s">
        <v>30</v>
      </c>
      <c r="G391" s="1" t="s">
        <v>1492</v>
      </c>
      <c r="H391" s="1" t="s">
        <v>1493</v>
      </c>
      <c r="I391" s="1"/>
      <c r="J391" s="1" t="s">
        <v>1494</v>
      </c>
      <c r="K391" s="1"/>
      <c r="L391" s="1"/>
      <c r="M391" s="1" t="s">
        <v>34</v>
      </c>
      <c r="N391" s="1" t="s">
        <v>43</v>
      </c>
      <c r="O391" s="1" t="s">
        <v>44</v>
      </c>
      <c r="P391" s="1" t="s">
        <v>37</v>
      </c>
      <c r="Q391" s="1"/>
      <c r="R391" s="2">
        <v>43936</v>
      </c>
      <c r="S391" s="1"/>
      <c r="W391" s="1" t="s">
        <v>38</v>
      </c>
      <c r="X391" s="2">
        <v>43943</v>
      </c>
      <c r="Y391" s="2">
        <v>43944</v>
      </c>
      <c r="Z391" s="2">
        <v>43944</v>
      </c>
      <c r="AA391" s="2">
        <v>43936</v>
      </c>
      <c r="AB391" s="2">
        <v>43936</v>
      </c>
      <c r="AC391" s="1"/>
      <c r="AD391">
        <v>8</v>
      </c>
      <c r="AE391">
        <v>288</v>
      </c>
      <c r="AG3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2" spans="1:33" x14ac:dyDescent="0.35">
      <c r="A392">
        <v>394</v>
      </c>
      <c r="B392" s="1"/>
      <c r="C392">
        <v>0</v>
      </c>
      <c r="D392" s="1" t="s">
        <v>206</v>
      </c>
      <c r="E392" s="1" t="s">
        <v>1495</v>
      </c>
      <c r="F392" s="1" t="s">
        <v>30</v>
      </c>
      <c r="G392" s="1" t="s">
        <v>1496</v>
      </c>
      <c r="H392" s="1" t="s">
        <v>1497</v>
      </c>
      <c r="I392" s="1" t="s">
        <v>1498</v>
      </c>
      <c r="J392" s="1" t="s">
        <v>1715</v>
      </c>
      <c r="K392" s="1"/>
      <c r="L392" s="1"/>
      <c r="M392" s="1" t="s">
        <v>34</v>
      </c>
      <c r="N392" s="1" t="s">
        <v>97</v>
      </c>
      <c r="O392" s="1" t="s">
        <v>98</v>
      </c>
      <c r="P392" s="1" t="s">
        <v>37</v>
      </c>
      <c r="Q392" s="1"/>
      <c r="R392" s="2">
        <v>43936</v>
      </c>
      <c r="S392" s="1"/>
      <c r="W392" s="1" t="s">
        <v>38</v>
      </c>
      <c r="X392" s="2">
        <v>43943</v>
      </c>
      <c r="Y392" s="2">
        <v>43958</v>
      </c>
      <c r="Z392" s="2">
        <v>43958</v>
      </c>
      <c r="AA392" s="2">
        <v>43951</v>
      </c>
      <c r="AB392" s="2">
        <v>43936</v>
      </c>
      <c r="AC392" s="1"/>
      <c r="AD392">
        <v>22</v>
      </c>
      <c r="AE392">
        <v>288</v>
      </c>
      <c r="AG3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393" spans="1:33" x14ac:dyDescent="0.35">
      <c r="A393">
        <v>395</v>
      </c>
      <c r="B393" s="1"/>
      <c r="C393">
        <v>0</v>
      </c>
      <c r="D393" s="1"/>
      <c r="E393" s="1" t="s">
        <v>1499</v>
      </c>
      <c r="F393" s="1" t="s">
        <v>30</v>
      </c>
      <c r="G393" s="1" t="s">
        <v>1500</v>
      </c>
      <c r="H393" s="1" t="s">
        <v>1501</v>
      </c>
      <c r="I393" s="1"/>
      <c r="J393" s="1" t="s">
        <v>1502</v>
      </c>
      <c r="K393" s="1"/>
      <c r="L393" s="1"/>
      <c r="M393" s="1" t="s">
        <v>197</v>
      </c>
      <c r="N393" s="1" t="s">
        <v>378</v>
      </c>
      <c r="O393" s="1" t="s">
        <v>147</v>
      </c>
      <c r="P393" s="1" t="s">
        <v>37</v>
      </c>
      <c r="Q393" s="1"/>
      <c r="R393" s="2">
        <v>43936</v>
      </c>
      <c r="S393" s="1"/>
      <c r="W393" s="1" t="s">
        <v>38</v>
      </c>
      <c r="X393" s="2">
        <v>43940</v>
      </c>
      <c r="Y393" s="2">
        <v>43944</v>
      </c>
      <c r="Z393" s="2">
        <v>43944</v>
      </c>
      <c r="AA393" s="2">
        <v>43938</v>
      </c>
      <c r="AB393" s="2">
        <v>43936</v>
      </c>
      <c r="AC393" s="1"/>
      <c r="AD393">
        <v>8</v>
      </c>
      <c r="AE393">
        <v>288</v>
      </c>
      <c r="AG3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4" spans="1:33" x14ac:dyDescent="0.35">
      <c r="A394">
        <v>396</v>
      </c>
      <c r="B394" s="1"/>
      <c r="C394">
        <v>0</v>
      </c>
      <c r="D394" s="1"/>
      <c r="E394" s="1"/>
      <c r="F394" s="1" t="s">
        <v>30</v>
      </c>
      <c r="G394" s="1" t="s">
        <v>1503</v>
      </c>
      <c r="H394" s="1" t="s">
        <v>1504</v>
      </c>
      <c r="I394" s="1" t="s">
        <v>1505</v>
      </c>
      <c r="J394" s="1" t="s">
        <v>1506</v>
      </c>
      <c r="K394" s="1"/>
      <c r="L394" s="1"/>
      <c r="M394" s="1" t="s">
        <v>34</v>
      </c>
      <c r="N394" s="1" t="s">
        <v>43</v>
      </c>
      <c r="O394" s="1" t="s">
        <v>44</v>
      </c>
      <c r="P394" s="1" t="s">
        <v>37</v>
      </c>
      <c r="Q394" s="1"/>
      <c r="R394" s="2">
        <v>43936</v>
      </c>
      <c r="S394" s="1"/>
      <c r="W394" s="1" t="s">
        <v>38</v>
      </c>
      <c r="X394" s="2">
        <v>43943</v>
      </c>
      <c r="Y394" s="2">
        <v>43944</v>
      </c>
      <c r="Z394" s="2">
        <v>43944</v>
      </c>
      <c r="AA394" s="2">
        <v>43937</v>
      </c>
      <c r="AB394" s="2">
        <v>43936</v>
      </c>
      <c r="AC394" s="1"/>
      <c r="AD394">
        <v>8</v>
      </c>
      <c r="AE394">
        <v>288</v>
      </c>
      <c r="AG3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5" spans="1:33" x14ac:dyDescent="0.35">
      <c r="A395">
        <v>397</v>
      </c>
      <c r="B395" s="1"/>
      <c r="C395">
        <v>0</v>
      </c>
      <c r="D395" s="1"/>
      <c r="E395" s="1"/>
      <c r="F395" s="1" t="s">
        <v>30</v>
      </c>
      <c r="G395" s="1" t="s">
        <v>1507</v>
      </c>
      <c r="H395" s="1" t="s">
        <v>1508</v>
      </c>
      <c r="I395" s="1"/>
      <c r="J395" s="1" t="s">
        <v>1509</v>
      </c>
      <c r="K395" s="1"/>
      <c r="L395" s="1"/>
      <c r="M395" s="1" t="s">
        <v>34</v>
      </c>
      <c r="N395" s="1" t="s">
        <v>43</v>
      </c>
      <c r="O395" s="1" t="s">
        <v>44</v>
      </c>
      <c r="P395" s="1" t="s">
        <v>37</v>
      </c>
      <c r="Q395" s="1"/>
      <c r="R395" s="2">
        <v>43937</v>
      </c>
      <c r="S395" s="1"/>
      <c r="W395" s="1" t="s">
        <v>38</v>
      </c>
      <c r="X395" s="2">
        <v>43943</v>
      </c>
      <c r="Y395" s="2">
        <v>43938</v>
      </c>
      <c r="Z395" s="2">
        <v>43937</v>
      </c>
      <c r="AA395" s="2">
        <v>43937</v>
      </c>
      <c r="AB395" s="2">
        <v>43937</v>
      </c>
      <c r="AC395" s="1"/>
      <c r="AD395">
        <v>0</v>
      </c>
      <c r="AE395">
        <v>287</v>
      </c>
      <c r="AG3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96" spans="1:33" x14ac:dyDescent="0.35">
      <c r="A396">
        <v>398</v>
      </c>
      <c r="B396" s="1"/>
      <c r="C396">
        <v>0</v>
      </c>
      <c r="D396" s="1" t="s">
        <v>111</v>
      </c>
      <c r="E396" s="1" t="s">
        <v>1510</v>
      </c>
      <c r="F396" s="1" t="s">
        <v>30</v>
      </c>
      <c r="G396" s="1" t="s">
        <v>1511</v>
      </c>
      <c r="H396" s="1" t="s">
        <v>1512</v>
      </c>
      <c r="I396" s="1" t="s">
        <v>1513</v>
      </c>
      <c r="J396" s="1" t="s">
        <v>1716</v>
      </c>
      <c r="K396" s="1"/>
      <c r="L396" s="1"/>
      <c r="M396" s="1" t="s">
        <v>34</v>
      </c>
      <c r="N396" s="1" t="s">
        <v>97</v>
      </c>
      <c r="O396" s="1" t="s">
        <v>98</v>
      </c>
      <c r="P396" s="1" t="s">
        <v>37</v>
      </c>
      <c r="Q396" s="1"/>
      <c r="R396" s="2">
        <v>43937</v>
      </c>
      <c r="S396" s="1"/>
      <c r="W396" s="1" t="s">
        <v>38</v>
      </c>
      <c r="X396" s="2">
        <v>43944</v>
      </c>
      <c r="Y396" s="2">
        <v>43962</v>
      </c>
      <c r="Z396" s="2">
        <v>43959</v>
      </c>
      <c r="AA396" s="2">
        <v>43943</v>
      </c>
      <c r="AB396" s="2">
        <v>43937</v>
      </c>
      <c r="AC396" s="1"/>
      <c r="AD396">
        <v>22</v>
      </c>
      <c r="AE396">
        <v>287</v>
      </c>
      <c r="AG3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397" spans="1:33" x14ac:dyDescent="0.35">
      <c r="A397">
        <v>399</v>
      </c>
      <c r="B397" s="1"/>
      <c r="C397">
        <v>0</v>
      </c>
      <c r="D397" s="1" t="s">
        <v>111</v>
      </c>
      <c r="E397" s="1" t="s">
        <v>1514</v>
      </c>
      <c r="F397" s="1" t="s">
        <v>30</v>
      </c>
      <c r="G397" s="1" t="s">
        <v>1515</v>
      </c>
      <c r="H397" s="1" t="s">
        <v>1516</v>
      </c>
      <c r="I397" s="1" t="s">
        <v>1517</v>
      </c>
      <c r="J397" s="1" t="s">
        <v>282</v>
      </c>
      <c r="K397" s="1"/>
      <c r="L397" s="1"/>
      <c r="M397" s="1" t="s">
        <v>34</v>
      </c>
      <c r="N397" s="1" t="s">
        <v>97</v>
      </c>
      <c r="O397" s="1" t="s">
        <v>98</v>
      </c>
      <c r="P397" s="1" t="s">
        <v>37</v>
      </c>
      <c r="Q397" s="1"/>
      <c r="R397" s="2">
        <v>43937</v>
      </c>
      <c r="S397" s="1"/>
      <c r="W397" s="1" t="s">
        <v>38</v>
      </c>
      <c r="X397" s="2">
        <v>43944</v>
      </c>
      <c r="Y397" s="2">
        <v>43951</v>
      </c>
      <c r="Z397" s="2">
        <v>43951</v>
      </c>
      <c r="AA397" s="2">
        <v>43951</v>
      </c>
      <c r="AB397" s="2">
        <v>43937</v>
      </c>
      <c r="AC397" s="1"/>
      <c r="AD397">
        <v>14</v>
      </c>
      <c r="AE397">
        <v>287</v>
      </c>
      <c r="AG3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98" spans="1:33" x14ac:dyDescent="0.35">
      <c r="A398">
        <v>400</v>
      </c>
      <c r="B398" s="1"/>
      <c r="C398">
        <v>0</v>
      </c>
      <c r="D398" s="1"/>
      <c r="E398" s="1"/>
      <c r="F398" s="1" t="s">
        <v>30</v>
      </c>
      <c r="G398" s="1" t="s">
        <v>1518</v>
      </c>
      <c r="H398" s="1" t="s">
        <v>1519</v>
      </c>
      <c r="I398" s="1"/>
      <c r="J398" s="1" t="s">
        <v>1520</v>
      </c>
      <c r="K398" s="1"/>
      <c r="L398" s="1"/>
      <c r="M398" s="1" t="s">
        <v>34</v>
      </c>
      <c r="N398" s="1" t="s">
        <v>245</v>
      </c>
      <c r="O398" s="1" t="s">
        <v>147</v>
      </c>
      <c r="P398" s="1" t="s">
        <v>37</v>
      </c>
      <c r="Q398" s="1"/>
      <c r="R398" s="2">
        <v>43937</v>
      </c>
      <c r="S398" s="1"/>
      <c r="W398" s="1" t="s">
        <v>38</v>
      </c>
      <c r="X398" s="2">
        <v>43944</v>
      </c>
      <c r="Y398" s="2">
        <v>43944</v>
      </c>
      <c r="Z398" s="2">
        <v>43944</v>
      </c>
      <c r="AA398" s="2">
        <v>43944</v>
      </c>
      <c r="AB398" s="2">
        <v>43937</v>
      </c>
      <c r="AC398" s="1"/>
      <c r="AD398">
        <v>7</v>
      </c>
      <c r="AE398">
        <v>287</v>
      </c>
      <c r="AG3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99" spans="1:33" x14ac:dyDescent="0.35">
      <c r="A399">
        <v>401</v>
      </c>
      <c r="B399" s="1"/>
      <c r="C399">
        <v>0</v>
      </c>
      <c r="D399" s="1"/>
      <c r="E399" s="1"/>
      <c r="F399" s="1" t="s">
        <v>30</v>
      </c>
      <c r="G399" s="1" t="s">
        <v>1521</v>
      </c>
      <c r="H399" s="1" t="s">
        <v>1522</v>
      </c>
      <c r="I399" s="1"/>
      <c r="J399" s="1" t="s">
        <v>1523</v>
      </c>
      <c r="K399" s="1"/>
      <c r="L399" s="1"/>
      <c r="M399" s="1" t="s">
        <v>34</v>
      </c>
      <c r="N399" s="1" t="s">
        <v>43</v>
      </c>
      <c r="O399" s="1" t="s">
        <v>44</v>
      </c>
      <c r="P399" s="1" t="s">
        <v>37</v>
      </c>
      <c r="Q399" s="1"/>
      <c r="R399" s="2">
        <v>43938</v>
      </c>
      <c r="S399" s="1"/>
      <c r="W399" s="1" t="s">
        <v>38</v>
      </c>
      <c r="X399" s="2">
        <v>43945</v>
      </c>
      <c r="Y399" s="2">
        <v>43944</v>
      </c>
      <c r="Z399" s="2">
        <v>43944</v>
      </c>
      <c r="AA399" s="2">
        <v>43942</v>
      </c>
      <c r="AB399" s="2">
        <v>43938</v>
      </c>
      <c r="AC399" s="1"/>
      <c r="AD399">
        <v>6</v>
      </c>
      <c r="AE399">
        <v>286</v>
      </c>
      <c r="AG3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00" spans="1:33" x14ac:dyDescent="0.35">
      <c r="A400">
        <v>402</v>
      </c>
      <c r="B400" s="1"/>
      <c r="C400">
        <v>0</v>
      </c>
      <c r="D400" s="1"/>
      <c r="E400" s="1" t="s">
        <v>1524</v>
      </c>
      <c r="F400" s="1" t="s">
        <v>30</v>
      </c>
      <c r="G400" s="1" t="s">
        <v>1525</v>
      </c>
      <c r="H400" s="1" t="s">
        <v>1526</v>
      </c>
      <c r="I400" s="1"/>
      <c r="J400" s="1" t="s">
        <v>1717</v>
      </c>
      <c r="K400" s="1"/>
      <c r="L400" s="1"/>
      <c r="M400" s="1" t="s">
        <v>34</v>
      </c>
      <c r="N400" s="1" t="s">
        <v>266</v>
      </c>
      <c r="O400" s="1" t="s">
        <v>267</v>
      </c>
      <c r="P400" s="1" t="s">
        <v>37</v>
      </c>
      <c r="Q400" s="1"/>
      <c r="R400" s="2">
        <v>43941</v>
      </c>
      <c r="S400" s="1"/>
      <c r="W400" s="1" t="s">
        <v>38</v>
      </c>
      <c r="X400" s="2">
        <v>43948</v>
      </c>
      <c r="Y400" s="2">
        <v>43969</v>
      </c>
      <c r="Z400" s="2">
        <v>43969</v>
      </c>
      <c r="AA400" s="2">
        <v>43942</v>
      </c>
      <c r="AB400" s="2">
        <v>43941</v>
      </c>
      <c r="AC400" s="1"/>
      <c r="AD400">
        <v>28</v>
      </c>
      <c r="AE400">
        <v>283</v>
      </c>
      <c r="AG4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401" spans="1:33" x14ac:dyDescent="0.35">
      <c r="A401">
        <v>403</v>
      </c>
      <c r="B401" s="1"/>
      <c r="C401">
        <v>0</v>
      </c>
      <c r="D401" s="1"/>
      <c r="E401" s="1"/>
      <c r="F401" s="1" t="s">
        <v>30</v>
      </c>
      <c r="G401" s="1" t="s">
        <v>1527</v>
      </c>
      <c r="H401" s="1" t="s">
        <v>1528</v>
      </c>
      <c r="I401" s="1"/>
      <c r="J401" s="1" t="s">
        <v>1718</v>
      </c>
      <c r="K401" s="1"/>
      <c r="L401" s="1"/>
      <c r="M401" s="1" t="s">
        <v>34</v>
      </c>
      <c r="N401" s="1" t="s">
        <v>266</v>
      </c>
      <c r="O401" s="1" t="s">
        <v>267</v>
      </c>
      <c r="P401" s="1" t="s">
        <v>37</v>
      </c>
      <c r="Q401" s="1"/>
      <c r="R401" s="2">
        <v>43941</v>
      </c>
      <c r="S401" s="1"/>
      <c r="W401" s="1" t="s">
        <v>38</v>
      </c>
      <c r="X401" s="2">
        <v>43948</v>
      </c>
      <c r="Y401" s="2">
        <v>43979</v>
      </c>
      <c r="Z401" s="2">
        <v>43973</v>
      </c>
      <c r="AA401" s="2">
        <v>43943</v>
      </c>
      <c r="AB401" s="2">
        <v>43941</v>
      </c>
      <c r="AC401" s="1"/>
      <c r="AD401">
        <v>32</v>
      </c>
      <c r="AE401">
        <v>283</v>
      </c>
      <c r="AG4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402" spans="1:33" x14ac:dyDescent="0.35">
      <c r="A402">
        <v>404</v>
      </c>
      <c r="B402" s="1"/>
      <c r="C402">
        <v>0</v>
      </c>
      <c r="D402" s="1"/>
      <c r="E402" s="1"/>
      <c r="F402" s="1" t="s">
        <v>30</v>
      </c>
      <c r="G402" s="1" t="s">
        <v>1529</v>
      </c>
      <c r="H402" s="1" t="s">
        <v>1530</v>
      </c>
      <c r="I402" s="1"/>
      <c r="J402" s="1" t="s">
        <v>1719</v>
      </c>
      <c r="K402" s="1"/>
      <c r="L402" s="1"/>
      <c r="M402" s="1" t="s">
        <v>34</v>
      </c>
      <c r="N402" s="1" t="s">
        <v>266</v>
      </c>
      <c r="O402" s="1" t="s">
        <v>267</v>
      </c>
      <c r="P402" s="1" t="s">
        <v>37</v>
      </c>
      <c r="Q402" s="1"/>
      <c r="R402" s="2">
        <v>43941</v>
      </c>
      <c r="S402" s="1"/>
      <c r="W402" s="1" t="s">
        <v>38</v>
      </c>
      <c r="X402" s="2">
        <v>43948</v>
      </c>
      <c r="Y402" s="2">
        <v>43969</v>
      </c>
      <c r="Z402" s="2">
        <v>43969</v>
      </c>
      <c r="AA402" s="2">
        <v>43941</v>
      </c>
      <c r="AB402" s="2">
        <v>43941</v>
      </c>
      <c r="AC402" s="1"/>
      <c r="AD402">
        <v>28</v>
      </c>
      <c r="AE402">
        <v>283</v>
      </c>
      <c r="AG4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403" spans="1:33" x14ac:dyDescent="0.35">
      <c r="A403">
        <v>405</v>
      </c>
      <c r="B403" s="1"/>
      <c r="C403">
        <v>0</v>
      </c>
      <c r="D403" s="1"/>
      <c r="E403" s="1"/>
      <c r="F403" s="1" t="s">
        <v>30</v>
      </c>
      <c r="G403" s="1" t="s">
        <v>1531</v>
      </c>
      <c r="H403" s="1" t="s">
        <v>1532</v>
      </c>
      <c r="I403" s="1"/>
      <c r="J403" s="1" t="s">
        <v>1533</v>
      </c>
      <c r="K403" s="1"/>
      <c r="L403" s="1"/>
      <c r="M403" s="1" t="s">
        <v>197</v>
      </c>
      <c r="N403" s="1" t="s">
        <v>43</v>
      </c>
      <c r="O403" s="1" t="s">
        <v>44</v>
      </c>
      <c r="P403" s="1" t="s">
        <v>37</v>
      </c>
      <c r="Q403" s="1"/>
      <c r="R403" s="2">
        <v>43941</v>
      </c>
      <c r="S403" s="1"/>
      <c r="W403" s="1" t="s">
        <v>38</v>
      </c>
      <c r="X403" s="2">
        <v>43943</v>
      </c>
      <c r="Y403" s="2">
        <v>43942</v>
      </c>
      <c r="Z403" s="2"/>
      <c r="AA403" s="2">
        <v>43942</v>
      </c>
      <c r="AB403" s="2">
        <v>43941</v>
      </c>
      <c r="AC403" s="1"/>
      <c r="AE403">
        <v>283</v>
      </c>
      <c r="AG4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04" spans="1:33" x14ac:dyDescent="0.35">
      <c r="A404">
        <v>406</v>
      </c>
      <c r="B404" s="1"/>
      <c r="C404">
        <v>0</v>
      </c>
      <c r="D404" s="1"/>
      <c r="E404" s="1"/>
      <c r="F404" s="1" t="s">
        <v>30</v>
      </c>
      <c r="G404" s="1" t="s">
        <v>1534</v>
      </c>
      <c r="H404" s="1" t="s">
        <v>1535</v>
      </c>
      <c r="I404" s="1"/>
      <c r="J404" s="1" t="s">
        <v>1536</v>
      </c>
      <c r="K404" s="1"/>
      <c r="L404" s="1"/>
      <c r="M404" s="1" t="s">
        <v>34</v>
      </c>
      <c r="N404" s="1" t="s">
        <v>192</v>
      </c>
      <c r="O404" s="1" t="s">
        <v>193</v>
      </c>
      <c r="P404" s="1" t="s">
        <v>37</v>
      </c>
      <c r="Q404" s="1"/>
      <c r="R404" s="2">
        <v>43948</v>
      </c>
      <c r="S404" s="1"/>
      <c r="W404" s="1" t="s">
        <v>38</v>
      </c>
      <c r="X404" s="2">
        <v>43949</v>
      </c>
      <c r="Y404" s="2">
        <v>43951</v>
      </c>
      <c r="Z404" s="2">
        <v>43951</v>
      </c>
      <c r="AA404" s="2">
        <v>43943</v>
      </c>
      <c r="AB404" s="2">
        <v>43942</v>
      </c>
      <c r="AC404" s="1"/>
      <c r="AD404">
        <v>9</v>
      </c>
      <c r="AE404">
        <v>282</v>
      </c>
      <c r="AG4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05" spans="1:33" x14ac:dyDescent="0.35">
      <c r="A405">
        <v>407</v>
      </c>
      <c r="B405" s="1"/>
      <c r="C405">
        <v>0</v>
      </c>
      <c r="D405" s="1"/>
      <c r="E405" s="1"/>
      <c r="F405" s="1" t="s">
        <v>30</v>
      </c>
      <c r="G405" s="1" t="s">
        <v>1537</v>
      </c>
      <c r="H405" s="1" t="s">
        <v>1538</v>
      </c>
      <c r="I405" s="1"/>
      <c r="J405" s="1" t="s">
        <v>1539</v>
      </c>
      <c r="K405" s="1"/>
      <c r="L405" s="1"/>
      <c r="M405" s="1" t="s">
        <v>197</v>
      </c>
      <c r="N405" s="1" t="s">
        <v>43</v>
      </c>
      <c r="O405" s="1" t="s">
        <v>44</v>
      </c>
      <c r="P405" s="1" t="s">
        <v>37</v>
      </c>
      <c r="Q405" s="1"/>
      <c r="R405" s="2">
        <v>43942</v>
      </c>
      <c r="S405" s="1"/>
      <c r="W405" s="1" t="s">
        <v>38</v>
      </c>
      <c r="X405" s="2">
        <v>43943</v>
      </c>
      <c r="Y405" s="2">
        <v>43943</v>
      </c>
      <c r="Z405" s="2">
        <v>43943</v>
      </c>
      <c r="AA405" s="2">
        <v>43943</v>
      </c>
      <c r="AB405" s="2">
        <v>43942</v>
      </c>
      <c r="AC405" s="1"/>
      <c r="AD405">
        <v>1</v>
      </c>
      <c r="AE405">
        <v>282</v>
      </c>
      <c r="AG4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06" spans="1:33" x14ac:dyDescent="0.35">
      <c r="A406">
        <v>408</v>
      </c>
      <c r="B406" s="1"/>
      <c r="C406">
        <v>0</v>
      </c>
      <c r="D406" s="1"/>
      <c r="E406" s="1"/>
      <c r="F406" s="1" t="s">
        <v>30</v>
      </c>
      <c r="G406" s="1" t="s">
        <v>1540</v>
      </c>
      <c r="H406" s="1" t="s">
        <v>1541</v>
      </c>
      <c r="I406" s="1"/>
      <c r="J406" s="1" t="s">
        <v>1542</v>
      </c>
      <c r="K406" s="1"/>
      <c r="L406" s="1"/>
      <c r="M406" s="1" t="s">
        <v>197</v>
      </c>
      <c r="N406" s="1" t="s">
        <v>43</v>
      </c>
      <c r="O406" s="1" t="s">
        <v>44</v>
      </c>
      <c r="P406" s="1" t="s">
        <v>37</v>
      </c>
      <c r="Q406" s="1"/>
      <c r="R406" s="2">
        <v>43942</v>
      </c>
      <c r="S406" s="1"/>
      <c r="W406" s="1" t="s">
        <v>38</v>
      </c>
      <c r="X406" s="2">
        <v>43943</v>
      </c>
      <c r="Y406" s="2">
        <v>43949</v>
      </c>
      <c r="Z406" s="2">
        <v>43948</v>
      </c>
      <c r="AA406" s="2">
        <v>43943</v>
      </c>
      <c r="AB406" s="2">
        <v>43942</v>
      </c>
      <c r="AC406" s="1"/>
      <c r="AD406">
        <v>6</v>
      </c>
      <c r="AE406">
        <v>282</v>
      </c>
      <c r="AG4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07" spans="1:33" x14ac:dyDescent="0.35">
      <c r="A407">
        <v>409</v>
      </c>
      <c r="B407" s="1"/>
      <c r="C407">
        <v>0</v>
      </c>
      <c r="D407" s="1"/>
      <c r="E407" s="1"/>
      <c r="F407" s="1" t="s">
        <v>30</v>
      </c>
      <c r="G407" s="1" t="s">
        <v>1543</v>
      </c>
      <c r="H407" s="1" t="s">
        <v>1544</v>
      </c>
      <c r="I407" s="1"/>
      <c r="J407" s="1" t="s">
        <v>1545</v>
      </c>
      <c r="K407" s="1"/>
      <c r="L407" s="1"/>
      <c r="M407" s="1" t="s">
        <v>197</v>
      </c>
      <c r="N407" s="1" t="s">
        <v>43</v>
      </c>
      <c r="O407" s="1" t="s">
        <v>44</v>
      </c>
      <c r="P407" s="1" t="s">
        <v>37</v>
      </c>
      <c r="Q407" s="1"/>
      <c r="R407" s="2">
        <v>43943</v>
      </c>
      <c r="S407" s="1"/>
      <c r="W407" s="1" t="s">
        <v>38</v>
      </c>
      <c r="X407" s="2">
        <v>43943</v>
      </c>
      <c r="Y407" s="2">
        <v>43949</v>
      </c>
      <c r="Z407" s="2">
        <v>43948</v>
      </c>
      <c r="AA407" s="2">
        <v>43944</v>
      </c>
      <c r="AB407" s="2">
        <v>43943</v>
      </c>
      <c r="AC407" s="1"/>
      <c r="AD407">
        <v>5</v>
      </c>
      <c r="AE407">
        <v>281</v>
      </c>
      <c r="AG4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08" spans="1:33" x14ac:dyDescent="0.35">
      <c r="A408">
        <v>410</v>
      </c>
      <c r="B408" s="1"/>
      <c r="C408">
        <v>0</v>
      </c>
      <c r="D408" s="1"/>
      <c r="E408" s="1"/>
      <c r="F408" s="1" t="s">
        <v>30</v>
      </c>
      <c r="G408" s="1" t="s">
        <v>1546</v>
      </c>
      <c r="H408" s="1" t="s">
        <v>1547</v>
      </c>
      <c r="I408" s="1"/>
      <c r="J408" s="1" t="s">
        <v>1548</v>
      </c>
      <c r="K408" s="1"/>
      <c r="L408" s="1"/>
      <c r="M408" s="1" t="s">
        <v>197</v>
      </c>
      <c r="N408" s="1" t="s">
        <v>43</v>
      </c>
      <c r="O408" s="1" t="s">
        <v>44</v>
      </c>
      <c r="P408" s="1" t="s">
        <v>37</v>
      </c>
      <c r="Q408" s="1"/>
      <c r="R408" s="2">
        <v>43943</v>
      </c>
      <c r="S408" s="1"/>
      <c r="W408" s="1" t="s">
        <v>38</v>
      </c>
      <c r="X408" s="2">
        <v>43943</v>
      </c>
      <c r="Y408" s="2">
        <v>43950</v>
      </c>
      <c r="Z408" s="2">
        <v>43950</v>
      </c>
      <c r="AA408" s="2">
        <v>43944</v>
      </c>
      <c r="AB408" s="2">
        <v>43943</v>
      </c>
      <c r="AC408" s="1"/>
      <c r="AD408">
        <v>7</v>
      </c>
      <c r="AE408">
        <v>281</v>
      </c>
      <c r="AG4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09" spans="1:33" x14ac:dyDescent="0.35">
      <c r="A409">
        <v>411</v>
      </c>
      <c r="B409" s="1"/>
      <c r="C409">
        <v>0</v>
      </c>
      <c r="D409" s="1"/>
      <c r="E409" s="1"/>
      <c r="F409" s="1" t="s">
        <v>30</v>
      </c>
      <c r="G409" s="1" t="s">
        <v>1549</v>
      </c>
      <c r="H409" s="1" t="s">
        <v>1550</v>
      </c>
      <c r="I409" s="1"/>
      <c r="J409" s="1" t="s">
        <v>1720</v>
      </c>
      <c r="K409" s="1"/>
      <c r="L409" s="1"/>
      <c r="M409" s="1" t="s">
        <v>197</v>
      </c>
      <c r="N409" s="1" t="s">
        <v>43</v>
      </c>
      <c r="O409" s="1" t="s">
        <v>44</v>
      </c>
      <c r="P409" s="1" t="s">
        <v>37</v>
      </c>
      <c r="Q409" s="1"/>
      <c r="R409" s="2">
        <v>43943</v>
      </c>
      <c r="S409" s="1"/>
      <c r="W409" s="1" t="s">
        <v>38</v>
      </c>
      <c r="X409" s="2">
        <v>43944</v>
      </c>
      <c r="Y409" s="2">
        <v>43962</v>
      </c>
      <c r="Z409" s="2">
        <v>43959</v>
      </c>
      <c r="AA409" s="2"/>
      <c r="AB409" s="2">
        <v>43943</v>
      </c>
      <c r="AC409" s="1"/>
      <c r="AD409">
        <v>16</v>
      </c>
      <c r="AE409">
        <v>281</v>
      </c>
      <c r="AG4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10" spans="1:33" x14ac:dyDescent="0.35">
      <c r="A410">
        <v>412</v>
      </c>
      <c r="B410" s="1"/>
      <c r="C410">
        <v>0</v>
      </c>
      <c r="D410" s="1"/>
      <c r="E410" s="1"/>
      <c r="F410" s="1" t="s">
        <v>30</v>
      </c>
      <c r="G410" s="1" t="s">
        <v>1551</v>
      </c>
      <c r="H410" s="1" t="s">
        <v>1552</v>
      </c>
      <c r="I410" s="1"/>
      <c r="J410" s="1" t="s">
        <v>1721</v>
      </c>
      <c r="K410" s="1"/>
      <c r="L410" s="1"/>
      <c r="M410" s="1" t="s">
        <v>34</v>
      </c>
      <c r="N410" s="1" t="s">
        <v>43</v>
      </c>
      <c r="O410" s="1" t="s">
        <v>44</v>
      </c>
      <c r="P410" s="1" t="s">
        <v>37</v>
      </c>
      <c r="Q410" s="1"/>
      <c r="R410" s="2">
        <v>43943</v>
      </c>
      <c r="S410" s="1"/>
      <c r="W410" s="1" t="s">
        <v>38</v>
      </c>
      <c r="X410" s="2">
        <v>43950</v>
      </c>
      <c r="Y410" s="2">
        <v>43962</v>
      </c>
      <c r="Z410" s="2">
        <v>43959</v>
      </c>
      <c r="AA410" s="2"/>
      <c r="AB410" s="2">
        <v>43943</v>
      </c>
      <c r="AC410" s="1"/>
      <c r="AD410">
        <v>16</v>
      </c>
      <c r="AE410">
        <v>281</v>
      </c>
      <c r="AG4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11" spans="1:33" x14ac:dyDescent="0.35">
      <c r="A411">
        <v>413</v>
      </c>
      <c r="B411" s="1"/>
      <c r="C411">
        <v>0</v>
      </c>
      <c r="D411" s="1"/>
      <c r="E411" s="1" t="s">
        <v>1553</v>
      </c>
      <c r="F411" s="1" t="s">
        <v>30</v>
      </c>
      <c r="G411" s="1" t="s">
        <v>1554</v>
      </c>
      <c r="H411" s="1" t="s">
        <v>1899</v>
      </c>
      <c r="I411" s="1"/>
      <c r="J411" s="1" t="s">
        <v>2361</v>
      </c>
      <c r="K411" s="1"/>
      <c r="L411" s="1"/>
      <c r="M411" s="1" t="s">
        <v>197</v>
      </c>
      <c r="N411" s="1" t="s">
        <v>43</v>
      </c>
      <c r="O411" s="1" t="s">
        <v>44</v>
      </c>
      <c r="P411" s="1" t="s">
        <v>437</v>
      </c>
      <c r="Q411" s="1" t="s">
        <v>44</v>
      </c>
      <c r="R411" s="2">
        <v>44046</v>
      </c>
      <c r="S411" s="1"/>
      <c r="W411" s="1" t="s">
        <v>38</v>
      </c>
      <c r="X411" s="2">
        <v>43967</v>
      </c>
      <c r="Y411" s="2">
        <v>44096</v>
      </c>
      <c r="Z411" s="2">
        <v>44050</v>
      </c>
      <c r="AA411" s="2">
        <v>44056</v>
      </c>
      <c r="AB411" s="2">
        <v>43943</v>
      </c>
      <c r="AC411" s="1"/>
      <c r="AD411">
        <v>107</v>
      </c>
      <c r="AE411">
        <v>281</v>
      </c>
      <c r="AG4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107</v>
      </c>
    </row>
    <row r="412" spans="1:33" x14ac:dyDescent="0.35">
      <c r="A412">
        <v>414</v>
      </c>
      <c r="B412" s="1"/>
      <c r="C412">
        <v>0</v>
      </c>
      <c r="D412" s="1"/>
      <c r="E412" s="1"/>
      <c r="F412" s="1" t="s">
        <v>30</v>
      </c>
      <c r="G412" s="1" t="s">
        <v>1555</v>
      </c>
      <c r="H412" s="1" t="s">
        <v>1556</v>
      </c>
      <c r="I412" s="1"/>
      <c r="J412" s="1" t="s">
        <v>1722</v>
      </c>
      <c r="K412" s="1"/>
      <c r="L412" s="1"/>
      <c r="M412" s="1" t="s">
        <v>34</v>
      </c>
      <c r="N412" s="1" t="s">
        <v>192</v>
      </c>
      <c r="O412" s="1" t="s">
        <v>193</v>
      </c>
      <c r="P412" s="1" t="s">
        <v>37</v>
      </c>
      <c r="Q412" s="1"/>
      <c r="R412" s="2">
        <v>43944</v>
      </c>
      <c r="S412" s="1"/>
      <c r="W412" s="1" t="s">
        <v>38</v>
      </c>
      <c r="X412" s="2">
        <v>43950</v>
      </c>
      <c r="Y412" s="2">
        <v>43962</v>
      </c>
      <c r="Z412" s="2">
        <v>43962</v>
      </c>
      <c r="AA412" s="2"/>
      <c r="AB412" s="2">
        <v>43944</v>
      </c>
      <c r="AC412" s="1"/>
      <c r="AD412">
        <v>18</v>
      </c>
      <c r="AE412">
        <v>280</v>
      </c>
      <c r="AG4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13" spans="1:33" x14ac:dyDescent="0.35">
      <c r="A413">
        <v>415</v>
      </c>
      <c r="B413" s="1"/>
      <c r="C413">
        <v>0</v>
      </c>
      <c r="D413" s="1"/>
      <c r="E413" s="1" t="s">
        <v>1557</v>
      </c>
      <c r="F413" s="1" t="s">
        <v>30</v>
      </c>
      <c r="G413" s="1" t="s">
        <v>1558</v>
      </c>
      <c r="H413" s="1" t="s">
        <v>1559</v>
      </c>
      <c r="I413" s="1"/>
      <c r="J413" s="1" t="s">
        <v>1723</v>
      </c>
      <c r="K413" s="1"/>
      <c r="L413" s="1"/>
      <c r="M413" s="1" t="s">
        <v>34</v>
      </c>
      <c r="N413" s="1" t="s">
        <v>483</v>
      </c>
      <c r="O413" s="1" t="s">
        <v>484</v>
      </c>
      <c r="P413" s="1" t="s">
        <v>116</v>
      </c>
      <c r="Q413" s="1"/>
      <c r="R413" s="2">
        <v>43945</v>
      </c>
      <c r="S413" s="1"/>
      <c r="W413" s="1" t="s">
        <v>38</v>
      </c>
      <c r="X413" s="2">
        <v>43952</v>
      </c>
      <c r="Y413" s="2">
        <v>43972</v>
      </c>
      <c r="Z413" s="2">
        <v>43966</v>
      </c>
      <c r="AA413" s="2">
        <v>43966</v>
      </c>
      <c r="AB413" s="2">
        <v>43945</v>
      </c>
      <c r="AC413" s="1"/>
      <c r="AD413">
        <v>21</v>
      </c>
      <c r="AE413">
        <v>279</v>
      </c>
      <c r="AG4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414" spans="1:33" x14ac:dyDescent="0.35">
      <c r="A414">
        <v>416</v>
      </c>
      <c r="B414" s="1"/>
      <c r="C414">
        <v>0</v>
      </c>
      <c r="D414" s="1"/>
      <c r="E414" s="1"/>
      <c r="F414" s="1" t="s">
        <v>30</v>
      </c>
      <c r="G414" s="1" t="s">
        <v>1560</v>
      </c>
      <c r="H414" s="1" t="s">
        <v>1561</v>
      </c>
      <c r="I414" s="1"/>
      <c r="J414" s="1" t="s">
        <v>1562</v>
      </c>
      <c r="K414" s="1"/>
      <c r="L414" s="1"/>
      <c r="M414" s="1" t="s">
        <v>34</v>
      </c>
      <c r="N414" s="1" t="s">
        <v>129</v>
      </c>
      <c r="O414" s="1" t="s">
        <v>44</v>
      </c>
      <c r="P414" s="1" t="s">
        <v>37</v>
      </c>
      <c r="Q414" s="1"/>
      <c r="R414" s="2">
        <v>43948</v>
      </c>
      <c r="S414" s="1"/>
      <c r="W414" s="1" t="s">
        <v>38</v>
      </c>
      <c r="X414" s="2">
        <v>43955</v>
      </c>
      <c r="Y414" s="2">
        <v>43951</v>
      </c>
      <c r="Z414" s="2">
        <v>43948</v>
      </c>
      <c r="AA414" s="2">
        <v>43948</v>
      </c>
      <c r="AB414" s="2">
        <v>43948</v>
      </c>
      <c r="AC414" s="1"/>
      <c r="AD414">
        <v>0</v>
      </c>
      <c r="AE414">
        <v>276</v>
      </c>
      <c r="AG4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15" spans="1:33" x14ac:dyDescent="0.35">
      <c r="A415">
        <v>417</v>
      </c>
      <c r="B415" s="1"/>
      <c r="C415">
        <v>0</v>
      </c>
      <c r="D415" s="1" t="s">
        <v>1479</v>
      </c>
      <c r="E415" s="1"/>
      <c r="F415" s="1" t="s">
        <v>30</v>
      </c>
      <c r="G415" s="1" t="s">
        <v>1563</v>
      </c>
      <c r="H415" s="1" t="s">
        <v>1564</v>
      </c>
      <c r="I415" s="1"/>
      <c r="J415" s="1" t="s">
        <v>1656</v>
      </c>
      <c r="K415" s="1"/>
      <c r="L415" s="1"/>
      <c r="M415" s="1" t="s">
        <v>197</v>
      </c>
      <c r="N415" s="1" t="s">
        <v>378</v>
      </c>
      <c r="O415" s="1" t="s">
        <v>147</v>
      </c>
      <c r="P415" s="1" t="s">
        <v>379</v>
      </c>
      <c r="Q415" s="1"/>
      <c r="R415" s="2">
        <v>43948</v>
      </c>
      <c r="S415" s="1"/>
      <c r="W415" s="1" t="s">
        <v>38</v>
      </c>
      <c r="X415" s="2">
        <v>43955</v>
      </c>
      <c r="Y415" s="2">
        <v>43956</v>
      </c>
      <c r="Z415" s="2">
        <v>43952</v>
      </c>
      <c r="AA415" s="2">
        <v>43948</v>
      </c>
      <c r="AB415" s="2">
        <v>43948</v>
      </c>
      <c r="AC415" s="1"/>
      <c r="AD415">
        <v>4</v>
      </c>
      <c r="AE415">
        <v>276</v>
      </c>
      <c r="AG4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416" spans="1:33" x14ac:dyDescent="0.35">
      <c r="A416">
        <v>418</v>
      </c>
      <c r="B416" s="1"/>
      <c r="C416">
        <v>0</v>
      </c>
      <c r="D416" s="1"/>
      <c r="E416" s="1"/>
      <c r="F416" s="1" t="s">
        <v>30</v>
      </c>
      <c r="G416" s="1" t="s">
        <v>1565</v>
      </c>
      <c r="H416" s="1" t="s">
        <v>1566</v>
      </c>
      <c r="I416" s="1"/>
      <c r="J416" s="1" t="s">
        <v>1567</v>
      </c>
      <c r="K416" s="1"/>
      <c r="L416" s="1"/>
      <c r="M416" s="1" t="s">
        <v>34</v>
      </c>
      <c r="N416" s="1" t="s">
        <v>341</v>
      </c>
      <c r="O416" s="1" t="s">
        <v>62</v>
      </c>
      <c r="P416" s="1" t="s">
        <v>63</v>
      </c>
      <c r="Q416" s="1"/>
      <c r="R416" s="2">
        <v>43948</v>
      </c>
      <c r="S416" s="1"/>
      <c r="W416" s="1" t="s">
        <v>38</v>
      </c>
      <c r="X416" s="2">
        <v>43955</v>
      </c>
      <c r="Y416" s="2">
        <v>43951</v>
      </c>
      <c r="Z416" s="2">
        <v>43950</v>
      </c>
      <c r="AA416" s="2">
        <v>43950</v>
      </c>
      <c r="AB416" s="2">
        <v>43948</v>
      </c>
      <c r="AC416" s="1"/>
      <c r="AD416">
        <v>2</v>
      </c>
      <c r="AE416">
        <v>276</v>
      </c>
      <c r="AG4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17" spans="1:33" x14ac:dyDescent="0.35">
      <c r="A417">
        <v>420</v>
      </c>
      <c r="B417" s="1"/>
      <c r="C417">
        <v>0</v>
      </c>
      <c r="D417" s="1" t="s">
        <v>111</v>
      </c>
      <c r="E417" s="1" t="s">
        <v>1568</v>
      </c>
      <c r="F417" s="1" t="s">
        <v>30</v>
      </c>
      <c r="G417" s="1" t="s">
        <v>1569</v>
      </c>
      <c r="H417" s="1" t="s">
        <v>1570</v>
      </c>
      <c r="I417" s="1" t="s">
        <v>1571</v>
      </c>
      <c r="J417" s="1" t="s">
        <v>1724</v>
      </c>
      <c r="K417" s="1"/>
      <c r="L417" s="1"/>
      <c r="M417" s="1" t="s">
        <v>34</v>
      </c>
      <c r="N417" s="1" t="s">
        <v>97</v>
      </c>
      <c r="O417" s="1" t="s">
        <v>98</v>
      </c>
      <c r="P417" s="1" t="s">
        <v>37</v>
      </c>
      <c r="Q417" s="1"/>
      <c r="R417" s="2">
        <v>43948</v>
      </c>
      <c r="S417" s="1"/>
      <c r="W417" s="1" t="s">
        <v>38</v>
      </c>
      <c r="X417" s="2">
        <v>43955</v>
      </c>
      <c r="Y417" s="2">
        <v>43972</v>
      </c>
      <c r="Z417" s="2">
        <v>43966</v>
      </c>
      <c r="AA417" s="2">
        <v>43950</v>
      </c>
      <c r="AB417" s="2">
        <v>43948</v>
      </c>
      <c r="AC417" s="1"/>
      <c r="AD417">
        <v>18</v>
      </c>
      <c r="AE417">
        <v>276</v>
      </c>
      <c r="AG4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18" spans="1:33" x14ac:dyDescent="0.35">
      <c r="A418">
        <v>421</v>
      </c>
      <c r="B418" s="1"/>
      <c r="C418">
        <v>0</v>
      </c>
      <c r="D418" s="1" t="s">
        <v>206</v>
      </c>
      <c r="E418" s="1" t="s">
        <v>1572</v>
      </c>
      <c r="F418" s="1" t="s">
        <v>30</v>
      </c>
      <c r="G418" s="1" t="s">
        <v>1573</v>
      </c>
      <c r="H418" s="1" t="s">
        <v>1574</v>
      </c>
      <c r="I418" s="1" t="s">
        <v>1575</v>
      </c>
      <c r="J418" s="1" t="s">
        <v>1725</v>
      </c>
      <c r="K418" s="1"/>
      <c r="L418" s="1"/>
      <c r="M418" s="1" t="s">
        <v>34</v>
      </c>
      <c r="N418" s="1" t="s">
        <v>97</v>
      </c>
      <c r="O418" s="1" t="s">
        <v>98</v>
      </c>
      <c r="P418" s="1" t="s">
        <v>99</v>
      </c>
      <c r="Q418" s="1"/>
      <c r="R418" s="2">
        <v>43948</v>
      </c>
      <c r="S418" s="1"/>
      <c r="W418" s="1" t="s">
        <v>38</v>
      </c>
      <c r="X418" s="2">
        <v>43955</v>
      </c>
      <c r="Y418" s="2">
        <v>43973</v>
      </c>
      <c r="Z418" s="2">
        <v>43972</v>
      </c>
      <c r="AA418" s="2">
        <v>43950</v>
      </c>
      <c r="AB418" s="2">
        <v>43948</v>
      </c>
      <c r="AC418" s="1"/>
      <c r="AD418">
        <v>24</v>
      </c>
      <c r="AE418">
        <v>276</v>
      </c>
      <c r="AG4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419" spans="1:33" x14ac:dyDescent="0.35">
      <c r="A419">
        <v>422</v>
      </c>
      <c r="B419" s="1"/>
      <c r="C419">
        <v>0</v>
      </c>
      <c r="D419" s="1" t="s">
        <v>111</v>
      </c>
      <c r="E419" s="1" t="s">
        <v>1576</v>
      </c>
      <c r="F419" s="1" t="s">
        <v>30</v>
      </c>
      <c r="G419" s="1" t="s">
        <v>1577</v>
      </c>
      <c r="H419" s="1" t="s">
        <v>1578</v>
      </c>
      <c r="I419" s="1" t="s">
        <v>1579</v>
      </c>
      <c r="J419" s="1" t="s">
        <v>282</v>
      </c>
      <c r="K419" s="1"/>
      <c r="L419" s="1"/>
      <c r="M419" s="1" t="s">
        <v>34</v>
      </c>
      <c r="N419" s="1" t="s">
        <v>97</v>
      </c>
      <c r="O419" s="1" t="s">
        <v>98</v>
      </c>
      <c r="P419" s="1" t="s">
        <v>37</v>
      </c>
      <c r="Q419" s="1"/>
      <c r="R419" s="2">
        <v>43949</v>
      </c>
      <c r="S419" s="1"/>
      <c r="W419" s="1" t="s">
        <v>38</v>
      </c>
      <c r="X419" s="2">
        <v>43955</v>
      </c>
      <c r="Y419" s="2">
        <v>43951</v>
      </c>
      <c r="Z419" s="2">
        <v>43951</v>
      </c>
      <c r="AA419" s="2">
        <v>43951</v>
      </c>
      <c r="AB419" s="2">
        <v>43949</v>
      </c>
      <c r="AC419" s="1"/>
      <c r="AD419">
        <v>2</v>
      </c>
      <c r="AE419">
        <v>275</v>
      </c>
      <c r="AG4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20" spans="1:33" x14ac:dyDescent="0.35">
      <c r="A420">
        <v>423</v>
      </c>
      <c r="B420" s="1"/>
      <c r="C420">
        <v>0</v>
      </c>
      <c r="D420" s="1" t="s">
        <v>206</v>
      </c>
      <c r="E420" s="1" t="s">
        <v>1580</v>
      </c>
      <c r="F420" s="1" t="s">
        <v>30</v>
      </c>
      <c r="G420" s="1" t="s">
        <v>1581</v>
      </c>
      <c r="H420" s="1" t="s">
        <v>1582</v>
      </c>
      <c r="I420" s="1" t="s">
        <v>1583</v>
      </c>
      <c r="J420" s="1" t="s">
        <v>1900</v>
      </c>
      <c r="K420" s="1"/>
      <c r="L420" s="1"/>
      <c r="M420" s="1" t="s">
        <v>34</v>
      </c>
      <c r="N420" s="1" t="s">
        <v>97</v>
      </c>
      <c r="O420" s="1" t="s">
        <v>98</v>
      </c>
      <c r="P420" s="1" t="s">
        <v>37</v>
      </c>
      <c r="Q420" s="1"/>
      <c r="R420" s="2">
        <v>43949</v>
      </c>
      <c r="S420" s="1"/>
      <c r="W420" s="1" t="s">
        <v>38</v>
      </c>
      <c r="X420" s="2">
        <v>43956</v>
      </c>
      <c r="Y420" s="2">
        <v>44021</v>
      </c>
      <c r="Z420" s="2">
        <v>44020</v>
      </c>
      <c r="AA420" s="2">
        <v>43950</v>
      </c>
      <c r="AB420" s="2">
        <v>43949</v>
      </c>
      <c r="AC420" s="1"/>
      <c r="AD420">
        <v>71</v>
      </c>
      <c r="AE420">
        <v>275</v>
      </c>
      <c r="AG4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71</v>
      </c>
    </row>
    <row r="421" spans="1:33" x14ac:dyDescent="0.35">
      <c r="A421">
        <v>424</v>
      </c>
      <c r="B421" s="1"/>
      <c r="C421">
        <v>0</v>
      </c>
      <c r="D421" s="1"/>
      <c r="E421" s="1"/>
      <c r="F421" s="1" t="s">
        <v>30</v>
      </c>
      <c r="G421" s="1" t="s">
        <v>1584</v>
      </c>
      <c r="H421" s="1" t="s">
        <v>1585</v>
      </c>
      <c r="I421" s="1"/>
      <c r="J421" s="1" t="s">
        <v>1726</v>
      </c>
      <c r="K421" s="1"/>
      <c r="L421" s="1"/>
      <c r="M421" s="1" t="s">
        <v>34</v>
      </c>
      <c r="N421" s="1" t="s">
        <v>276</v>
      </c>
      <c r="O421" s="1" t="s">
        <v>277</v>
      </c>
      <c r="P421" s="1" t="s">
        <v>278</v>
      </c>
      <c r="Q421" s="1"/>
      <c r="R421" s="2">
        <v>43949</v>
      </c>
      <c r="S421" s="1"/>
      <c r="W421" s="1" t="s">
        <v>38</v>
      </c>
      <c r="X421" s="2">
        <v>43959</v>
      </c>
      <c r="Y421" s="2">
        <v>43984</v>
      </c>
      <c r="Z421" s="2">
        <v>43979</v>
      </c>
      <c r="AA421" s="2"/>
      <c r="AB421" s="2">
        <v>43949</v>
      </c>
      <c r="AC421" s="1"/>
      <c r="AD421">
        <v>30</v>
      </c>
      <c r="AE421">
        <v>275</v>
      </c>
      <c r="AG4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422" spans="1:33" x14ac:dyDescent="0.35">
      <c r="A422">
        <v>425</v>
      </c>
      <c r="B422" s="1"/>
      <c r="C422">
        <v>0</v>
      </c>
      <c r="D422" s="1" t="s">
        <v>206</v>
      </c>
      <c r="E422" s="1"/>
      <c r="F422" s="1" t="s">
        <v>30</v>
      </c>
      <c r="G422" s="1" t="s">
        <v>1586</v>
      </c>
      <c r="H422" s="1" t="s">
        <v>1587</v>
      </c>
      <c r="I422" s="1" t="s">
        <v>1588</v>
      </c>
      <c r="J422" s="1" t="s">
        <v>1589</v>
      </c>
      <c r="K422" s="1"/>
      <c r="L422" s="1"/>
      <c r="M422" s="1" t="s">
        <v>34</v>
      </c>
      <c r="N422" s="1" t="s">
        <v>97</v>
      </c>
      <c r="O422" s="1" t="s">
        <v>98</v>
      </c>
      <c r="P422" s="1" t="s">
        <v>63</v>
      </c>
      <c r="Q422" s="1"/>
      <c r="R422" s="2">
        <v>43949</v>
      </c>
      <c r="S422" s="1"/>
      <c r="W422" s="1" t="s">
        <v>38</v>
      </c>
      <c r="X422" s="2">
        <v>43956</v>
      </c>
      <c r="Y422" s="2">
        <v>43951</v>
      </c>
      <c r="Z422" s="2">
        <v>43950</v>
      </c>
      <c r="AA422" s="2">
        <v>43950</v>
      </c>
      <c r="AB422" s="2">
        <v>43949</v>
      </c>
      <c r="AC422" s="1"/>
      <c r="AD422">
        <v>1</v>
      </c>
      <c r="AE422">
        <v>275</v>
      </c>
      <c r="AG4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3" spans="1:33" x14ac:dyDescent="0.35">
      <c r="A423">
        <v>426</v>
      </c>
      <c r="B423" s="1"/>
      <c r="C423">
        <v>0</v>
      </c>
      <c r="D423" s="1" t="s">
        <v>1590</v>
      </c>
      <c r="E423" s="1" t="s">
        <v>1591</v>
      </c>
      <c r="F423" s="1" t="s">
        <v>30</v>
      </c>
      <c r="G423" s="1" t="s">
        <v>1592</v>
      </c>
      <c r="H423" s="1" t="s">
        <v>1593</v>
      </c>
      <c r="I423" s="1" t="s">
        <v>1594</v>
      </c>
      <c r="J423" s="1" t="s">
        <v>1727</v>
      </c>
      <c r="K423" s="1"/>
      <c r="L423" s="1"/>
      <c r="M423" s="1" t="s">
        <v>34</v>
      </c>
      <c r="N423" s="1" t="s">
        <v>97</v>
      </c>
      <c r="O423" s="1" t="s">
        <v>98</v>
      </c>
      <c r="P423" s="1" t="s">
        <v>37</v>
      </c>
      <c r="Q423" s="1"/>
      <c r="R423" s="2">
        <v>43949</v>
      </c>
      <c r="S423" s="1"/>
      <c r="W423" s="1" t="s">
        <v>38</v>
      </c>
      <c r="X423" s="2">
        <v>43956</v>
      </c>
      <c r="Y423" s="2">
        <v>43973</v>
      </c>
      <c r="Z423" s="2">
        <v>43973</v>
      </c>
      <c r="AA423" s="2">
        <v>43950</v>
      </c>
      <c r="AB423" s="2">
        <v>43949</v>
      </c>
      <c r="AC423" s="1"/>
      <c r="AD423">
        <v>24</v>
      </c>
      <c r="AE423">
        <v>275</v>
      </c>
      <c r="AG4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424" spans="1:33" x14ac:dyDescent="0.35">
      <c r="A424">
        <v>427</v>
      </c>
      <c r="B424" s="1"/>
      <c r="C424">
        <v>0</v>
      </c>
      <c r="D424" s="1"/>
      <c r="E424" s="1"/>
      <c r="F424" s="1" t="s">
        <v>30</v>
      </c>
      <c r="G424" s="1" t="s">
        <v>1595</v>
      </c>
      <c r="H424" s="1" t="s">
        <v>1596</v>
      </c>
      <c r="I424" s="1"/>
      <c r="J424" s="1" t="s">
        <v>1597</v>
      </c>
      <c r="K424" s="1"/>
      <c r="L424" s="1"/>
      <c r="M424" s="1" t="s">
        <v>34</v>
      </c>
      <c r="N424" s="1" t="s">
        <v>341</v>
      </c>
      <c r="O424" s="1" t="s">
        <v>62</v>
      </c>
      <c r="P424" s="1" t="s">
        <v>37</v>
      </c>
      <c r="Q424" s="1"/>
      <c r="R424" s="2">
        <v>43950</v>
      </c>
      <c r="S424" s="1"/>
      <c r="W424" s="1" t="s">
        <v>38</v>
      </c>
      <c r="X424" s="2">
        <v>43957</v>
      </c>
      <c r="Y424" s="2">
        <v>43951</v>
      </c>
      <c r="Z424" s="2">
        <v>43951</v>
      </c>
      <c r="AA424" s="2">
        <v>43950</v>
      </c>
      <c r="AB424" s="2">
        <v>43950</v>
      </c>
      <c r="AC424" s="1"/>
      <c r="AD424">
        <v>1</v>
      </c>
      <c r="AE424">
        <v>274</v>
      </c>
      <c r="AG4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5" spans="1:33" x14ac:dyDescent="0.35">
      <c r="A425">
        <v>428</v>
      </c>
      <c r="B425" s="1"/>
      <c r="C425">
        <v>0</v>
      </c>
      <c r="D425" s="1"/>
      <c r="E425" s="1"/>
      <c r="F425" s="1" t="s">
        <v>30</v>
      </c>
      <c r="G425" s="1" t="s">
        <v>1598</v>
      </c>
      <c r="H425" s="1" t="s">
        <v>1599</v>
      </c>
      <c r="I425" s="1"/>
      <c r="J425" s="1" t="s">
        <v>1600</v>
      </c>
      <c r="K425" s="1"/>
      <c r="L425" s="1"/>
      <c r="M425" s="1" t="s">
        <v>197</v>
      </c>
      <c r="N425" s="1" t="s">
        <v>43</v>
      </c>
      <c r="O425" s="1" t="s">
        <v>44</v>
      </c>
      <c r="P425" s="1" t="s">
        <v>37</v>
      </c>
      <c r="Q425" s="1"/>
      <c r="R425" s="2">
        <v>43950</v>
      </c>
      <c r="S425" s="1"/>
      <c r="W425" s="1" t="s">
        <v>38</v>
      </c>
      <c r="X425" s="2">
        <v>43953</v>
      </c>
      <c r="Y425" s="2">
        <v>43951</v>
      </c>
      <c r="Z425" s="2">
        <v>43950</v>
      </c>
      <c r="AA425" s="2">
        <v>43950</v>
      </c>
      <c r="AB425" s="2">
        <v>43950</v>
      </c>
      <c r="AC425" s="1"/>
      <c r="AD425">
        <v>0</v>
      </c>
      <c r="AE425">
        <v>274</v>
      </c>
      <c r="AG4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6" spans="1:33" x14ac:dyDescent="0.35">
      <c r="A426">
        <v>429</v>
      </c>
      <c r="B426" s="1"/>
      <c r="C426">
        <v>0</v>
      </c>
      <c r="D426" s="1"/>
      <c r="E426" s="1"/>
      <c r="F426" s="1" t="s">
        <v>30</v>
      </c>
      <c r="G426" s="1" t="s">
        <v>1601</v>
      </c>
      <c r="H426" s="1" t="s">
        <v>1602</v>
      </c>
      <c r="I426" s="1"/>
      <c r="J426" s="1" t="s">
        <v>1728</v>
      </c>
      <c r="K426" s="1"/>
      <c r="L426" s="1"/>
      <c r="M426" s="1" t="s">
        <v>197</v>
      </c>
      <c r="N426" s="1" t="s">
        <v>43</v>
      </c>
      <c r="O426" s="1" t="s">
        <v>44</v>
      </c>
      <c r="P426" s="1" t="s">
        <v>37</v>
      </c>
      <c r="Q426" s="1"/>
      <c r="R426" s="2">
        <v>43958</v>
      </c>
      <c r="S426" s="1"/>
      <c r="W426" s="1" t="s">
        <v>38</v>
      </c>
      <c r="X426" s="2">
        <v>43954</v>
      </c>
      <c r="Y426" s="2">
        <v>43962</v>
      </c>
      <c r="Z426" s="2">
        <v>43959</v>
      </c>
      <c r="AA426" s="2"/>
      <c r="AB426" s="2">
        <v>43950</v>
      </c>
      <c r="AC426" s="1"/>
      <c r="AD426">
        <v>9</v>
      </c>
      <c r="AE426">
        <v>274</v>
      </c>
      <c r="AG4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27" spans="1:33" x14ac:dyDescent="0.35">
      <c r="A427">
        <v>430</v>
      </c>
      <c r="B427" s="1"/>
      <c r="C427">
        <v>0</v>
      </c>
      <c r="D427" s="1"/>
      <c r="E427" s="1"/>
      <c r="F427" s="1" t="s">
        <v>30</v>
      </c>
      <c r="G427" s="1" t="s">
        <v>1603</v>
      </c>
      <c r="H427" s="1" t="s">
        <v>1604</v>
      </c>
      <c r="I427" s="1"/>
      <c r="J427" s="1" t="s">
        <v>1605</v>
      </c>
      <c r="K427" s="1"/>
      <c r="L427" s="1"/>
      <c r="M427" s="1" t="s">
        <v>197</v>
      </c>
      <c r="N427" s="1" t="s">
        <v>1606</v>
      </c>
      <c r="O427" s="1" t="s">
        <v>1607</v>
      </c>
      <c r="P427" s="1" t="s">
        <v>37</v>
      </c>
      <c r="Q427" s="1"/>
      <c r="R427" s="2">
        <v>43950</v>
      </c>
      <c r="S427" s="1"/>
      <c r="W427" s="1" t="s">
        <v>38</v>
      </c>
      <c r="X427" s="2">
        <v>43953</v>
      </c>
      <c r="Y427" s="2">
        <v>43965</v>
      </c>
      <c r="Z427" s="2"/>
      <c r="AA427" s="2">
        <v>43952</v>
      </c>
      <c r="AB427" s="2">
        <v>43950</v>
      </c>
      <c r="AC427" s="1"/>
      <c r="AE427">
        <v>274</v>
      </c>
      <c r="AG4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8" spans="1:33" x14ac:dyDescent="0.35">
      <c r="A428">
        <v>431</v>
      </c>
      <c r="B428" s="1"/>
      <c r="C428">
        <v>0</v>
      </c>
      <c r="D428" s="1"/>
      <c r="E428" s="1"/>
      <c r="F428" s="1" t="s">
        <v>30</v>
      </c>
      <c r="G428" s="1" t="s">
        <v>1608</v>
      </c>
      <c r="H428" s="1" t="s">
        <v>1609</v>
      </c>
      <c r="I428" s="1"/>
      <c r="J428" s="1" t="s">
        <v>1729</v>
      </c>
      <c r="K428" s="1"/>
      <c r="L428" s="1"/>
      <c r="M428" s="1" t="s">
        <v>197</v>
      </c>
      <c r="N428" s="1" t="s">
        <v>1606</v>
      </c>
      <c r="O428" s="1" t="s">
        <v>1607</v>
      </c>
      <c r="P428" s="1" t="s">
        <v>37</v>
      </c>
      <c r="Q428" s="1"/>
      <c r="R428" s="2">
        <v>43950</v>
      </c>
      <c r="S428" s="1"/>
      <c r="W428" s="1" t="s">
        <v>38</v>
      </c>
      <c r="X428" s="2">
        <v>43953</v>
      </c>
      <c r="Y428" s="2">
        <v>43979</v>
      </c>
      <c r="Z428" s="2">
        <v>43973</v>
      </c>
      <c r="AA428" s="2">
        <v>43952</v>
      </c>
      <c r="AB428" s="2">
        <v>43950</v>
      </c>
      <c r="AC428" s="1"/>
      <c r="AD428">
        <v>23</v>
      </c>
      <c r="AE428">
        <v>274</v>
      </c>
      <c r="AG4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429" spans="1:33" x14ac:dyDescent="0.35">
      <c r="A429">
        <v>432</v>
      </c>
      <c r="B429" s="1"/>
      <c r="C429">
        <v>0</v>
      </c>
      <c r="D429" s="1"/>
      <c r="E429" s="1"/>
      <c r="F429" s="1" t="s">
        <v>30</v>
      </c>
      <c r="G429" s="1" t="s">
        <v>1610</v>
      </c>
      <c r="H429" s="1" t="s">
        <v>1611</v>
      </c>
      <c r="I429" s="1"/>
      <c r="J429" s="1" t="s">
        <v>1730</v>
      </c>
      <c r="K429" s="1"/>
      <c r="L429" s="1"/>
      <c r="M429" s="1" t="s">
        <v>34</v>
      </c>
      <c r="N429" s="1" t="s">
        <v>880</v>
      </c>
      <c r="O429" s="1" t="s">
        <v>44</v>
      </c>
      <c r="P429" s="1" t="s">
        <v>43</v>
      </c>
      <c r="Q429" s="1" t="s">
        <v>44</v>
      </c>
      <c r="R429" s="2">
        <v>43950</v>
      </c>
      <c r="S429" s="1"/>
      <c r="W429" s="1" t="s">
        <v>38</v>
      </c>
      <c r="X429" s="2">
        <v>43957</v>
      </c>
      <c r="Y429" s="2">
        <v>43958</v>
      </c>
      <c r="Z429" s="2">
        <v>43957</v>
      </c>
      <c r="AA429" s="2">
        <v>43957</v>
      </c>
      <c r="AB429" s="2">
        <v>43950</v>
      </c>
      <c r="AC429" s="1"/>
      <c r="AD429">
        <v>7</v>
      </c>
      <c r="AE429">
        <v>274</v>
      </c>
      <c r="AG4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30" spans="1:33" x14ac:dyDescent="0.35">
      <c r="A430">
        <v>433</v>
      </c>
      <c r="B430" s="1"/>
      <c r="C430">
        <v>0</v>
      </c>
      <c r="D430" s="1"/>
      <c r="E430" s="1"/>
      <c r="F430" s="1" t="s">
        <v>30</v>
      </c>
      <c r="G430" s="1" t="s">
        <v>1612</v>
      </c>
      <c r="H430" s="1" t="s">
        <v>1613</v>
      </c>
      <c r="I430" s="1" t="s">
        <v>1614</v>
      </c>
      <c r="J430" s="1" t="s">
        <v>2456</v>
      </c>
      <c r="K430" s="1"/>
      <c r="L430" s="1"/>
      <c r="M430" s="1" t="s">
        <v>197</v>
      </c>
      <c r="N430" s="1" t="s">
        <v>43</v>
      </c>
      <c r="O430" s="1" t="s">
        <v>44</v>
      </c>
      <c r="P430" s="1" t="s">
        <v>37</v>
      </c>
      <c r="Q430" s="1"/>
      <c r="R430" s="2">
        <v>43951</v>
      </c>
      <c r="S430" s="1"/>
      <c r="W430" s="1" t="s">
        <v>38</v>
      </c>
      <c r="X430" s="2">
        <v>43953</v>
      </c>
      <c r="Y430" s="2">
        <v>43962</v>
      </c>
      <c r="Z430" s="2">
        <v>43959</v>
      </c>
      <c r="AA430" s="2">
        <v>43952</v>
      </c>
      <c r="AB430" s="2">
        <v>43951</v>
      </c>
      <c r="AC430" s="1"/>
      <c r="AD430">
        <v>8</v>
      </c>
      <c r="AE430">
        <v>273</v>
      </c>
      <c r="AG4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31" spans="1:33" x14ac:dyDescent="0.35">
      <c r="A431">
        <v>434</v>
      </c>
      <c r="B431" s="1"/>
      <c r="C431">
        <v>0</v>
      </c>
      <c r="D431" s="1"/>
      <c r="E431" s="1"/>
      <c r="F431" s="1" t="s">
        <v>30</v>
      </c>
      <c r="G431" s="1" t="s">
        <v>1615</v>
      </c>
      <c r="H431" s="1" t="s">
        <v>1616</v>
      </c>
      <c r="I431" s="1"/>
      <c r="J431" s="1" t="s">
        <v>1731</v>
      </c>
      <c r="K431" s="1"/>
      <c r="L431" s="1"/>
      <c r="M431" s="1" t="s">
        <v>34</v>
      </c>
      <c r="N431" s="1" t="s">
        <v>43</v>
      </c>
      <c r="O431" s="1" t="s">
        <v>44</v>
      </c>
      <c r="P431" s="1" t="s">
        <v>37</v>
      </c>
      <c r="Q431" s="1"/>
      <c r="R431" s="2">
        <v>43951</v>
      </c>
      <c r="S431" s="1"/>
      <c r="W431" s="1" t="s">
        <v>38</v>
      </c>
      <c r="X431" s="2">
        <v>43957</v>
      </c>
      <c r="Y431" s="2">
        <v>43962</v>
      </c>
      <c r="Z431" s="2">
        <v>43962</v>
      </c>
      <c r="AA431" s="2"/>
      <c r="AB431" s="2">
        <v>43951</v>
      </c>
      <c r="AC431" s="1"/>
      <c r="AD431">
        <v>11</v>
      </c>
      <c r="AE431">
        <v>273</v>
      </c>
      <c r="AG4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32" spans="1:33" x14ac:dyDescent="0.35">
      <c r="A432">
        <v>435</v>
      </c>
      <c r="B432" s="1"/>
      <c r="C432">
        <v>0</v>
      </c>
      <c r="D432" s="1"/>
      <c r="E432" s="1"/>
      <c r="F432" s="1" t="s">
        <v>30</v>
      </c>
      <c r="G432" s="1" t="s">
        <v>1617</v>
      </c>
      <c r="H432" s="1" t="s">
        <v>1618</v>
      </c>
      <c r="I432" s="1"/>
      <c r="J432" s="1" t="s">
        <v>1901</v>
      </c>
      <c r="K432" s="1"/>
      <c r="L432" s="1"/>
      <c r="M432" s="1" t="s">
        <v>34</v>
      </c>
      <c r="N432" s="1" t="s">
        <v>341</v>
      </c>
      <c r="O432" s="1" t="s">
        <v>62</v>
      </c>
      <c r="P432" s="1" t="s">
        <v>37</v>
      </c>
      <c r="Q432" s="1"/>
      <c r="R432" s="2">
        <v>43951</v>
      </c>
      <c r="S432" s="1"/>
      <c r="W432" s="1" t="s">
        <v>38</v>
      </c>
      <c r="X432" s="2">
        <v>43958</v>
      </c>
      <c r="Y432" s="2">
        <v>43992</v>
      </c>
      <c r="Z432" s="2">
        <v>43991</v>
      </c>
      <c r="AA432" s="2">
        <v>43951</v>
      </c>
      <c r="AB432" s="2">
        <v>43951</v>
      </c>
      <c r="AC432" s="1"/>
      <c r="AD432">
        <v>40</v>
      </c>
      <c r="AE432">
        <v>273</v>
      </c>
      <c r="AG4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40</v>
      </c>
    </row>
    <row r="433" spans="1:33" x14ac:dyDescent="0.35">
      <c r="A433">
        <v>436</v>
      </c>
      <c r="B433" s="1"/>
      <c r="C433">
        <v>0</v>
      </c>
      <c r="D433" s="1"/>
      <c r="E433" s="1"/>
      <c r="F433" s="1" t="s">
        <v>30</v>
      </c>
      <c r="G433" s="1" t="s">
        <v>1619</v>
      </c>
      <c r="H433" s="1" t="s">
        <v>1620</v>
      </c>
      <c r="I433" s="1"/>
      <c r="J433" s="1" t="s">
        <v>1732</v>
      </c>
      <c r="K433" s="1"/>
      <c r="L433" s="1"/>
      <c r="M433" s="1" t="s">
        <v>34</v>
      </c>
      <c r="N433" s="1" t="s">
        <v>853</v>
      </c>
      <c r="O433" s="1" t="s">
        <v>854</v>
      </c>
      <c r="P433" s="1" t="s">
        <v>37</v>
      </c>
      <c r="Q433" s="1"/>
      <c r="R433" s="2">
        <v>43951</v>
      </c>
      <c r="S433" s="1"/>
      <c r="W433" s="1" t="s">
        <v>38</v>
      </c>
      <c r="X433" s="2">
        <v>43958</v>
      </c>
      <c r="Y433" s="2">
        <v>43979</v>
      </c>
      <c r="Z433" s="2">
        <v>43977</v>
      </c>
      <c r="AA433" s="2">
        <v>43951</v>
      </c>
      <c r="AB433" s="2">
        <v>43951</v>
      </c>
      <c r="AC433" s="1"/>
      <c r="AD433">
        <v>26</v>
      </c>
      <c r="AE433">
        <v>273</v>
      </c>
      <c r="AG4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434" spans="1:33" x14ac:dyDescent="0.35">
      <c r="A434">
        <v>437</v>
      </c>
      <c r="B434" s="1"/>
      <c r="C434">
        <v>0</v>
      </c>
      <c r="D434" s="1"/>
      <c r="E434" s="1"/>
      <c r="F434" s="1" t="s">
        <v>30</v>
      </c>
      <c r="G434" s="1" t="s">
        <v>1621</v>
      </c>
      <c r="H434" s="1" t="s">
        <v>1622</v>
      </c>
      <c r="I434" s="1"/>
      <c r="J434" s="1" t="s">
        <v>1733</v>
      </c>
      <c r="K434" s="1"/>
      <c r="L434" s="1"/>
      <c r="M434" s="1" t="s">
        <v>34</v>
      </c>
      <c r="N434" s="1" t="s">
        <v>43</v>
      </c>
      <c r="O434" s="1" t="s">
        <v>44</v>
      </c>
      <c r="P434" s="1" t="s">
        <v>63</v>
      </c>
      <c r="Q434" s="1"/>
      <c r="R434" s="2">
        <v>43985</v>
      </c>
      <c r="S434" s="1"/>
      <c r="W434" s="1" t="s">
        <v>38</v>
      </c>
      <c r="X434" s="2">
        <v>43958</v>
      </c>
      <c r="Y434" s="2">
        <v>43986</v>
      </c>
      <c r="Z434" s="2">
        <v>43985</v>
      </c>
      <c r="AA434" s="2">
        <v>43952</v>
      </c>
      <c r="AB434" s="2">
        <v>43951</v>
      </c>
      <c r="AC434" s="1"/>
      <c r="AD434">
        <v>34</v>
      </c>
      <c r="AE434">
        <v>273</v>
      </c>
      <c r="AG4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435" spans="1:33" x14ac:dyDescent="0.35">
      <c r="A435">
        <v>438</v>
      </c>
      <c r="B435" s="1"/>
      <c r="C435">
        <v>0</v>
      </c>
      <c r="D435" s="1"/>
      <c r="E435" s="1"/>
      <c r="F435" s="1" t="s">
        <v>30</v>
      </c>
      <c r="G435" s="1" t="s">
        <v>1051</v>
      </c>
      <c r="H435" s="1" t="s">
        <v>1623</v>
      </c>
      <c r="I435" s="1"/>
      <c r="J435" s="1" t="s">
        <v>2184</v>
      </c>
      <c r="K435" s="1"/>
      <c r="L435" s="1"/>
      <c r="M435" s="1" t="s">
        <v>34</v>
      </c>
      <c r="N435" s="1" t="s">
        <v>853</v>
      </c>
      <c r="O435" s="1" t="s">
        <v>854</v>
      </c>
      <c r="P435" s="1" t="s">
        <v>245</v>
      </c>
      <c r="Q435" s="1" t="s">
        <v>147</v>
      </c>
      <c r="R435" s="2">
        <v>43951</v>
      </c>
      <c r="S435" s="1"/>
      <c r="W435" s="1" t="s">
        <v>38</v>
      </c>
      <c r="X435" s="2">
        <v>43958</v>
      </c>
      <c r="Y435" s="2">
        <v>43963</v>
      </c>
      <c r="Z435" s="2">
        <v>43963</v>
      </c>
      <c r="AA435" s="2">
        <v>43951</v>
      </c>
      <c r="AB435" s="2">
        <v>43951</v>
      </c>
      <c r="AC435" s="1"/>
      <c r="AD435">
        <v>12</v>
      </c>
      <c r="AE435">
        <v>273</v>
      </c>
      <c r="AG4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36" spans="1:33" x14ac:dyDescent="0.35">
      <c r="A436">
        <v>439</v>
      </c>
      <c r="B436" s="1"/>
      <c r="C436">
        <v>0</v>
      </c>
      <c r="D436" s="1"/>
      <c r="E436" s="1"/>
      <c r="F436" s="1" t="s">
        <v>30</v>
      </c>
      <c r="G436" s="1" t="s">
        <v>1624</v>
      </c>
      <c r="H436" s="1" t="s">
        <v>1625</v>
      </c>
      <c r="I436" s="1"/>
      <c r="J436" s="1" t="s">
        <v>2185</v>
      </c>
      <c r="K436" s="1"/>
      <c r="L436" s="1"/>
      <c r="M436" s="1" t="s">
        <v>34</v>
      </c>
      <c r="N436" s="1" t="s">
        <v>853</v>
      </c>
      <c r="O436" s="1" t="s">
        <v>854</v>
      </c>
      <c r="P436" s="1" t="s">
        <v>37</v>
      </c>
      <c r="Q436" s="1"/>
      <c r="R436" s="2">
        <v>43951</v>
      </c>
      <c r="S436" s="1"/>
      <c r="W436" s="1" t="s">
        <v>38</v>
      </c>
      <c r="X436" s="2">
        <v>43958</v>
      </c>
      <c r="Y436" s="2">
        <v>44056</v>
      </c>
      <c r="Z436" s="2">
        <v>44039</v>
      </c>
      <c r="AA436" s="2">
        <v>43951</v>
      </c>
      <c r="AB436" s="2">
        <v>43951</v>
      </c>
      <c r="AC436" s="1"/>
      <c r="AD436">
        <v>88</v>
      </c>
      <c r="AE436">
        <v>273</v>
      </c>
      <c r="AG4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88</v>
      </c>
    </row>
    <row r="437" spans="1:33" x14ac:dyDescent="0.35">
      <c r="A437">
        <v>440</v>
      </c>
      <c r="B437" s="1"/>
      <c r="C437">
        <v>0</v>
      </c>
      <c r="D437" s="1"/>
      <c r="E437" s="1"/>
      <c r="F437" s="1" t="s">
        <v>30</v>
      </c>
      <c r="G437" s="1" t="s">
        <v>1626</v>
      </c>
      <c r="H437" s="1" t="s">
        <v>1627</v>
      </c>
      <c r="I437" s="1" t="s">
        <v>1628</v>
      </c>
      <c r="J437" s="1" t="s">
        <v>1902</v>
      </c>
      <c r="K437" s="1"/>
      <c r="L437" s="1"/>
      <c r="M437" s="1" t="s">
        <v>197</v>
      </c>
      <c r="N437" s="1" t="s">
        <v>43</v>
      </c>
      <c r="O437" s="1" t="s">
        <v>44</v>
      </c>
      <c r="P437" s="1" t="s">
        <v>37</v>
      </c>
      <c r="Q437" s="1"/>
      <c r="R437" s="2">
        <v>43991</v>
      </c>
      <c r="S437" s="1"/>
      <c r="W437" s="1" t="s">
        <v>38</v>
      </c>
      <c r="X437" s="2">
        <v>43954</v>
      </c>
      <c r="Y437" s="2">
        <v>44006</v>
      </c>
      <c r="Z437" s="2">
        <v>43997</v>
      </c>
      <c r="AA437" s="2">
        <v>43991</v>
      </c>
      <c r="AB437" s="2">
        <v>43951</v>
      </c>
      <c r="AC437" s="1"/>
      <c r="AD437">
        <v>46</v>
      </c>
      <c r="AE437">
        <v>273</v>
      </c>
      <c r="AG4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46</v>
      </c>
    </row>
    <row r="438" spans="1:33" x14ac:dyDescent="0.35">
      <c r="A438">
        <v>441</v>
      </c>
      <c r="B438" s="1"/>
      <c r="C438">
        <v>0</v>
      </c>
      <c r="D438" s="1"/>
      <c r="E438" s="1"/>
      <c r="F438" s="1" t="s">
        <v>30</v>
      </c>
      <c r="G438" s="1" t="s">
        <v>1629</v>
      </c>
      <c r="H438" s="1" t="s">
        <v>1630</v>
      </c>
      <c r="I438" s="1"/>
      <c r="J438" s="1" t="s">
        <v>1631</v>
      </c>
      <c r="K438" s="1"/>
      <c r="L438" s="1"/>
      <c r="M438" s="1" t="s">
        <v>34</v>
      </c>
      <c r="N438" s="1" t="s">
        <v>880</v>
      </c>
      <c r="O438" s="1" t="s">
        <v>44</v>
      </c>
      <c r="P438" s="1" t="s">
        <v>37</v>
      </c>
      <c r="Q438" s="1"/>
      <c r="R438" s="2">
        <v>43951</v>
      </c>
      <c r="S438" s="1"/>
      <c r="W438" s="1" t="s">
        <v>38</v>
      </c>
      <c r="X438" s="2">
        <v>43958</v>
      </c>
      <c r="Y438" s="2">
        <v>43958</v>
      </c>
      <c r="Z438" s="2"/>
      <c r="AA438" s="2">
        <v>43952</v>
      </c>
      <c r="AB438" s="2">
        <v>43951</v>
      </c>
      <c r="AC438" s="1"/>
      <c r="AE438">
        <v>273</v>
      </c>
      <c r="AG4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39" spans="1:33" x14ac:dyDescent="0.35">
      <c r="A439">
        <v>442</v>
      </c>
      <c r="B439" s="1"/>
      <c r="C439">
        <v>0</v>
      </c>
      <c r="D439" s="1"/>
      <c r="E439" s="1"/>
      <c r="F439" s="1" t="s">
        <v>30</v>
      </c>
      <c r="G439" s="1" t="s">
        <v>1632</v>
      </c>
      <c r="H439" s="1" t="s">
        <v>1633</v>
      </c>
      <c r="I439" s="1"/>
      <c r="J439" s="1" t="s">
        <v>1657</v>
      </c>
      <c r="K439" s="1"/>
      <c r="L439" s="1"/>
      <c r="M439" s="1" t="s">
        <v>34</v>
      </c>
      <c r="N439" s="1" t="s">
        <v>192</v>
      </c>
      <c r="O439" s="1" t="s">
        <v>193</v>
      </c>
      <c r="P439" s="1" t="s">
        <v>37</v>
      </c>
      <c r="Q439" s="1"/>
      <c r="R439" s="2">
        <v>43951</v>
      </c>
      <c r="S439" s="1"/>
      <c r="W439" s="1" t="s">
        <v>38</v>
      </c>
      <c r="X439" s="2">
        <v>43958</v>
      </c>
      <c r="Y439" s="2">
        <v>43958</v>
      </c>
      <c r="Z439" s="2">
        <v>43957</v>
      </c>
      <c r="AA439" s="2">
        <v>43952</v>
      </c>
      <c r="AB439" s="2">
        <v>43951</v>
      </c>
      <c r="AC439" s="1"/>
      <c r="AD439">
        <v>6</v>
      </c>
      <c r="AE439">
        <v>273</v>
      </c>
      <c r="AG4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0" spans="1:33" x14ac:dyDescent="0.35">
      <c r="A440">
        <v>443</v>
      </c>
      <c r="B440" s="1"/>
      <c r="C440">
        <v>0</v>
      </c>
      <c r="D440" s="1"/>
      <c r="E440" s="1"/>
      <c r="F440" s="1" t="s">
        <v>30</v>
      </c>
      <c r="G440" s="1" t="s">
        <v>1634</v>
      </c>
      <c r="H440" s="1" t="s">
        <v>1635</v>
      </c>
      <c r="I440" s="1"/>
      <c r="J440" s="1" t="s">
        <v>1658</v>
      </c>
      <c r="K440" s="1"/>
      <c r="L440" s="1"/>
      <c r="M440" s="1" t="s">
        <v>34</v>
      </c>
      <c r="N440" s="1" t="s">
        <v>192</v>
      </c>
      <c r="O440" s="1" t="s">
        <v>193</v>
      </c>
      <c r="P440" s="1" t="s">
        <v>37</v>
      </c>
      <c r="Q440" s="1"/>
      <c r="R440" s="2">
        <v>43951</v>
      </c>
      <c r="S440" s="1"/>
      <c r="W440" s="1" t="s">
        <v>38</v>
      </c>
      <c r="X440" s="2">
        <v>43958</v>
      </c>
      <c r="Y440" s="2">
        <v>43956</v>
      </c>
      <c r="Z440" s="2">
        <v>43956</v>
      </c>
      <c r="AA440" s="2">
        <v>43952</v>
      </c>
      <c r="AB440" s="2">
        <v>43951</v>
      </c>
      <c r="AC440" s="1"/>
      <c r="AD440">
        <v>5</v>
      </c>
      <c r="AE440">
        <v>273</v>
      </c>
      <c r="AG4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1" spans="1:33" x14ac:dyDescent="0.35">
      <c r="A441">
        <v>444</v>
      </c>
      <c r="B441" s="1"/>
      <c r="C441">
        <v>0</v>
      </c>
      <c r="D441" s="1"/>
      <c r="E441" s="1"/>
      <c r="F441" s="1" t="s">
        <v>30</v>
      </c>
      <c r="G441" s="1" t="s">
        <v>1636</v>
      </c>
      <c r="H441" s="1" t="s">
        <v>1637</v>
      </c>
      <c r="I441" s="1"/>
      <c r="J441" s="1" t="s">
        <v>1659</v>
      </c>
      <c r="K441" s="1"/>
      <c r="L441" s="1"/>
      <c r="M441" s="1" t="s">
        <v>34</v>
      </c>
      <c r="N441" s="1" t="s">
        <v>192</v>
      </c>
      <c r="O441" s="1" t="s">
        <v>193</v>
      </c>
      <c r="P441" s="1" t="s">
        <v>37</v>
      </c>
      <c r="Q441" s="1"/>
      <c r="R441" s="2">
        <v>43951</v>
      </c>
      <c r="S441" s="1"/>
      <c r="W441" s="1" t="s">
        <v>38</v>
      </c>
      <c r="X441" s="2">
        <v>43958</v>
      </c>
      <c r="Y441" s="2">
        <v>43956</v>
      </c>
      <c r="Z441" s="2">
        <v>43956</v>
      </c>
      <c r="AA441" s="2">
        <v>43956</v>
      </c>
      <c r="AB441" s="2">
        <v>43951</v>
      </c>
      <c r="AC441" s="1"/>
      <c r="AD441">
        <v>5</v>
      </c>
      <c r="AE441">
        <v>273</v>
      </c>
      <c r="AG4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2" spans="1:33" x14ac:dyDescent="0.35">
      <c r="A442">
        <v>445</v>
      </c>
      <c r="B442" s="1"/>
      <c r="C442">
        <v>0</v>
      </c>
      <c r="D442" s="1"/>
      <c r="E442" s="1"/>
      <c r="F442" s="1" t="s">
        <v>30</v>
      </c>
      <c r="G442" s="1" t="s">
        <v>1638</v>
      </c>
      <c r="H442" s="1" t="s">
        <v>1639</v>
      </c>
      <c r="I442" s="1"/>
      <c r="J442" s="1" t="s">
        <v>1734</v>
      </c>
      <c r="K442" s="1"/>
      <c r="L442" s="1"/>
      <c r="M442" s="1" t="s">
        <v>197</v>
      </c>
      <c r="N442" s="1" t="s">
        <v>43</v>
      </c>
      <c r="O442" s="1" t="s">
        <v>44</v>
      </c>
      <c r="P442" s="1" t="s">
        <v>37</v>
      </c>
      <c r="Q442" s="1"/>
      <c r="R442" s="2">
        <v>43952</v>
      </c>
      <c r="S442" s="1"/>
      <c r="W442" s="1" t="s">
        <v>38</v>
      </c>
      <c r="X442" s="2">
        <v>43955</v>
      </c>
      <c r="Y442" s="2">
        <v>43958</v>
      </c>
      <c r="Z442" s="2">
        <v>43957</v>
      </c>
      <c r="AA442" s="2">
        <v>43952</v>
      </c>
      <c r="AB442" s="2">
        <v>43952</v>
      </c>
      <c r="AC442" s="1"/>
      <c r="AD442">
        <v>5</v>
      </c>
      <c r="AE442">
        <v>272</v>
      </c>
      <c r="AG4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3" spans="1:33" x14ac:dyDescent="0.35">
      <c r="A443">
        <v>446</v>
      </c>
      <c r="B443" s="1"/>
      <c r="C443">
        <v>0</v>
      </c>
      <c r="D443" s="1"/>
      <c r="E443" s="1"/>
      <c r="F443" s="1" t="s">
        <v>30</v>
      </c>
      <c r="G443" s="1" t="s">
        <v>1640</v>
      </c>
      <c r="H443" s="1" t="s">
        <v>1641</v>
      </c>
      <c r="I443" s="1"/>
      <c r="J443" s="1" t="s">
        <v>1735</v>
      </c>
      <c r="K443" s="1"/>
      <c r="L443" s="1"/>
      <c r="M443" s="1" t="s">
        <v>197</v>
      </c>
      <c r="N443" s="1" t="s">
        <v>43</v>
      </c>
      <c r="O443" s="1" t="s">
        <v>44</v>
      </c>
      <c r="P443" s="1" t="s">
        <v>37</v>
      </c>
      <c r="Q443" s="1"/>
      <c r="R443" s="2">
        <v>43952</v>
      </c>
      <c r="S443" s="1"/>
      <c r="W443" s="1" t="s">
        <v>38</v>
      </c>
      <c r="X443" s="2">
        <v>43955</v>
      </c>
      <c r="Y443" s="2">
        <v>43958</v>
      </c>
      <c r="Z443" s="2">
        <v>43957</v>
      </c>
      <c r="AA443" s="2">
        <v>43952</v>
      </c>
      <c r="AB443" s="2">
        <v>43952</v>
      </c>
      <c r="AC443" s="1"/>
      <c r="AD443">
        <v>5</v>
      </c>
      <c r="AE443">
        <v>272</v>
      </c>
      <c r="AG4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4" spans="1:33" x14ac:dyDescent="0.35">
      <c r="A444">
        <v>447</v>
      </c>
      <c r="B444" s="1"/>
      <c r="C444">
        <v>0</v>
      </c>
      <c r="D444" s="1"/>
      <c r="E444" s="1"/>
      <c r="F444" s="1" t="s">
        <v>30</v>
      </c>
      <c r="G444" s="1" t="s">
        <v>1903</v>
      </c>
      <c r="H444" s="1" t="s">
        <v>1642</v>
      </c>
      <c r="I444" s="1"/>
      <c r="J444" s="1" t="s">
        <v>1736</v>
      </c>
      <c r="K444" s="1"/>
      <c r="L444" s="1"/>
      <c r="M444" s="1" t="s">
        <v>34</v>
      </c>
      <c r="N444" s="1" t="s">
        <v>1423</v>
      </c>
      <c r="O444" s="1" t="s">
        <v>1424</v>
      </c>
      <c r="P444" s="1" t="s">
        <v>37</v>
      </c>
      <c r="Q444" s="1"/>
      <c r="R444" s="2">
        <v>43952</v>
      </c>
      <c r="S444" s="1"/>
      <c r="W444" s="1" t="s">
        <v>38</v>
      </c>
      <c r="X444" s="2">
        <v>43959</v>
      </c>
      <c r="Y444" s="2">
        <v>43962</v>
      </c>
      <c r="Z444" s="2">
        <v>43959</v>
      </c>
      <c r="AA444" s="2"/>
      <c r="AB444" s="2">
        <v>43952</v>
      </c>
      <c r="AC444" s="1"/>
      <c r="AD444">
        <v>7</v>
      </c>
      <c r="AE444">
        <v>272</v>
      </c>
      <c r="AG4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45" spans="1:33" x14ac:dyDescent="0.35">
      <c r="A445">
        <v>448</v>
      </c>
      <c r="B445" s="1"/>
      <c r="C445">
        <v>0</v>
      </c>
      <c r="D445" s="1"/>
      <c r="E445" s="1"/>
      <c r="F445" s="1" t="s">
        <v>30</v>
      </c>
      <c r="G445" s="1" t="s">
        <v>1643</v>
      </c>
      <c r="H445" s="1" t="s">
        <v>1644</v>
      </c>
      <c r="I445" s="1"/>
      <c r="J445" s="1" t="s">
        <v>1737</v>
      </c>
      <c r="K445" s="1"/>
      <c r="L445" s="1"/>
      <c r="M445" s="1" t="s">
        <v>197</v>
      </c>
      <c r="N445" s="1" t="s">
        <v>43</v>
      </c>
      <c r="O445" s="1" t="s">
        <v>44</v>
      </c>
      <c r="P445" s="1" t="s">
        <v>37</v>
      </c>
      <c r="Q445" s="1"/>
      <c r="R445" s="2">
        <v>43952</v>
      </c>
      <c r="S445" s="1"/>
      <c r="W445" s="1" t="s">
        <v>38</v>
      </c>
      <c r="X445" s="2">
        <v>43955</v>
      </c>
      <c r="Y445" s="2">
        <v>43962</v>
      </c>
      <c r="Z445" s="2">
        <v>43959</v>
      </c>
      <c r="AA445" s="2">
        <v>43955</v>
      </c>
      <c r="AB445" s="2">
        <v>43952</v>
      </c>
      <c r="AC445" s="1"/>
      <c r="AD445">
        <v>7</v>
      </c>
      <c r="AE445">
        <v>272</v>
      </c>
      <c r="AG4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46" spans="1:33" x14ac:dyDescent="0.35">
      <c r="A446">
        <v>449</v>
      </c>
      <c r="B446" s="1"/>
      <c r="C446">
        <v>0</v>
      </c>
      <c r="D446" s="1"/>
      <c r="E446" s="1"/>
      <c r="F446" s="1" t="s">
        <v>30</v>
      </c>
      <c r="G446" s="1" t="s">
        <v>1645</v>
      </c>
      <c r="H446" s="1" t="s">
        <v>1646</v>
      </c>
      <c r="I446" s="1"/>
      <c r="J446" s="1" t="s">
        <v>1738</v>
      </c>
      <c r="K446" s="1"/>
      <c r="L446" s="1"/>
      <c r="M446" s="1" t="s">
        <v>34</v>
      </c>
      <c r="N446" s="1" t="s">
        <v>43</v>
      </c>
      <c r="O446" s="1" t="s">
        <v>44</v>
      </c>
      <c r="P446" s="1" t="s">
        <v>37</v>
      </c>
      <c r="Q446" s="1"/>
      <c r="R446" s="2">
        <v>43952</v>
      </c>
      <c r="S446" s="1"/>
      <c r="W446" s="1" t="s">
        <v>38</v>
      </c>
      <c r="X446" s="2">
        <v>43959</v>
      </c>
      <c r="Y446" s="2">
        <v>43958</v>
      </c>
      <c r="Z446" s="2">
        <v>43958</v>
      </c>
      <c r="AA446" s="2">
        <v>43952</v>
      </c>
      <c r="AB446" s="2">
        <v>43952</v>
      </c>
      <c r="AC446" s="1"/>
      <c r="AD446">
        <v>6</v>
      </c>
      <c r="AE446">
        <v>272</v>
      </c>
      <c r="AG4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7" spans="1:33" x14ac:dyDescent="0.35">
      <c r="A447">
        <v>450</v>
      </c>
      <c r="B447" s="1"/>
      <c r="C447">
        <v>0</v>
      </c>
      <c r="D447" s="1"/>
      <c r="E447" s="1"/>
      <c r="F447" s="1" t="s">
        <v>30</v>
      </c>
      <c r="G447" s="1" t="s">
        <v>1660</v>
      </c>
      <c r="H447" s="1" t="s">
        <v>1661</v>
      </c>
      <c r="I447" s="1"/>
      <c r="J447" s="1" t="s">
        <v>2457</v>
      </c>
      <c r="K447" s="1"/>
      <c r="L447" s="1"/>
      <c r="M447" s="1" t="s">
        <v>34</v>
      </c>
      <c r="N447" s="1" t="s">
        <v>483</v>
      </c>
      <c r="O447" s="1" t="s">
        <v>484</v>
      </c>
      <c r="P447" s="1" t="s">
        <v>37</v>
      </c>
      <c r="Q447" s="1"/>
      <c r="R447" s="2">
        <v>43953</v>
      </c>
      <c r="S447" s="1"/>
      <c r="W447" s="1" t="s">
        <v>38</v>
      </c>
      <c r="X447" s="2">
        <v>43960</v>
      </c>
      <c r="Y447" s="2">
        <v>44145</v>
      </c>
      <c r="Z447" s="2">
        <v>44137</v>
      </c>
      <c r="AA447" s="2"/>
      <c r="AB447" s="2">
        <v>43953</v>
      </c>
      <c r="AC447" s="1"/>
      <c r="AD447">
        <v>184</v>
      </c>
      <c r="AE447">
        <v>271</v>
      </c>
      <c r="AG4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184</v>
      </c>
    </row>
    <row r="448" spans="1:33" x14ac:dyDescent="0.35">
      <c r="A448">
        <v>451</v>
      </c>
      <c r="B448" s="1"/>
      <c r="C448">
        <v>0</v>
      </c>
      <c r="D448" s="1" t="s">
        <v>206</v>
      </c>
      <c r="E448" s="1" t="s">
        <v>1662</v>
      </c>
      <c r="F448" s="1" t="s">
        <v>30</v>
      </c>
      <c r="G448" s="1" t="s">
        <v>1663</v>
      </c>
      <c r="H448" s="1" t="s">
        <v>1664</v>
      </c>
      <c r="I448" s="1" t="s">
        <v>1665</v>
      </c>
      <c r="J448" s="1" t="s">
        <v>1739</v>
      </c>
      <c r="K448" s="1"/>
      <c r="L448" s="1"/>
      <c r="M448" s="1" t="s">
        <v>34</v>
      </c>
      <c r="N448" s="1" t="s">
        <v>97</v>
      </c>
      <c r="O448" s="1" t="s">
        <v>98</v>
      </c>
      <c r="P448" s="1" t="s">
        <v>99</v>
      </c>
      <c r="Q448" s="1"/>
      <c r="R448" s="2">
        <v>43955</v>
      </c>
      <c r="S448" s="1"/>
      <c r="W448" s="1" t="s">
        <v>38</v>
      </c>
      <c r="X448" s="2">
        <v>43962</v>
      </c>
      <c r="Y448" s="2">
        <v>43973</v>
      </c>
      <c r="Z448" s="2">
        <v>43972</v>
      </c>
      <c r="AA448" s="2">
        <v>43956</v>
      </c>
      <c r="AB448" s="2">
        <v>43955</v>
      </c>
      <c r="AC448" s="1"/>
      <c r="AD448">
        <v>17</v>
      </c>
      <c r="AE448">
        <v>269</v>
      </c>
      <c r="AG4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49" spans="1:33" x14ac:dyDescent="0.35">
      <c r="A449">
        <v>452</v>
      </c>
      <c r="B449" s="1"/>
      <c r="C449">
        <v>0</v>
      </c>
      <c r="D449" s="1"/>
      <c r="E449" s="1"/>
      <c r="F449" s="1" t="s">
        <v>30</v>
      </c>
      <c r="G449" s="1" t="s">
        <v>1666</v>
      </c>
      <c r="H449" s="1" t="s">
        <v>1667</v>
      </c>
      <c r="I449" s="1"/>
      <c r="J449" s="1" t="s">
        <v>1668</v>
      </c>
      <c r="K449" s="1"/>
      <c r="L449" s="1"/>
      <c r="M449" s="1" t="s">
        <v>197</v>
      </c>
      <c r="N449" s="1" t="s">
        <v>129</v>
      </c>
      <c r="O449" s="1" t="s">
        <v>44</v>
      </c>
      <c r="P449" s="1" t="s">
        <v>37</v>
      </c>
      <c r="Q449" s="1"/>
      <c r="R449" s="2">
        <v>43955</v>
      </c>
      <c r="S449" s="1"/>
      <c r="W449" s="1" t="s">
        <v>38</v>
      </c>
      <c r="X449" s="2">
        <v>43959</v>
      </c>
      <c r="Y449" s="2">
        <v>43956</v>
      </c>
      <c r="Z449" s="2">
        <v>43955</v>
      </c>
      <c r="AA449" s="2"/>
      <c r="AB449" s="2">
        <v>43955</v>
      </c>
      <c r="AC449" s="1"/>
      <c r="AD449">
        <v>0</v>
      </c>
      <c r="AE449">
        <v>269</v>
      </c>
      <c r="AG4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50" spans="1:33" x14ac:dyDescent="0.35">
      <c r="A450">
        <v>453</v>
      </c>
      <c r="B450" s="1"/>
      <c r="C450">
        <v>0</v>
      </c>
      <c r="D450" s="1"/>
      <c r="E450" s="1"/>
      <c r="F450" s="1" t="s">
        <v>30</v>
      </c>
      <c r="G450" s="1" t="s">
        <v>1669</v>
      </c>
      <c r="H450" s="1" t="s">
        <v>1670</v>
      </c>
      <c r="I450" s="1" t="s">
        <v>1671</v>
      </c>
      <c r="J450" s="1" t="s">
        <v>1740</v>
      </c>
      <c r="K450" s="1"/>
      <c r="L450" s="1"/>
      <c r="M450" s="1" t="s">
        <v>117</v>
      </c>
      <c r="N450" s="1" t="s">
        <v>129</v>
      </c>
      <c r="O450" s="1" t="s">
        <v>44</v>
      </c>
      <c r="P450" s="1" t="s">
        <v>37</v>
      </c>
      <c r="Q450" s="1"/>
      <c r="R450" s="2">
        <v>43955</v>
      </c>
      <c r="S450" s="1"/>
      <c r="U450">
        <v>4860</v>
      </c>
      <c r="W450" s="1" t="s">
        <v>38</v>
      </c>
      <c r="X450" s="2">
        <v>43965</v>
      </c>
      <c r="Y450" s="2">
        <v>43972</v>
      </c>
      <c r="Z450" s="2">
        <v>43970</v>
      </c>
      <c r="AA450" s="2"/>
      <c r="AB450" s="2">
        <v>43955</v>
      </c>
      <c r="AC450" s="1"/>
      <c r="AD450">
        <v>15</v>
      </c>
      <c r="AE450">
        <v>269</v>
      </c>
      <c r="AG4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451" spans="1:33" x14ac:dyDescent="0.35">
      <c r="A451">
        <v>454</v>
      </c>
      <c r="B451" s="1"/>
      <c r="C451">
        <v>0</v>
      </c>
      <c r="D451" s="1"/>
      <c r="E451" s="1"/>
      <c r="F451" s="1" t="s">
        <v>30</v>
      </c>
      <c r="G451" s="1" t="s">
        <v>1672</v>
      </c>
      <c r="H451" s="1" t="s">
        <v>1673</v>
      </c>
      <c r="I451" s="1"/>
      <c r="J451" s="1" t="s">
        <v>1904</v>
      </c>
      <c r="K451" s="1"/>
      <c r="L451" s="1"/>
      <c r="M451" s="1" t="s">
        <v>197</v>
      </c>
      <c r="N451" s="1" t="s">
        <v>43</v>
      </c>
      <c r="O451" s="1" t="s">
        <v>44</v>
      </c>
      <c r="P451" s="1" t="s">
        <v>37</v>
      </c>
      <c r="Q451" s="1"/>
      <c r="R451" s="2">
        <v>43998</v>
      </c>
      <c r="S451" s="1"/>
      <c r="W451" s="1" t="s">
        <v>38</v>
      </c>
      <c r="X451" s="2">
        <v>43967</v>
      </c>
      <c r="Y451" s="2">
        <v>44006</v>
      </c>
      <c r="Z451" s="2">
        <v>43999</v>
      </c>
      <c r="AA451" s="2"/>
      <c r="AB451" s="2">
        <v>43955</v>
      </c>
      <c r="AC451" s="1"/>
      <c r="AD451">
        <v>44</v>
      </c>
      <c r="AE451">
        <v>269</v>
      </c>
      <c r="AG4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44</v>
      </c>
    </row>
    <row r="452" spans="1:33" x14ac:dyDescent="0.35">
      <c r="A452">
        <v>455</v>
      </c>
      <c r="B452" s="1"/>
      <c r="C452">
        <v>0</v>
      </c>
      <c r="D452" s="1"/>
      <c r="E452" s="1"/>
      <c r="F452" s="1" t="s">
        <v>30</v>
      </c>
      <c r="G452" s="1" t="s">
        <v>1674</v>
      </c>
      <c r="H452" s="1" t="s">
        <v>1675</v>
      </c>
      <c r="I452" s="1"/>
      <c r="J452" s="1" t="s">
        <v>2362</v>
      </c>
      <c r="K452" s="1"/>
      <c r="L452" s="1"/>
      <c r="M452" s="1" t="s">
        <v>34</v>
      </c>
      <c r="N452" s="1" t="s">
        <v>43</v>
      </c>
      <c r="O452" s="1" t="s">
        <v>44</v>
      </c>
      <c r="P452" s="1" t="s">
        <v>99</v>
      </c>
      <c r="Q452" s="1"/>
      <c r="R452" s="2">
        <v>44041</v>
      </c>
      <c r="S452" s="1"/>
      <c r="W452" s="1" t="s">
        <v>38</v>
      </c>
      <c r="X452" s="2">
        <v>43962</v>
      </c>
      <c r="Y452" s="2">
        <v>44112</v>
      </c>
      <c r="Z452" s="2">
        <v>44055</v>
      </c>
      <c r="AA452" s="2">
        <v>44020</v>
      </c>
      <c r="AB452" s="2">
        <v>43955</v>
      </c>
      <c r="AC452" s="1"/>
      <c r="AD452">
        <v>100</v>
      </c>
      <c r="AE452">
        <v>269</v>
      </c>
      <c r="AG4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100</v>
      </c>
    </row>
    <row r="453" spans="1:33" x14ac:dyDescent="0.35">
      <c r="A453">
        <v>456</v>
      </c>
      <c r="B453" s="1"/>
      <c r="C453">
        <v>0</v>
      </c>
      <c r="D453" s="1"/>
      <c r="E453" s="1"/>
      <c r="F453" s="1" t="s">
        <v>30</v>
      </c>
      <c r="G453" s="1" t="s">
        <v>1676</v>
      </c>
      <c r="H453" s="1" t="s">
        <v>1677</v>
      </c>
      <c r="I453" s="1"/>
      <c r="J453" s="1" t="s">
        <v>1678</v>
      </c>
      <c r="K453" s="1"/>
      <c r="L453" s="1"/>
      <c r="M453" s="1" t="s">
        <v>34</v>
      </c>
      <c r="N453" s="1" t="s">
        <v>1423</v>
      </c>
      <c r="O453" s="1" t="s">
        <v>1424</v>
      </c>
      <c r="P453" s="1" t="s">
        <v>37</v>
      </c>
      <c r="Q453" s="1"/>
      <c r="R453" s="2">
        <v>43955</v>
      </c>
      <c r="S453" s="1"/>
      <c r="W453" s="1" t="s">
        <v>38</v>
      </c>
      <c r="X453" s="2">
        <v>43962</v>
      </c>
      <c r="Y453" s="2">
        <v>43958</v>
      </c>
      <c r="Z453" s="2">
        <v>43957</v>
      </c>
      <c r="AA453" s="2">
        <v>43956</v>
      </c>
      <c r="AB453" s="2">
        <v>43955</v>
      </c>
      <c r="AC453" s="1"/>
      <c r="AD453">
        <v>2</v>
      </c>
      <c r="AE453">
        <v>269</v>
      </c>
      <c r="AG4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4" spans="1:33" x14ac:dyDescent="0.35">
      <c r="A454">
        <v>457</v>
      </c>
      <c r="B454" s="1"/>
      <c r="C454">
        <v>0</v>
      </c>
      <c r="D454" s="1"/>
      <c r="E454" s="1"/>
      <c r="F454" s="1" t="s">
        <v>30</v>
      </c>
      <c r="G454" s="1" t="s">
        <v>1679</v>
      </c>
      <c r="H454" s="1" t="s">
        <v>1680</v>
      </c>
      <c r="I454" s="1"/>
      <c r="J454" s="1" t="s">
        <v>1741</v>
      </c>
      <c r="K454" s="1"/>
      <c r="L454" s="1"/>
      <c r="M454" s="1" t="s">
        <v>34</v>
      </c>
      <c r="N454" s="1" t="s">
        <v>880</v>
      </c>
      <c r="O454" s="1" t="s">
        <v>44</v>
      </c>
      <c r="P454" s="1" t="s">
        <v>129</v>
      </c>
      <c r="Q454" s="1" t="s">
        <v>44</v>
      </c>
      <c r="R454" s="2">
        <v>43955</v>
      </c>
      <c r="S454" s="1"/>
      <c r="W454" s="1" t="s">
        <v>38</v>
      </c>
      <c r="X454" s="2">
        <v>43962</v>
      </c>
      <c r="Y454" s="2">
        <v>43971</v>
      </c>
      <c r="Z454" s="2">
        <v>43966</v>
      </c>
      <c r="AA454" s="2">
        <v>43971</v>
      </c>
      <c r="AB454" s="2">
        <v>43955</v>
      </c>
      <c r="AC454" s="1"/>
      <c r="AD454">
        <v>11</v>
      </c>
      <c r="AE454">
        <v>269</v>
      </c>
      <c r="AG4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55" spans="1:33" x14ac:dyDescent="0.35">
      <c r="A455">
        <v>458</v>
      </c>
      <c r="B455" s="1"/>
      <c r="C455">
        <v>0</v>
      </c>
      <c r="D455" s="1"/>
      <c r="E455" s="1"/>
      <c r="F455" s="1" t="s">
        <v>30</v>
      </c>
      <c r="G455" s="1" t="s">
        <v>1681</v>
      </c>
      <c r="H455" s="1" t="s">
        <v>1682</v>
      </c>
      <c r="I455" s="1"/>
      <c r="J455" s="1" t="s">
        <v>1742</v>
      </c>
      <c r="K455" s="1"/>
      <c r="L455" s="1"/>
      <c r="M455" s="1" t="s">
        <v>34</v>
      </c>
      <c r="N455" s="1" t="s">
        <v>43</v>
      </c>
      <c r="O455" s="1" t="s">
        <v>44</v>
      </c>
      <c r="P455" s="1" t="s">
        <v>37</v>
      </c>
      <c r="Q455" s="1"/>
      <c r="R455" s="2">
        <v>43955</v>
      </c>
      <c r="S455" s="1"/>
      <c r="W455" s="1" t="s">
        <v>38</v>
      </c>
      <c r="X455" s="2">
        <v>43962</v>
      </c>
      <c r="Y455" s="2">
        <v>43958</v>
      </c>
      <c r="Z455" s="2">
        <v>43957</v>
      </c>
      <c r="AA455" s="2"/>
      <c r="AB455" s="2">
        <v>43955</v>
      </c>
      <c r="AC455" s="1"/>
      <c r="AD455">
        <v>2</v>
      </c>
      <c r="AE455">
        <v>269</v>
      </c>
      <c r="AG4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6" spans="1:33" x14ac:dyDescent="0.35">
      <c r="A456">
        <v>459</v>
      </c>
      <c r="B456" s="1"/>
      <c r="C456">
        <v>0</v>
      </c>
      <c r="D456" s="1"/>
      <c r="E456" s="1"/>
      <c r="F456" s="1" t="s">
        <v>30</v>
      </c>
      <c r="G456" s="1" t="s">
        <v>1683</v>
      </c>
      <c r="H456" s="1" t="s">
        <v>1684</v>
      </c>
      <c r="I456" s="1"/>
      <c r="J456" s="1" t="s">
        <v>1743</v>
      </c>
      <c r="K456" s="1"/>
      <c r="L456" s="1"/>
      <c r="M456" s="1" t="s">
        <v>34</v>
      </c>
      <c r="N456" s="1" t="s">
        <v>43</v>
      </c>
      <c r="O456" s="1" t="s">
        <v>44</v>
      </c>
      <c r="P456" s="1" t="s">
        <v>37</v>
      </c>
      <c r="Q456" s="1"/>
      <c r="R456" s="2">
        <v>43956</v>
      </c>
      <c r="S456" s="1"/>
      <c r="W456" s="1" t="s">
        <v>38</v>
      </c>
      <c r="X456" s="2">
        <v>43962</v>
      </c>
      <c r="Y456" s="2">
        <v>43971</v>
      </c>
      <c r="Z456" s="2">
        <v>43966</v>
      </c>
      <c r="AA456" s="2"/>
      <c r="AB456" s="2">
        <v>43956</v>
      </c>
      <c r="AC456" s="1"/>
      <c r="AD456">
        <v>10</v>
      </c>
      <c r="AE456">
        <v>268</v>
      </c>
      <c r="AG4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457" spans="1:33" x14ac:dyDescent="0.35">
      <c r="A457">
        <v>460</v>
      </c>
      <c r="B457" s="1"/>
      <c r="C457">
        <v>0</v>
      </c>
      <c r="D457" s="1"/>
      <c r="E457" s="1"/>
      <c r="F457" s="1" t="s">
        <v>30</v>
      </c>
      <c r="G457" s="1" t="s">
        <v>1685</v>
      </c>
      <c r="H457" s="1" t="s">
        <v>1686</v>
      </c>
      <c r="I457" s="1"/>
      <c r="J457" s="1" t="s">
        <v>1744</v>
      </c>
      <c r="K457" s="1"/>
      <c r="L457" s="1"/>
      <c r="M457" s="1" t="s">
        <v>34</v>
      </c>
      <c r="N457" s="1" t="s">
        <v>192</v>
      </c>
      <c r="O457" s="1" t="s">
        <v>193</v>
      </c>
      <c r="P457" s="1" t="s">
        <v>63</v>
      </c>
      <c r="Q457" s="1"/>
      <c r="R457" s="2">
        <v>43956</v>
      </c>
      <c r="S457" s="1"/>
      <c r="W457" s="1" t="s">
        <v>38</v>
      </c>
      <c r="X457" s="2">
        <v>43963</v>
      </c>
      <c r="Y457" s="2">
        <v>43962</v>
      </c>
      <c r="Z457" s="2">
        <v>43958</v>
      </c>
      <c r="AA457" s="2">
        <v>43956</v>
      </c>
      <c r="AB457" s="2">
        <v>43956</v>
      </c>
      <c r="AC457" s="1"/>
      <c r="AD457">
        <v>2</v>
      </c>
      <c r="AE457">
        <v>268</v>
      </c>
      <c r="AG4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8" spans="1:33" x14ac:dyDescent="0.35">
      <c r="A458">
        <v>461</v>
      </c>
      <c r="B458" s="1"/>
      <c r="C458">
        <v>0</v>
      </c>
      <c r="D458" s="1"/>
      <c r="E458" s="1"/>
      <c r="F458" s="1" t="s">
        <v>30</v>
      </c>
      <c r="G458" s="1" t="s">
        <v>1687</v>
      </c>
      <c r="H458" s="1" t="s">
        <v>1688</v>
      </c>
      <c r="I458" s="1"/>
      <c r="J458" s="1" t="s">
        <v>1745</v>
      </c>
      <c r="K458" s="1"/>
      <c r="L458" s="1"/>
      <c r="M458" s="1" t="s">
        <v>197</v>
      </c>
      <c r="N458" s="1" t="s">
        <v>352</v>
      </c>
      <c r="O458" s="1" t="s">
        <v>44</v>
      </c>
      <c r="P458" s="1" t="s">
        <v>37</v>
      </c>
      <c r="Q458" s="1"/>
      <c r="R458" s="2">
        <v>43956</v>
      </c>
      <c r="S458" s="1"/>
      <c r="W458" s="1" t="s">
        <v>38</v>
      </c>
      <c r="X458" s="2">
        <v>43959</v>
      </c>
      <c r="Y458" s="2">
        <v>43971</v>
      </c>
      <c r="Z458" s="2">
        <v>43969</v>
      </c>
      <c r="AA458" s="2">
        <v>43956</v>
      </c>
      <c r="AB458" s="2">
        <v>43956</v>
      </c>
      <c r="AC458" s="1"/>
      <c r="AD458">
        <v>13</v>
      </c>
      <c r="AE458">
        <v>268</v>
      </c>
      <c r="AG4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459" spans="1:33" x14ac:dyDescent="0.35">
      <c r="A459">
        <v>462</v>
      </c>
      <c r="B459" s="1"/>
      <c r="C459">
        <v>0</v>
      </c>
      <c r="D459" s="1" t="s">
        <v>206</v>
      </c>
      <c r="E459" s="1" t="s">
        <v>1662</v>
      </c>
      <c r="F459" s="1" t="s">
        <v>30</v>
      </c>
      <c r="G459" s="1" t="s">
        <v>1689</v>
      </c>
      <c r="H459" s="1" t="s">
        <v>1690</v>
      </c>
      <c r="I459" s="1" t="s">
        <v>1691</v>
      </c>
      <c r="J459" s="1" t="s">
        <v>1746</v>
      </c>
      <c r="K459" s="1"/>
      <c r="L459" s="1"/>
      <c r="M459" s="1" t="s">
        <v>34</v>
      </c>
      <c r="N459" s="1" t="s">
        <v>97</v>
      </c>
      <c r="O459" s="1" t="s">
        <v>98</v>
      </c>
      <c r="P459" s="1" t="s">
        <v>99</v>
      </c>
      <c r="Q459" s="1"/>
      <c r="R459" s="2">
        <v>43956</v>
      </c>
      <c r="S459" s="1"/>
      <c r="W459" s="1" t="s">
        <v>38</v>
      </c>
      <c r="X459" s="2">
        <v>43963</v>
      </c>
      <c r="Y459" s="2">
        <v>43973</v>
      </c>
      <c r="Z459" s="2">
        <v>43972</v>
      </c>
      <c r="AA459" s="2">
        <v>43958</v>
      </c>
      <c r="AB459" s="2">
        <v>43956</v>
      </c>
      <c r="AC459" s="1"/>
      <c r="AD459">
        <v>16</v>
      </c>
      <c r="AE459">
        <v>268</v>
      </c>
      <c r="AG4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60" spans="1:33" x14ac:dyDescent="0.35">
      <c r="A460">
        <v>463</v>
      </c>
      <c r="B460" s="1"/>
      <c r="C460">
        <v>0</v>
      </c>
      <c r="D460" s="1"/>
      <c r="E460" s="1"/>
      <c r="F460" s="1" t="s">
        <v>30</v>
      </c>
      <c r="G460" s="1" t="s">
        <v>1692</v>
      </c>
      <c r="H460" s="1" t="s">
        <v>1693</v>
      </c>
      <c r="I460" s="1"/>
      <c r="J460" s="1" t="s">
        <v>1747</v>
      </c>
      <c r="K460" s="1"/>
      <c r="L460" s="1"/>
      <c r="M460" s="1" t="s">
        <v>197</v>
      </c>
      <c r="N460" s="1" t="s">
        <v>880</v>
      </c>
      <c r="O460" s="1" t="s">
        <v>44</v>
      </c>
      <c r="P460" s="1" t="s">
        <v>43</v>
      </c>
      <c r="Q460" s="1" t="s">
        <v>44</v>
      </c>
      <c r="R460" s="2">
        <v>43957</v>
      </c>
      <c r="S460" s="1"/>
      <c r="W460" s="1" t="s">
        <v>38</v>
      </c>
      <c r="X460" s="2">
        <v>43967</v>
      </c>
      <c r="Y460" s="2">
        <v>43971</v>
      </c>
      <c r="Z460" s="2">
        <v>43969</v>
      </c>
      <c r="AA460" s="2">
        <v>43971</v>
      </c>
      <c r="AB460" s="2">
        <v>43957</v>
      </c>
      <c r="AC460" s="1"/>
      <c r="AD460">
        <v>12</v>
      </c>
      <c r="AE460">
        <v>267</v>
      </c>
      <c r="AG4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61" spans="1:33" x14ac:dyDescent="0.35">
      <c r="A461">
        <v>464</v>
      </c>
      <c r="B461" s="1"/>
      <c r="C461">
        <v>0</v>
      </c>
      <c r="D461" s="1"/>
      <c r="E461" s="1"/>
      <c r="F461" s="1" t="s">
        <v>30</v>
      </c>
      <c r="G461" s="1" t="s">
        <v>1694</v>
      </c>
      <c r="H461" s="1" t="s">
        <v>1748</v>
      </c>
      <c r="I461" s="1"/>
      <c r="J461" s="1" t="s">
        <v>1749</v>
      </c>
      <c r="K461" s="1"/>
      <c r="L461" s="1"/>
      <c r="M461" s="1" t="s">
        <v>34</v>
      </c>
      <c r="N461" s="1" t="s">
        <v>245</v>
      </c>
      <c r="O461" s="1" t="s">
        <v>147</v>
      </c>
      <c r="P461" s="1" t="s">
        <v>916</v>
      </c>
      <c r="Q461" s="1" t="s">
        <v>917</v>
      </c>
      <c r="R461" s="2">
        <v>43964</v>
      </c>
      <c r="S461" s="1"/>
      <c r="W461" s="1" t="s">
        <v>38</v>
      </c>
      <c r="X461" s="2">
        <v>43964</v>
      </c>
      <c r="Y461" s="2">
        <v>43966</v>
      </c>
      <c r="Z461" s="2">
        <v>43965</v>
      </c>
      <c r="AA461" s="2">
        <v>43965</v>
      </c>
      <c r="AB461" s="2">
        <v>43957</v>
      </c>
      <c r="AC461" s="1"/>
      <c r="AD461">
        <v>8</v>
      </c>
      <c r="AE461">
        <v>267</v>
      </c>
      <c r="AG4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62" spans="1:33" x14ac:dyDescent="0.35">
      <c r="A462">
        <v>465</v>
      </c>
      <c r="B462" s="1"/>
      <c r="C462">
        <v>0</v>
      </c>
      <c r="D462" s="1"/>
      <c r="E462" s="1"/>
      <c r="F462" s="1" t="s">
        <v>30</v>
      </c>
      <c r="G462" s="1" t="s">
        <v>1750</v>
      </c>
      <c r="H462" s="1" t="s">
        <v>1751</v>
      </c>
      <c r="I462" s="1"/>
      <c r="J462" s="1" t="s">
        <v>1905</v>
      </c>
      <c r="K462" s="1"/>
      <c r="L462" s="1"/>
      <c r="M462" s="1" t="s">
        <v>34</v>
      </c>
      <c r="N462" s="1" t="s">
        <v>245</v>
      </c>
      <c r="O462" s="1" t="s">
        <v>147</v>
      </c>
      <c r="P462" s="1" t="s">
        <v>379</v>
      </c>
      <c r="Q462" s="1"/>
      <c r="R462" s="2">
        <v>43957</v>
      </c>
      <c r="S462" s="1"/>
      <c r="W462" s="1" t="s">
        <v>38</v>
      </c>
      <c r="X462" s="2">
        <v>43964</v>
      </c>
      <c r="Y462" s="2">
        <v>44006</v>
      </c>
      <c r="Z462" s="2">
        <v>43998</v>
      </c>
      <c r="AA462" s="2">
        <v>43958</v>
      </c>
      <c r="AB462" s="2">
        <v>43957</v>
      </c>
      <c r="AC462" s="1"/>
      <c r="AD462">
        <v>41</v>
      </c>
      <c r="AE462">
        <v>267</v>
      </c>
      <c r="AG4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463" spans="1:33" x14ac:dyDescent="0.35">
      <c r="A463">
        <v>466</v>
      </c>
      <c r="B463" s="1"/>
      <c r="C463">
        <v>0</v>
      </c>
      <c r="D463" s="1"/>
      <c r="E463" s="1"/>
      <c r="F463" s="1" t="s">
        <v>30</v>
      </c>
      <c r="G463" s="1" t="s">
        <v>1752</v>
      </c>
      <c r="H463" s="1" t="s">
        <v>1753</v>
      </c>
      <c r="I463" s="1"/>
      <c r="J463" s="1" t="s">
        <v>1906</v>
      </c>
      <c r="K463" s="1"/>
      <c r="L463" s="1"/>
      <c r="M463" s="1" t="s">
        <v>34</v>
      </c>
      <c r="N463" s="1" t="s">
        <v>245</v>
      </c>
      <c r="O463" s="1" t="s">
        <v>147</v>
      </c>
      <c r="P463" s="1" t="s">
        <v>379</v>
      </c>
      <c r="Q463" s="1"/>
      <c r="R463" s="2">
        <v>44007</v>
      </c>
      <c r="S463" s="1"/>
      <c r="W463" s="1" t="s">
        <v>38</v>
      </c>
      <c r="X463" s="2">
        <v>43965</v>
      </c>
      <c r="Y463" s="2">
        <v>44025</v>
      </c>
      <c r="Z463" s="2">
        <v>44020</v>
      </c>
      <c r="AA463" s="2">
        <v>44021</v>
      </c>
      <c r="AB463" s="2">
        <v>43958</v>
      </c>
      <c r="AC463" s="1"/>
      <c r="AD463">
        <v>62</v>
      </c>
      <c r="AE463">
        <v>266</v>
      </c>
      <c r="AG4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62</v>
      </c>
    </row>
    <row r="464" spans="1:33" x14ac:dyDescent="0.35">
      <c r="A464">
        <v>467</v>
      </c>
      <c r="B464" s="1"/>
      <c r="C464">
        <v>0</v>
      </c>
      <c r="D464" s="1"/>
      <c r="E464" s="1"/>
      <c r="F464" s="1" t="s">
        <v>30</v>
      </c>
      <c r="G464" s="1" t="s">
        <v>1754</v>
      </c>
      <c r="H464" s="1" t="s">
        <v>1755</v>
      </c>
      <c r="I464" s="1"/>
      <c r="J464" s="1" t="s">
        <v>1161</v>
      </c>
      <c r="K464" s="1"/>
      <c r="L464" s="1"/>
      <c r="M464" s="1" t="s">
        <v>34</v>
      </c>
      <c r="N464" s="1" t="s">
        <v>341</v>
      </c>
      <c r="O464" s="1" t="s">
        <v>62</v>
      </c>
      <c r="P464" s="1" t="s">
        <v>37</v>
      </c>
      <c r="Q464" s="1"/>
      <c r="R464" s="2">
        <v>43958</v>
      </c>
      <c r="S464" s="1"/>
      <c r="W464" s="1" t="s">
        <v>38</v>
      </c>
      <c r="X464" s="2">
        <v>43965</v>
      </c>
      <c r="Y464" s="2">
        <v>43965</v>
      </c>
      <c r="Z464" s="2"/>
      <c r="AA464" s="2">
        <v>43964</v>
      </c>
      <c r="AB464" s="2">
        <v>43958</v>
      </c>
      <c r="AC464" s="1"/>
      <c r="AE464">
        <v>266</v>
      </c>
      <c r="AG4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65" spans="1:33" x14ac:dyDescent="0.35">
      <c r="A465">
        <v>468</v>
      </c>
      <c r="B465" s="1"/>
      <c r="C465">
        <v>0</v>
      </c>
      <c r="D465" s="1"/>
      <c r="E465" s="1"/>
      <c r="F465" s="1" t="s">
        <v>30</v>
      </c>
      <c r="G465" s="1" t="s">
        <v>1756</v>
      </c>
      <c r="H465" s="1" t="s">
        <v>1757</v>
      </c>
      <c r="I465" s="1"/>
      <c r="J465" s="1" t="s">
        <v>1758</v>
      </c>
      <c r="K465" s="1"/>
      <c r="L465" s="1"/>
      <c r="M465" s="1" t="s">
        <v>34</v>
      </c>
      <c r="N465" s="1" t="s">
        <v>853</v>
      </c>
      <c r="O465" s="1" t="s">
        <v>854</v>
      </c>
      <c r="P465" s="1" t="s">
        <v>37</v>
      </c>
      <c r="Q465" s="1"/>
      <c r="R465" s="2">
        <v>43958</v>
      </c>
      <c r="S465" s="1"/>
      <c r="W465" s="1" t="s">
        <v>38</v>
      </c>
      <c r="X465" s="2">
        <v>43965</v>
      </c>
      <c r="Y465" s="2">
        <v>43971</v>
      </c>
      <c r="Z465" s="2">
        <v>43970</v>
      </c>
      <c r="AA465" s="2">
        <v>43962</v>
      </c>
      <c r="AB465" s="2">
        <v>43958</v>
      </c>
      <c r="AC465" s="1"/>
      <c r="AD465">
        <v>12</v>
      </c>
      <c r="AE465">
        <v>266</v>
      </c>
      <c r="AG4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66" spans="1:33" x14ac:dyDescent="0.35">
      <c r="A466">
        <v>469</v>
      </c>
      <c r="B466" s="1"/>
      <c r="C466">
        <v>0</v>
      </c>
      <c r="D466" s="1"/>
      <c r="E466" s="1"/>
      <c r="F466" s="1" t="s">
        <v>30</v>
      </c>
      <c r="G466" s="1" t="s">
        <v>1759</v>
      </c>
      <c r="H466" s="1" t="s">
        <v>1760</v>
      </c>
      <c r="I466" s="1"/>
      <c r="J466" s="1" t="s">
        <v>1761</v>
      </c>
      <c r="K466" s="1"/>
      <c r="L466" s="1"/>
      <c r="M466" s="1" t="s">
        <v>34</v>
      </c>
      <c r="N466" s="1" t="s">
        <v>483</v>
      </c>
      <c r="O466" s="1" t="s">
        <v>484</v>
      </c>
      <c r="P466" s="1" t="s">
        <v>37</v>
      </c>
      <c r="Q466" s="1"/>
      <c r="R466" s="2">
        <v>43959</v>
      </c>
      <c r="S466" s="1"/>
      <c r="W466" s="1" t="s">
        <v>38</v>
      </c>
      <c r="X466" s="2">
        <v>43966</v>
      </c>
      <c r="Y466" s="2">
        <v>43971</v>
      </c>
      <c r="Z466" s="2">
        <v>43966</v>
      </c>
      <c r="AA466" s="2">
        <v>43962</v>
      </c>
      <c r="AB466" s="2">
        <v>43959</v>
      </c>
      <c r="AC466" s="1"/>
      <c r="AD466">
        <v>7</v>
      </c>
      <c r="AE466">
        <v>265</v>
      </c>
      <c r="AG4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67" spans="1:33" x14ac:dyDescent="0.35">
      <c r="A467">
        <v>470</v>
      </c>
      <c r="B467" s="1"/>
      <c r="C467">
        <v>0</v>
      </c>
      <c r="D467" s="1"/>
      <c r="E467" s="1" t="s">
        <v>1762</v>
      </c>
      <c r="F467" s="1" t="s">
        <v>30</v>
      </c>
      <c r="G467" s="1" t="s">
        <v>1763</v>
      </c>
      <c r="H467" s="1" t="s">
        <v>1764</v>
      </c>
      <c r="I467" s="1"/>
      <c r="J467" s="1" t="s">
        <v>1765</v>
      </c>
      <c r="K467" s="1"/>
      <c r="L467" s="1"/>
      <c r="M467" s="1" t="s">
        <v>197</v>
      </c>
      <c r="N467" s="1" t="s">
        <v>585</v>
      </c>
      <c r="O467" s="1" t="s">
        <v>586</v>
      </c>
      <c r="P467" s="1" t="s">
        <v>37</v>
      </c>
      <c r="Q467" s="1"/>
      <c r="R467" s="2">
        <v>43959</v>
      </c>
      <c r="S467" s="1"/>
      <c r="W467" s="1" t="s">
        <v>38</v>
      </c>
      <c r="X467" s="2">
        <v>43966</v>
      </c>
      <c r="Y467" s="2">
        <v>43971</v>
      </c>
      <c r="Z467" s="2">
        <v>43970</v>
      </c>
      <c r="AA467" s="2">
        <v>43962</v>
      </c>
      <c r="AB467" s="2">
        <v>43959</v>
      </c>
      <c r="AC467" s="1"/>
      <c r="AD467">
        <v>11</v>
      </c>
      <c r="AE467">
        <v>265</v>
      </c>
      <c r="AG4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68" spans="1:33" x14ac:dyDescent="0.35">
      <c r="A468">
        <v>471</v>
      </c>
      <c r="B468" s="1"/>
      <c r="C468">
        <v>0</v>
      </c>
      <c r="D468" s="1"/>
      <c r="E468" s="1"/>
      <c r="F468" s="1" t="s">
        <v>30</v>
      </c>
      <c r="G468" s="1" t="s">
        <v>1766</v>
      </c>
      <c r="H468" s="1" t="s">
        <v>1767</v>
      </c>
      <c r="I468" s="1"/>
      <c r="J468" s="1" t="s">
        <v>1768</v>
      </c>
      <c r="K468" s="1"/>
      <c r="L468" s="1"/>
      <c r="M468" s="1" t="s">
        <v>34</v>
      </c>
      <c r="N468" s="1" t="s">
        <v>341</v>
      </c>
      <c r="O468" s="1" t="s">
        <v>62</v>
      </c>
      <c r="P468" s="1" t="s">
        <v>37</v>
      </c>
      <c r="Q468" s="1"/>
      <c r="R468" s="2">
        <v>43962</v>
      </c>
      <c r="S468" s="1"/>
      <c r="W468" s="1" t="s">
        <v>38</v>
      </c>
      <c r="X468" s="2">
        <v>43969</v>
      </c>
      <c r="Y468" s="2">
        <v>43971</v>
      </c>
      <c r="Z468" s="2">
        <v>43970</v>
      </c>
      <c r="AA468" s="2">
        <v>43970</v>
      </c>
      <c r="AB468" s="2">
        <v>43962</v>
      </c>
      <c r="AC468" s="1"/>
      <c r="AD468">
        <v>8</v>
      </c>
      <c r="AE468">
        <v>262</v>
      </c>
      <c r="AG4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69" spans="1:33" x14ac:dyDescent="0.35">
      <c r="A469">
        <v>472</v>
      </c>
      <c r="B469" s="1"/>
      <c r="C469">
        <v>0</v>
      </c>
      <c r="D469" s="1"/>
      <c r="E469" s="1"/>
      <c r="F469" s="1" t="s">
        <v>30</v>
      </c>
      <c r="G469" s="1" t="s">
        <v>1769</v>
      </c>
      <c r="H469" s="1" t="s">
        <v>1770</v>
      </c>
      <c r="I469" s="1"/>
      <c r="J469" s="1" t="s">
        <v>1907</v>
      </c>
      <c r="K469" s="1"/>
      <c r="L469" s="1"/>
      <c r="M469" s="1" t="s">
        <v>34</v>
      </c>
      <c r="N469" s="1" t="s">
        <v>341</v>
      </c>
      <c r="O469" s="1" t="s">
        <v>62</v>
      </c>
      <c r="P469" s="1" t="s">
        <v>37</v>
      </c>
      <c r="Q469" s="1"/>
      <c r="R469" s="2">
        <v>43963</v>
      </c>
      <c r="S469" s="1"/>
      <c r="W469" s="1" t="s">
        <v>38</v>
      </c>
      <c r="X469" s="2">
        <v>43970</v>
      </c>
      <c r="Y469" s="2">
        <v>43973</v>
      </c>
      <c r="Z469" s="2">
        <v>43973</v>
      </c>
      <c r="AA469" s="2">
        <v>43972</v>
      </c>
      <c r="AB469" s="2">
        <v>43963</v>
      </c>
      <c r="AC469" s="1"/>
      <c r="AD469">
        <v>10</v>
      </c>
      <c r="AE469">
        <v>261</v>
      </c>
      <c r="AG4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470" spans="1:33" x14ac:dyDescent="0.35">
      <c r="A470">
        <v>473</v>
      </c>
      <c r="B470" s="1"/>
      <c r="C470">
        <v>0</v>
      </c>
      <c r="D470" s="1"/>
      <c r="E470" s="1"/>
      <c r="F470" s="1" t="s">
        <v>30</v>
      </c>
      <c r="G470" s="1" t="s">
        <v>1771</v>
      </c>
      <c r="H470" s="1" t="s">
        <v>1772</v>
      </c>
      <c r="I470" s="1"/>
      <c r="J470" s="1" t="s">
        <v>1773</v>
      </c>
      <c r="K470" s="1"/>
      <c r="L470" s="1"/>
      <c r="M470" s="1" t="s">
        <v>34</v>
      </c>
      <c r="N470" s="1" t="s">
        <v>43</v>
      </c>
      <c r="O470" s="1" t="s">
        <v>44</v>
      </c>
      <c r="P470" s="1" t="s">
        <v>99</v>
      </c>
      <c r="Q470" s="1"/>
      <c r="R470" s="2">
        <v>43964</v>
      </c>
      <c r="S470" s="1"/>
      <c r="W470" s="1" t="s">
        <v>38</v>
      </c>
      <c r="X470" s="2">
        <v>43971</v>
      </c>
      <c r="Y470" s="2">
        <v>43973</v>
      </c>
      <c r="Z470" s="2">
        <v>43972</v>
      </c>
      <c r="AA470" s="2">
        <v>43965</v>
      </c>
      <c r="AB470" s="2">
        <v>43964</v>
      </c>
      <c r="AC470" s="1"/>
      <c r="AD470">
        <v>8</v>
      </c>
      <c r="AE470">
        <v>260</v>
      </c>
      <c r="AG4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71" spans="1:33" x14ac:dyDescent="0.35">
      <c r="A471">
        <v>474</v>
      </c>
      <c r="B471" s="1"/>
      <c r="C471">
        <v>0</v>
      </c>
      <c r="D471" s="1"/>
      <c r="E471" s="1"/>
      <c r="F471" s="1" t="s">
        <v>30</v>
      </c>
      <c r="G471" s="1" t="s">
        <v>1774</v>
      </c>
      <c r="H471" s="1" t="s">
        <v>1775</v>
      </c>
      <c r="I471" s="1"/>
      <c r="J471" s="1" t="s">
        <v>1776</v>
      </c>
      <c r="K471" s="1"/>
      <c r="L471" s="1"/>
      <c r="M471" s="1" t="s">
        <v>34</v>
      </c>
      <c r="N471" s="1" t="s">
        <v>192</v>
      </c>
      <c r="O471" s="1" t="s">
        <v>193</v>
      </c>
      <c r="P471" s="1" t="s">
        <v>63</v>
      </c>
      <c r="Q471" s="1"/>
      <c r="R471" s="2">
        <v>43964</v>
      </c>
      <c r="S471" s="1"/>
      <c r="W471" s="1" t="s">
        <v>38</v>
      </c>
      <c r="X471" s="2">
        <v>43971</v>
      </c>
      <c r="Y471" s="2">
        <v>43971</v>
      </c>
      <c r="Z471" s="2">
        <v>43969</v>
      </c>
      <c r="AA471" s="2">
        <v>43965</v>
      </c>
      <c r="AB471" s="2">
        <v>43964</v>
      </c>
      <c r="AC471" s="1"/>
      <c r="AD471">
        <v>5</v>
      </c>
      <c r="AE471">
        <v>260</v>
      </c>
      <c r="AG4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2" spans="1:33" x14ac:dyDescent="0.35">
      <c r="A472">
        <v>475</v>
      </c>
      <c r="B472" s="1"/>
      <c r="C472">
        <v>0</v>
      </c>
      <c r="D472" s="1"/>
      <c r="E472" s="1"/>
      <c r="F472" s="1" t="s">
        <v>30</v>
      </c>
      <c r="G472" s="1" t="s">
        <v>1777</v>
      </c>
      <c r="H472" s="1" t="s">
        <v>1778</v>
      </c>
      <c r="I472" s="1"/>
      <c r="J472" s="1" t="s">
        <v>2458</v>
      </c>
      <c r="K472" s="1"/>
      <c r="L472" s="1"/>
      <c r="M472" s="1" t="s">
        <v>34</v>
      </c>
      <c r="N472" s="1" t="s">
        <v>43</v>
      </c>
      <c r="O472" s="1" t="s">
        <v>44</v>
      </c>
      <c r="P472" s="1" t="s">
        <v>51</v>
      </c>
      <c r="Q472" s="1" t="s">
        <v>37</v>
      </c>
      <c r="R472" s="2">
        <v>44085</v>
      </c>
      <c r="S472" s="1"/>
      <c r="W472" s="1" t="s">
        <v>38</v>
      </c>
      <c r="X472" s="2">
        <v>43971</v>
      </c>
      <c r="Y472" s="2">
        <v>44182</v>
      </c>
      <c r="Z472" s="2">
        <v>44179</v>
      </c>
      <c r="AA472" s="2">
        <v>44092</v>
      </c>
      <c r="AB472" s="2">
        <v>43965</v>
      </c>
      <c r="AC472" s="1"/>
      <c r="AD472">
        <v>214</v>
      </c>
      <c r="AE472">
        <v>259</v>
      </c>
      <c r="AG4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214</v>
      </c>
    </row>
    <row r="473" spans="1:33" x14ac:dyDescent="0.35">
      <c r="A473">
        <v>476</v>
      </c>
      <c r="B473" s="1"/>
      <c r="C473">
        <v>0</v>
      </c>
      <c r="D473" s="1"/>
      <c r="E473" s="1"/>
      <c r="F473" s="1" t="s">
        <v>30</v>
      </c>
      <c r="G473" s="1" t="s">
        <v>1779</v>
      </c>
      <c r="H473" s="1" t="s">
        <v>1780</v>
      </c>
      <c r="I473" s="1"/>
      <c r="J473" s="1" t="s">
        <v>1781</v>
      </c>
      <c r="K473" s="1"/>
      <c r="L473" s="1"/>
      <c r="M473" s="1" t="s">
        <v>34</v>
      </c>
      <c r="N473" s="1" t="s">
        <v>245</v>
      </c>
      <c r="O473" s="1" t="s">
        <v>147</v>
      </c>
      <c r="P473" s="1" t="s">
        <v>379</v>
      </c>
      <c r="Q473" s="1"/>
      <c r="R473" s="2">
        <v>43965</v>
      </c>
      <c r="S473" s="1"/>
      <c r="W473" s="1" t="s">
        <v>38</v>
      </c>
      <c r="X473" s="2">
        <v>43972</v>
      </c>
      <c r="Y473" s="2">
        <v>43971</v>
      </c>
      <c r="Z473" s="2">
        <v>43970</v>
      </c>
      <c r="AA473" s="2">
        <v>43969</v>
      </c>
      <c r="AB473" s="2">
        <v>43965</v>
      </c>
      <c r="AC473" s="1"/>
      <c r="AD473">
        <v>5</v>
      </c>
      <c r="AE473">
        <v>259</v>
      </c>
      <c r="AG4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4" spans="1:33" x14ac:dyDescent="0.35">
      <c r="A474">
        <v>477</v>
      </c>
      <c r="B474" s="1"/>
      <c r="C474">
        <v>0</v>
      </c>
      <c r="D474" s="1"/>
      <c r="E474" s="1"/>
      <c r="F474" s="1" t="s">
        <v>30</v>
      </c>
      <c r="G474" s="1" t="s">
        <v>1782</v>
      </c>
      <c r="H474" s="1" t="s">
        <v>1783</v>
      </c>
      <c r="I474" s="1"/>
      <c r="J474" s="1" t="s">
        <v>1784</v>
      </c>
      <c r="K474" s="1"/>
      <c r="L474" s="1"/>
      <c r="M474" s="1" t="s">
        <v>34</v>
      </c>
      <c r="N474" s="1" t="s">
        <v>129</v>
      </c>
      <c r="O474" s="1" t="s">
        <v>44</v>
      </c>
      <c r="P474" s="1" t="s">
        <v>37</v>
      </c>
      <c r="Q474" s="1"/>
      <c r="R474" s="2">
        <v>43965</v>
      </c>
      <c r="S474" s="1"/>
      <c r="W474" s="1" t="s">
        <v>38</v>
      </c>
      <c r="X474" s="2">
        <v>43972</v>
      </c>
      <c r="Y474" s="2">
        <v>43972</v>
      </c>
      <c r="Z474" s="2">
        <v>43966</v>
      </c>
      <c r="AA474" s="2"/>
      <c r="AB474" s="2">
        <v>43965</v>
      </c>
      <c r="AC474" s="1"/>
      <c r="AD474">
        <v>1</v>
      </c>
      <c r="AE474">
        <v>259</v>
      </c>
      <c r="AG4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75" spans="1:33" x14ac:dyDescent="0.35">
      <c r="A475">
        <v>478</v>
      </c>
      <c r="B475" s="1"/>
      <c r="C475">
        <v>0</v>
      </c>
      <c r="D475" s="1"/>
      <c r="E475" s="1"/>
      <c r="F475" s="1" t="s">
        <v>30</v>
      </c>
      <c r="G475" s="1" t="s">
        <v>1785</v>
      </c>
      <c r="H475" s="1" t="s">
        <v>1786</v>
      </c>
      <c r="I475" s="1"/>
      <c r="J475" s="1" t="s">
        <v>1787</v>
      </c>
      <c r="K475" s="1"/>
      <c r="L475" s="1"/>
      <c r="M475" s="1" t="s">
        <v>34</v>
      </c>
      <c r="N475" s="1" t="s">
        <v>192</v>
      </c>
      <c r="O475" s="1" t="s">
        <v>193</v>
      </c>
      <c r="P475" s="1" t="s">
        <v>63</v>
      </c>
      <c r="Q475" s="1"/>
      <c r="R475" s="2">
        <v>43965</v>
      </c>
      <c r="S475" s="1"/>
      <c r="W475" s="1" t="s">
        <v>38</v>
      </c>
      <c r="X475" s="2">
        <v>43972</v>
      </c>
      <c r="Y475" s="2">
        <v>43971</v>
      </c>
      <c r="Z475" s="2">
        <v>43970</v>
      </c>
      <c r="AA475" s="2">
        <v>43969</v>
      </c>
      <c r="AB475" s="2">
        <v>43965</v>
      </c>
      <c r="AC475" s="1"/>
      <c r="AD475">
        <v>5</v>
      </c>
      <c r="AE475">
        <v>259</v>
      </c>
      <c r="AG4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6" spans="1:33" x14ac:dyDescent="0.35">
      <c r="A476">
        <v>479</v>
      </c>
      <c r="B476" s="1"/>
      <c r="C476">
        <v>0</v>
      </c>
      <c r="D476" s="1"/>
      <c r="E476" s="1"/>
      <c r="F476" s="1" t="s">
        <v>30</v>
      </c>
      <c r="G476" s="1" t="s">
        <v>1788</v>
      </c>
      <c r="H476" s="1" t="s">
        <v>1789</v>
      </c>
      <c r="I476" s="1"/>
      <c r="J476" s="1" t="s">
        <v>1790</v>
      </c>
      <c r="K476" s="1"/>
      <c r="L476" s="1"/>
      <c r="M476" s="1" t="s">
        <v>34</v>
      </c>
      <c r="N476" s="1" t="s">
        <v>245</v>
      </c>
      <c r="O476" s="1" t="s">
        <v>147</v>
      </c>
      <c r="P476" s="1" t="s">
        <v>37</v>
      </c>
      <c r="Q476" s="1"/>
      <c r="R476" s="2">
        <v>43966</v>
      </c>
      <c r="S476" s="1"/>
      <c r="W476" s="1" t="s">
        <v>38</v>
      </c>
      <c r="X476" s="2">
        <v>43973</v>
      </c>
      <c r="Y476" s="2">
        <v>43973</v>
      </c>
      <c r="Z476" s="2">
        <v>43973</v>
      </c>
      <c r="AA476" s="2">
        <v>43969</v>
      </c>
      <c r="AB476" s="2">
        <v>43966</v>
      </c>
      <c r="AC476" s="1"/>
      <c r="AD476">
        <v>7</v>
      </c>
      <c r="AE476">
        <v>258</v>
      </c>
      <c r="AG4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77" spans="1:33" x14ac:dyDescent="0.35">
      <c r="A477">
        <v>480</v>
      </c>
      <c r="B477" s="1"/>
      <c r="C477">
        <v>0</v>
      </c>
      <c r="D477" s="1"/>
      <c r="E477" s="1"/>
      <c r="F477" s="1" t="s">
        <v>30</v>
      </c>
      <c r="G477" s="1" t="s">
        <v>1791</v>
      </c>
      <c r="H477" s="1" t="s">
        <v>1792</v>
      </c>
      <c r="I477" s="1"/>
      <c r="J477" s="1" t="s">
        <v>1793</v>
      </c>
      <c r="K477" s="1"/>
      <c r="L477" s="1"/>
      <c r="M477" s="1" t="s">
        <v>34</v>
      </c>
      <c r="N477" s="1" t="s">
        <v>245</v>
      </c>
      <c r="O477" s="1" t="s">
        <v>147</v>
      </c>
      <c r="P477" s="1" t="s">
        <v>880</v>
      </c>
      <c r="Q477" s="1" t="s">
        <v>44</v>
      </c>
      <c r="R477" s="2">
        <v>43979</v>
      </c>
      <c r="S477" s="1"/>
      <c r="W477" s="1" t="s">
        <v>38</v>
      </c>
      <c r="X477" s="2">
        <v>43976</v>
      </c>
      <c r="Y477" s="2">
        <v>43998</v>
      </c>
      <c r="Z477" s="2">
        <v>43992</v>
      </c>
      <c r="AA477" s="2">
        <v>43973</v>
      </c>
      <c r="AB477" s="2">
        <v>43969</v>
      </c>
      <c r="AC477" s="1"/>
      <c r="AD477">
        <v>23</v>
      </c>
      <c r="AE477">
        <v>255</v>
      </c>
      <c r="AG4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478" spans="1:33" x14ac:dyDescent="0.35">
      <c r="A478">
        <v>481</v>
      </c>
      <c r="B478" s="1"/>
      <c r="C478">
        <v>0</v>
      </c>
      <c r="D478" s="1"/>
      <c r="E478" s="1"/>
      <c r="F478" s="1" t="s">
        <v>30</v>
      </c>
      <c r="G478" s="1" t="s">
        <v>1794</v>
      </c>
      <c r="H478" s="1" t="s">
        <v>1795</v>
      </c>
      <c r="I478" s="1"/>
      <c r="J478" s="1" t="s">
        <v>1796</v>
      </c>
      <c r="K478" s="1"/>
      <c r="L478" s="1"/>
      <c r="M478" s="1" t="s">
        <v>34</v>
      </c>
      <c r="N478" s="1" t="s">
        <v>192</v>
      </c>
      <c r="O478" s="1" t="s">
        <v>193</v>
      </c>
      <c r="P478" s="1" t="s">
        <v>37</v>
      </c>
      <c r="Q478" s="1"/>
      <c r="R478" s="2">
        <v>43970</v>
      </c>
      <c r="S478" s="1"/>
      <c r="W478" s="1" t="s">
        <v>38</v>
      </c>
      <c r="X478" s="2">
        <v>43977</v>
      </c>
      <c r="Y478" s="2">
        <v>43973</v>
      </c>
      <c r="Z478" s="2">
        <v>43973</v>
      </c>
      <c r="AA478" s="2">
        <v>43972</v>
      </c>
      <c r="AB478" s="2">
        <v>43970</v>
      </c>
      <c r="AC478" s="1"/>
      <c r="AD478">
        <v>3</v>
      </c>
      <c r="AE478">
        <v>254</v>
      </c>
      <c r="AG4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79" spans="1:33" x14ac:dyDescent="0.35">
      <c r="A479">
        <v>482</v>
      </c>
      <c r="B479" s="1"/>
      <c r="C479">
        <v>0</v>
      </c>
      <c r="D479" s="1"/>
      <c r="E479" s="1"/>
      <c r="F479" s="1" t="s">
        <v>30</v>
      </c>
      <c r="G479" s="1" t="s">
        <v>1797</v>
      </c>
      <c r="H479" s="1" t="s">
        <v>1798</v>
      </c>
      <c r="I479" s="1"/>
      <c r="J479" s="1" t="s">
        <v>1799</v>
      </c>
      <c r="K479" s="1"/>
      <c r="L479" s="1"/>
      <c r="M479" s="1" t="s">
        <v>34</v>
      </c>
      <c r="N479" s="1" t="s">
        <v>192</v>
      </c>
      <c r="O479" s="1" t="s">
        <v>193</v>
      </c>
      <c r="P479" s="1" t="s">
        <v>63</v>
      </c>
      <c r="Q479" s="1"/>
      <c r="R479" s="2">
        <v>43971</v>
      </c>
      <c r="S479" s="1"/>
      <c r="W479" s="1" t="s">
        <v>38</v>
      </c>
      <c r="X479" s="2">
        <v>43977</v>
      </c>
      <c r="Y479" s="2">
        <v>43973</v>
      </c>
      <c r="Z479" s="2">
        <v>43972</v>
      </c>
      <c r="AA479" s="2">
        <v>43971</v>
      </c>
      <c r="AB479" s="2">
        <v>43971</v>
      </c>
      <c r="AC479" s="1"/>
      <c r="AD479">
        <v>1</v>
      </c>
      <c r="AE479">
        <v>253</v>
      </c>
      <c r="AG4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0" spans="1:33" x14ac:dyDescent="0.35">
      <c r="A480">
        <v>483</v>
      </c>
      <c r="B480" s="1"/>
      <c r="C480">
        <v>0</v>
      </c>
      <c r="D480" s="1"/>
      <c r="E480" s="1"/>
      <c r="F480" s="1" t="s">
        <v>30</v>
      </c>
      <c r="G480" s="1" t="s">
        <v>1800</v>
      </c>
      <c r="H480" s="1" t="s">
        <v>1801</v>
      </c>
      <c r="I480" s="1"/>
      <c r="J480" s="1" t="s">
        <v>1802</v>
      </c>
      <c r="K480" s="1"/>
      <c r="L480" s="1"/>
      <c r="M480" s="1" t="s">
        <v>34</v>
      </c>
      <c r="N480" s="1" t="s">
        <v>129</v>
      </c>
      <c r="O480" s="1" t="s">
        <v>44</v>
      </c>
      <c r="P480" s="1" t="s">
        <v>63</v>
      </c>
      <c r="Q480" s="1"/>
      <c r="R480" s="2">
        <v>43971</v>
      </c>
      <c r="S480" s="1"/>
      <c r="W480" s="1" t="s">
        <v>38</v>
      </c>
      <c r="X480" s="2">
        <v>43978</v>
      </c>
      <c r="Y480" s="2">
        <v>43972</v>
      </c>
      <c r="Z480" s="2">
        <v>43971</v>
      </c>
      <c r="AA480" s="2"/>
      <c r="AB480" s="2">
        <v>43971</v>
      </c>
      <c r="AC480" s="1"/>
      <c r="AD480">
        <v>0</v>
      </c>
      <c r="AE480">
        <v>253</v>
      </c>
      <c r="AG4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1" spans="1:33" x14ac:dyDescent="0.35">
      <c r="A481">
        <v>484</v>
      </c>
      <c r="B481" s="1"/>
      <c r="C481">
        <v>0</v>
      </c>
      <c r="D481" s="1"/>
      <c r="E481" s="1"/>
      <c r="F481" s="1" t="s">
        <v>30</v>
      </c>
      <c r="G481" s="1" t="s">
        <v>1803</v>
      </c>
      <c r="H481" s="1" t="s">
        <v>1804</v>
      </c>
      <c r="I481" s="1"/>
      <c r="J481" s="1" t="s">
        <v>1805</v>
      </c>
      <c r="K481" s="1"/>
      <c r="L481" s="1"/>
      <c r="M481" s="1" t="s">
        <v>34</v>
      </c>
      <c r="N481" s="1" t="s">
        <v>341</v>
      </c>
      <c r="O481" s="1" t="s">
        <v>62</v>
      </c>
      <c r="P481" s="1" t="s">
        <v>37</v>
      </c>
      <c r="Q481" s="1"/>
      <c r="R481" s="2">
        <v>43971</v>
      </c>
      <c r="S481" s="1"/>
      <c r="W481" s="1" t="s">
        <v>38</v>
      </c>
      <c r="X481" s="2">
        <v>43978</v>
      </c>
      <c r="Y481" s="2">
        <v>43983</v>
      </c>
      <c r="Z481" s="2">
        <v>43983</v>
      </c>
      <c r="AA481" s="2">
        <v>43971</v>
      </c>
      <c r="AB481" s="2">
        <v>43971</v>
      </c>
      <c r="AC481" s="1"/>
      <c r="AD481">
        <v>12</v>
      </c>
      <c r="AE481">
        <v>253</v>
      </c>
      <c r="AG4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82" spans="1:33" x14ac:dyDescent="0.35">
      <c r="A482">
        <v>485</v>
      </c>
      <c r="B482" s="1"/>
      <c r="C482">
        <v>0</v>
      </c>
      <c r="D482" s="1"/>
      <c r="E482" s="1"/>
      <c r="F482" s="1" t="s">
        <v>30</v>
      </c>
      <c r="G482" s="1" t="s">
        <v>1806</v>
      </c>
      <c r="H482" s="1" t="s">
        <v>1807</v>
      </c>
      <c r="I482" s="1"/>
      <c r="J482" s="1" t="s">
        <v>1808</v>
      </c>
      <c r="K482" s="1"/>
      <c r="L482" s="1"/>
      <c r="M482" s="1" t="s">
        <v>34</v>
      </c>
      <c r="N482" s="1" t="s">
        <v>43</v>
      </c>
      <c r="O482" s="1" t="s">
        <v>44</v>
      </c>
      <c r="P482" s="1" t="s">
        <v>37</v>
      </c>
      <c r="Q482" s="1"/>
      <c r="R482" s="2">
        <v>43971</v>
      </c>
      <c r="S482" s="1"/>
      <c r="W482" s="1" t="s">
        <v>38</v>
      </c>
      <c r="X482" s="2">
        <v>43978</v>
      </c>
      <c r="Y482" s="2">
        <v>43973</v>
      </c>
      <c r="Z482" s="2">
        <v>43973</v>
      </c>
      <c r="AA482" s="2"/>
      <c r="AB482" s="2">
        <v>43971</v>
      </c>
      <c r="AC482" s="1"/>
      <c r="AD482">
        <v>2</v>
      </c>
      <c r="AE482">
        <v>253</v>
      </c>
      <c r="AG4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83" spans="1:33" x14ac:dyDescent="0.35">
      <c r="A483">
        <v>486</v>
      </c>
      <c r="B483" s="1"/>
      <c r="C483">
        <v>0</v>
      </c>
      <c r="D483" s="1"/>
      <c r="E483" s="1"/>
      <c r="F483" s="1" t="s">
        <v>30</v>
      </c>
      <c r="G483" s="1" t="s">
        <v>1809</v>
      </c>
      <c r="H483" s="1" t="s">
        <v>1810</v>
      </c>
      <c r="I483" s="1"/>
      <c r="J483" s="1" t="s">
        <v>1811</v>
      </c>
      <c r="K483" s="1"/>
      <c r="L483" s="1"/>
      <c r="M483" s="1" t="s">
        <v>34</v>
      </c>
      <c r="N483" s="1" t="s">
        <v>43</v>
      </c>
      <c r="O483" s="1" t="s">
        <v>44</v>
      </c>
      <c r="P483" s="1" t="s">
        <v>63</v>
      </c>
      <c r="Q483" s="1"/>
      <c r="R483" s="2">
        <v>43971</v>
      </c>
      <c r="S483" s="1"/>
      <c r="W483" s="1" t="s">
        <v>38</v>
      </c>
      <c r="X483" s="2">
        <v>43978</v>
      </c>
      <c r="Y483" s="2">
        <v>43973</v>
      </c>
      <c r="Z483" s="2">
        <v>43972</v>
      </c>
      <c r="AA483" s="2"/>
      <c r="AB483" s="2">
        <v>43971</v>
      </c>
      <c r="AC483" s="1"/>
      <c r="AD483">
        <v>1</v>
      </c>
      <c r="AE483">
        <v>253</v>
      </c>
      <c r="AG4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4" spans="1:33" x14ac:dyDescent="0.35">
      <c r="A484">
        <v>487</v>
      </c>
      <c r="B484" s="1"/>
      <c r="C484">
        <v>0</v>
      </c>
      <c r="D484" s="1"/>
      <c r="E484" s="1"/>
      <c r="F484" s="1" t="s">
        <v>30</v>
      </c>
      <c r="G484" s="1" t="s">
        <v>1812</v>
      </c>
      <c r="H484" s="1" t="s">
        <v>1813</v>
      </c>
      <c r="I484" s="1"/>
      <c r="J484" s="1" t="s">
        <v>1908</v>
      </c>
      <c r="K484" s="1"/>
      <c r="L484" s="1"/>
      <c r="M484" s="1" t="s">
        <v>34</v>
      </c>
      <c r="N484" s="1" t="s">
        <v>341</v>
      </c>
      <c r="O484" s="1" t="s">
        <v>62</v>
      </c>
      <c r="P484" s="1" t="s">
        <v>37</v>
      </c>
      <c r="Q484" s="1"/>
      <c r="R484" s="2">
        <v>43971</v>
      </c>
      <c r="S484" s="1"/>
      <c r="W484" s="1" t="s">
        <v>38</v>
      </c>
      <c r="X484" s="2">
        <v>43978</v>
      </c>
      <c r="Y484" s="2">
        <v>44021</v>
      </c>
      <c r="Z484" s="2">
        <v>44021</v>
      </c>
      <c r="AA484" s="2">
        <v>43971</v>
      </c>
      <c r="AB484" s="2">
        <v>43971</v>
      </c>
      <c r="AC484" s="1"/>
      <c r="AD484">
        <v>50</v>
      </c>
      <c r="AE484">
        <v>253</v>
      </c>
      <c r="AG4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50</v>
      </c>
    </row>
    <row r="485" spans="1:33" x14ac:dyDescent="0.35">
      <c r="A485">
        <v>488</v>
      </c>
      <c r="B485" s="1"/>
      <c r="C485">
        <v>0</v>
      </c>
      <c r="D485" s="1"/>
      <c r="E485" s="1"/>
      <c r="F485" s="1" t="s">
        <v>30</v>
      </c>
      <c r="G485" s="1" t="s">
        <v>1814</v>
      </c>
      <c r="H485" s="1" t="s">
        <v>1815</v>
      </c>
      <c r="I485" s="1"/>
      <c r="J485" s="1" t="s">
        <v>1816</v>
      </c>
      <c r="K485" s="1"/>
      <c r="L485" s="1"/>
      <c r="M485" s="1" t="s">
        <v>34</v>
      </c>
      <c r="N485" s="1" t="s">
        <v>43</v>
      </c>
      <c r="O485" s="1" t="s">
        <v>44</v>
      </c>
      <c r="P485" s="1" t="s">
        <v>37</v>
      </c>
      <c r="Q485" s="1"/>
      <c r="R485" s="2">
        <v>43971</v>
      </c>
      <c r="S485" s="1"/>
      <c r="W485" s="1" t="s">
        <v>38</v>
      </c>
      <c r="X485" s="2">
        <v>43978</v>
      </c>
      <c r="Y485" s="2">
        <v>43973</v>
      </c>
      <c r="Z485" s="2">
        <v>43973</v>
      </c>
      <c r="AA485" s="2"/>
      <c r="AB485" s="2">
        <v>43971</v>
      </c>
      <c r="AC485" s="1"/>
      <c r="AD485">
        <v>2</v>
      </c>
      <c r="AE485">
        <v>253</v>
      </c>
      <c r="AG4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86" spans="1:33" x14ac:dyDescent="0.35">
      <c r="A486">
        <v>489</v>
      </c>
      <c r="B486" s="1"/>
      <c r="C486">
        <v>0</v>
      </c>
      <c r="D486" s="1"/>
      <c r="E486" s="1"/>
      <c r="F486" s="1" t="s">
        <v>30</v>
      </c>
      <c r="G486" s="1" t="s">
        <v>1817</v>
      </c>
      <c r="H486" s="1" t="s">
        <v>1818</v>
      </c>
      <c r="I486" s="1"/>
      <c r="J486" s="1" t="s">
        <v>1819</v>
      </c>
      <c r="K486" s="1"/>
      <c r="L486" s="1"/>
      <c r="M486" s="1" t="s">
        <v>34</v>
      </c>
      <c r="N486" s="1" t="s">
        <v>266</v>
      </c>
      <c r="O486" s="1" t="s">
        <v>267</v>
      </c>
      <c r="P486" s="1" t="s">
        <v>164</v>
      </c>
      <c r="Q486" s="1"/>
      <c r="R486" s="2">
        <v>43972</v>
      </c>
      <c r="S486" s="1"/>
      <c r="W486" s="1" t="s">
        <v>38</v>
      </c>
      <c r="X486" s="2">
        <v>43979</v>
      </c>
      <c r="Y486" s="2">
        <v>43998</v>
      </c>
      <c r="Z486" s="2">
        <v>43979</v>
      </c>
      <c r="AA486" s="2"/>
      <c r="AB486" s="2">
        <v>43972</v>
      </c>
      <c r="AC486" s="1"/>
      <c r="AD486">
        <v>7</v>
      </c>
      <c r="AE486">
        <v>252</v>
      </c>
      <c r="AG4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87" spans="1:33" x14ac:dyDescent="0.35">
      <c r="A487">
        <v>490</v>
      </c>
      <c r="B487" s="1"/>
      <c r="C487">
        <v>0</v>
      </c>
      <c r="D487" s="1"/>
      <c r="E487" s="1"/>
      <c r="F487" s="1" t="s">
        <v>30</v>
      </c>
      <c r="G487" s="1" t="s">
        <v>1820</v>
      </c>
      <c r="H487" s="1" t="s">
        <v>1821</v>
      </c>
      <c r="I487" s="1"/>
      <c r="J487" s="1" t="s">
        <v>1822</v>
      </c>
      <c r="K487" s="1"/>
      <c r="L487" s="1"/>
      <c r="M487" s="1" t="s">
        <v>34</v>
      </c>
      <c r="N487" s="1" t="s">
        <v>483</v>
      </c>
      <c r="O487" s="1" t="s">
        <v>484</v>
      </c>
      <c r="P487" s="1" t="s">
        <v>37</v>
      </c>
      <c r="Q487" s="1"/>
      <c r="R487" s="2">
        <v>43972</v>
      </c>
      <c r="S487" s="1"/>
      <c r="W487" s="1" t="s">
        <v>38</v>
      </c>
      <c r="X487" s="2">
        <v>43979</v>
      </c>
      <c r="Y487" s="2">
        <v>43986</v>
      </c>
      <c r="Z487" s="2">
        <v>43985</v>
      </c>
      <c r="AA487" s="2"/>
      <c r="AB487" s="2">
        <v>43972</v>
      </c>
      <c r="AC487" s="1"/>
      <c r="AD487">
        <v>13</v>
      </c>
      <c r="AE487">
        <v>252</v>
      </c>
      <c r="AG4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488" spans="1:33" x14ac:dyDescent="0.35">
      <c r="A488">
        <v>491</v>
      </c>
      <c r="B488" s="1"/>
      <c r="C488">
        <v>0</v>
      </c>
      <c r="D488" s="1"/>
      <c r="E488" s="1"/>
      <c r="F488" s="1" t="s">
        <v>30</v>
      </c>
      <c r="G488" s="1" t="s">
        <v>1823</v>
      </c>
      <c r="H488" s="1" t="s">
        <v>1824</v>
      </c>
      <c r="I488" s="1"/>
      <c r="J488" s="1" t="s">
        <v>1825</v>
      </c>
      <c r="K488" s="1"/>
      <c r="L488" s="1"/>
      <c r="M488" s="1" t="s">
        <v>34</v>
      </c>
      <c r="N488" s="1" t="s">
        <v>245</v>
      </c>
      <c r="O488" s="1" t="s">
        <v>147</v>
      </c>
      <c r="P488" s="1" t="s">
        <v>37</v>
      </c>
      <c r="Q488" s="1"/>
      <c r="R488" s="2">
        <v>43977</v>
      </c>
      <c r="S488" s="1"/>
      <c r="W488" s="1" t="s">
        <v>38</v>
      </c>
      <c r="X488" s="2">
        <v>43984</v>
      </c>
      <c r="Y488" s="2">
        <v>43985</v>
      </c>
      <c r="Z488" s="2">
        <v>43985</v>
      </c>
      <c r="AA488" s="2">
        <v>43979</v>
      </c>
      <c r="AB488" s="2">
        <v>43977</v>
      </c>
      <c r="AC488" s="1"/>
      <c r="AD488">
        <v>8</v>
      </c>
      <c r="AE488">
        <v>247</v>
      </c>
      <c r="AG4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89" spans="1:33" x14ac:dyDescent="0.35">
      <c r="A489">
        <v>492</v>
      </c>
      <c r="B489" s="1"/>
      <c r="C489">
        <v>0</v>
      </c>
      <c r="D489" s="1"/>
      <c r="E489" s="1"/>
      <c r="F489" s="1" t="s">
        <v>30</v>
      </c>
      <c r="G489" s="1" t="s">
        <v>1826</v>
      </c>
      <c r="H489" s="1" t="s">
        <v>2186</v>
      </c>
      <c r="I489" s="1" t="s">
        <v>2187</v>
      </c>
      <c r="J489" s="1" t="s">
        <v>2401</v>
      </c>
      <c r="K489" s="1"/>
      <c r="L489" s="1"/>
      <c r="M489" s="1" t="s">
        <v>34</v>
      </c>
      <c r="N489" s="1" t="s">
        <v>245</v>
      </c>
      <c r="O489" s="1" t="s">
        <v>147</v>
      </c>
      <c r="P489" s="1" t="s">
        <v>37</v>
      </c>
      <c r="Q489" s="1"/>
      <c r="R489" s="2">
        <v>44041</v>
      </c>
      <c r="S489" s="1"/>
      <c r="W489" s="1" t="s">
        <v>38</v>
      </c>
      <c r="X489" s="2">
        <v>43984</v>
      </c>
      <c r="Y489" s="2">
        <v>44068</v>
      </c>
      <c r="Z489" s="2">
        <v>44067</v>
      </c>
      <c r="AA489" s="2">
        <v>44041</v>
      </c>
      <c r="AB489" s="2">
        <v>43977</v>
      </c>
      <c r="AC489" s="1"/>
      <c r="AD489">
        <v>90</v>
      </c>
      <c r="AE489">
        <v>247</v>
      </c>
      <c r="AG4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90</v>
      </c>
    </row>
    <row r="490" spans="1:33" x14ac:dyDescent="0.35">
      <c r="A490">
        <v>493</v>
      </c>
      <c r="B490" s="1"/>
      <c r="C490">
        <v>0</v>
      </c>
      <c r="D490" s="1"/>
      <c r="E490" s="1"/>
      <c r="F490" s="1" t="s">
        <v>30</v>
      </c>
      <c r="G490" s="1" t="s">
        <v>1827</v>
      </c>
      <c r="H490" s="1" t="s">
        <v>1828</v>
      </c>
      <c r="I490" s="1"/>
      <c r="J490" s="1" t="s">
        <v>1829</v>
      </c>
      <c r="K490" s="1"/>
      <c r="L490" s="1"/>
      <c r="M490" s="1" t="s">
        <v>34</v>
      </c>
      <c r="N490" s="1" t="s">
        <v>341</v>
      </c>
      <c r="O490" s="1" t="s">
        <v>62</v>
      </c>
      <c r="P490" s="1" t="s">
        <v>63</v>
      </c>
      <c r="Q490" s="1"/>
      <c r="R490" s="2">
        <v>43978</v>
      </c>
      <c r="S490" s="1"/>
      <c r="W490" s="1" t="s">
        <v>38</v>
      </c>
      <c r="X490" s="2">
        <v>43985</v>
      </c>
      <c r="Y490" s="2">
        <v>43985</v>
      </c>
      <c r="Z490" s="2">
        <v>43984</v>
      </c>
      <c r="AA490" s="2">
        <v>43979</v>
      </c>
      <c r="AB490" s="2">
        <v>43978</v>
      </c>
      <c r="AC490" s="1"/>
      <c r="AD490">
        <v>6</v>
      </c>
      <c r="AE490">
        <v>246</v>
      </c>
      <c r="AG4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91" spans="1:33" x14ac:dyDescent="0.35">
      <c r="A491">
        <v>494</v>
      </c>
      <c r="B491" s="1"/>
      <c r="C491">
        <v>0</v>
      </c>
      <c r="D491" s="1"/>
      <c r="E491" s="1"/>
      <c r="F491" s="1" t="s">
        <v>30</v>
      </c>
      <c r="G491" s="1" t="s">
        <v>1830</v>
      </c>
      <c r="H491" s="1" t="s">
        <v>1831</v>
      </c>
      <c r="I491" s="1"/>
      <c r="J491" s="1" t="s">
        <v>1832</v>
      </c>
      <c r="K491" s="1"/>
      <c r="L491" s="1"/>
      <c r="M491" s="1" t="s">
        <v>197</v>
      </c>
      <c r="N491" s="1" t="s">
        <v>192</v>
      </c>
      <c r="O491" s="1" t="s">
        <v>193</v>
      </c>
      <c r="P491" s="1" t="s">
        <v>63</v>
      </c>
      <c r="Q491" s="1"/>
      <c r="R491" s="2">
        <v>43978</v>
      </c>
      <c r="S491" s="1"/>
      <c r="W491" s="1" t="s">
        <v>38</v>
      </c>
      <c r="X491" s="2">
        <v>43981</v>
      </c>
      <c r="Y491" s="2">
        <v>43984</v>
      </c>
      <c r="Z491" s="2">
        <v>43979</v>
      </c>
      <c r="AA491" s="2"/>
      <c r="AB491" s="2">
        <v>43978</v>
      </c>
      <c r="AC491" s="1"/>
      <c r="AD491">
        <v>1</v>
      </c>
      <c r="AE491">
        <v>246</v>
      </c>
      <c r="AG4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2" spans="1:33" x14ac:dyDescent="0.35">
      <c r="A492">
        <v>495</v>
      </c>
      <c r="B492" s="1"/>
      <c r="C492">
        <v>0</v>
      </c>
      <c r="D492" s="1"/>
      <c r="E492" s="1"/>
      <c r="F492" s="1" t="s">
        <v>30</v>
      </c>
      <c r="G492" s="1" t="s">
        <v>1833</v>
      </c>
      <c r="H492" s="1" t="s">
        <v>1834</v>
      </c>
      <c r="I492" s="1"/>
      <c r="J492" s="1" t="s">
        <v>1835</v>
      </c>
      <c r="K492" s="1"/>
      <c r="L492" s="1"/>
      <c r="M492" s="1" t="s">
        <v>34</v>
      </c>
      <c r="N492" s="1" t="s">
        <v>266</v>
      </c>
      <c r="O492" s="1" t="s">
        <v>267</v>
      </c>
      <c r="P492" s="1" t="s">
        <v>63</v>
      </c>
      <c r="Q492" s="1"/>
      <c r="R492" s="2">
        <v>43979</v>
      </c>
      <c r="S492" s="1"/>
      <c r="W492" s="1" t="s">
        <v>38</v>
      </c>
      <c r="X492" s="2">
        <v>43986</v>
      </c>
      <c r="Y492" s="2">
        <v>43985</v>
      </c>
      <c r="Z492" s="2">
        <v>43984</v>
      </c>
      <c r="AA492" s="2">
        <v>43983</v>
      </c>
      <c r="AB492" s="2">
        <v>43979</v>
      </c>
      <c r="AC492" s="1"/>
      <c r="AD492">
        <v>5</v>
      </c>
      <c r="AE492">
        <v>245</v>
      </c>
      <c r="AG4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93" spans="1:33" x14ac:dyDescent="0.35">
      <c r="A493">
        <v>496</v>
      </c>
      <c r="B493" s="1"/>
      <c r="C493">
        <v>0</v>
      </c>
      <c r="D493" s="1"/>
      <c r="E493" s="1"/>
      <c r="F493" s="1" t="s">
        <v>30</v>
      </c>
      <c r="G493" s="1" t="s">
        <v>1836</v>
      </c>
      <c r="H493" s="1" t="s">
        <v>1837</v>
      </c>
      <c r="I493" s="1"/>
      <c r="J493" s="1" t="s">
        <v>1909</v>
      </c>
      <c r="K493" s="1"/>
      <c r="L493" s="1"/>
      <c r="M493" s="1" t="s">
        <v>34</v>
      </c>
      <c r="N493" s="1" t="s">
        <v>1838</v>
      </c>
      <c r="O493" s="1" t="s">
        <v>586</v>
      </c>
      <c r="P493" s="1" t="s">
        <v>1910</v>
      </c>
      <c r="Q493" s="1" t="s">
        <v>1911</v>
      </c>
      <c r="R493" s="2">
        <v>43998</v>
      </c>
      <c r="S493" s="1"/>
      <c r="W493" s="1" t="s">
        <v>38</v>
      </c>
      <c r="X493" s="2">
        <v>43986</v>
      </c>
      <c r="Y493" s="2">
        <v>44032</v>
      </c>
      <c r="Z493" s="2"/>
      <c r="AA493" s="2">
        <v>43994</v>
      </c>
      <c r="AB493" s="2">
        <v>43979</v>
      </c>
      <c r="AC493" s="1"/>
      <c r="AE493">
        <v>245</v>
      </c>
      <c r="AG4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4" spans="1:33" x14ac:dyDescent="0.35">
      <c r="A494">
        <v>497</v>
      </c>
      <c r="B494" s="1"/>
      <c r="C494">
        <v>0</v>
      </c>
      <c r="D494" s="1"/>
      <c r="E494" s="1"/>
      <c r="F494" s="1" t="s">
        <v>30</v>
      </c>
      <c r="G494" s="1" t="s">
        <v>1839</v>
      </c>
      <c r="H494" s="1" t="s">
        <v>1840</v>
      </c>
      <c r="I494" s="1"/>
      <c r="J494" s="1" t="s">
        <v>2459</v>
      </c>
      <c r="K494" s="1"/>
      <c r="L494" s="1"/>
      <c r="M494" s="1" t="s">
        <v>34</v>
      </c>
      <c r="N494" s="1" t="s">
        <v>1838</v>
      </c>
      <c r="O494" s="1" t="s">
        <v>586</v>
      </c>
      <c r="P494" s="1" t="s">
        <v>278</v>
      </c>
      <c r="Q494" s="1"/>
      <c r="R494" s="2">
        <v>43979</v>
      </c>
      <c r="S494" s="1"/>
      <c r="W494" s="1" t="s">
        <v>38</v>
      </c>
      <c r="X494" s="2">
        <v>43986</v>
      </c>
      <c r="Y494" s="2">
        <v>43990</v>
      </c>
      <c r="Z494" s="2">
        <v>43984</v>
      </c>
      <c r="AA494" s="2">
        <v>43983</v>
      </c>
      <c r="AB494" s="2">
        <v>43979</v>
      </c>
      <c r="AC494" s="1"/>
      <c r="AD494">
        <v>5</v>
      </c>
      <c r="AE494">
        <v>245</v>
      </c>
      <c r="AG4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95" spans="1:33" x14ac:dyDescent="0.35">
      <c r="A495">
        <v>498</v>
      </c>
      <c r="B495" s="1"/>
      <c r="C495">
        <v>0</v>
      </c>
      <c r="D495" s="1" t="s">
        <v>206</v>
      </c>
      <c r="E495" s="1" t="s">
        <v>1275</v>
      </c>
      <c r="F495" s="1" t="s">
        <v>30</v>
      </c>
      <c r="G495" s="1" t="s">
        <v>1841</v>
      </c>
      <c r="H495" s="1" t="s">
        <v>1842</v>
      </c>
      <c r="I495" s="1" t="s">
        <v>1843</v>
      </c>
      <c r="J495" s="1" t="s">
        <v>2402</v>
      </c>
      <c r="K495" s="1"/>
      <c r="L495" s="1"/>
      <c r="M495" s="1" t="s">
        <v>197</v>
      </c>
      <c r="N495" s="1" t="s">
        <v>97</v>
      </c>
      <c r="O495" s="1" t="s">
        <v>98</v>
      </c>
      <c r="P495" s="1" t="s">
        <v>37</v>
      </c>
      <c r="Q495" s="1"/>
      <c r="R495" s="2">
        <v>43983</v>
      </c>
      <c r="S495" s="1"/>
      <c r="W495" s="1" t="s">
        <v>38</v>
      </c>
      <c r="X495" s="2">
        <v>44042</v>
      </c>
      <c r="Y495" s="2">
        <v>44067</v>
      </c>
      <c r="Z495" s="2">
        <v>44064</v>
      </c>
      <c r="AA495" s="2">
        <v>43999</v>
      </c>
      <c r="AB495" s="2">
        <v>43983</v>
      </c>
      <c r="AC495" s="1"/>
      <c r="AD495">
        <v>81</v>
      </c>
      <c r="AE495">
        <v>241</v>
      </c>
      <c r="AG4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81</v>
      </c>
    </row>
    <row r="496" spans="1:33" x14ac:dyDescent="0.35">
      <c r="A496">
        <v>499</v>
      </c>
      <c r="B496" s="1"/>
      <c r="C496">
        <v>0</v>
      </c>
      <c r="D496" s="1" t="s">
        <v>111</v>
      </c>
      <c r="E496" s="1" t="s">
        <v>1844</v>
      </c>
      <c r="F496" s="1" t="s">
        <v>30</v>
      </c>
      <c r="G496" s="1" t="s">
        <v>1845</v>
      </c>
      <c r="H496" s="1" t="s">
        <v>1846</v>
      </c>
      <c r="I496" s="1" t="s">
        <v>1847</v>
      </c>
      <c r="J496" s="1" t="s">
        <v>891</v>
      </c>
      <c r="K496" s="1"/>
      <c r="L496" s="1"/>
      <c r="M496" s="1" t="s">
        <v>34</v>
      </c>
      <c r="N496" s="1" t="s">
        <v>97</v>
      </c>
      <c r="O496" s="1" t="s">
        <v>98</v>
      </c>
      <c r="P496" s="1" t="s">
        <v>37</v>
      </c>
      <c r="Q496" s="1"/>
      <c r="R496" s="2">
        <v>43983</v>
      </c>
      <c r="S496" s="1"/>
      <c r="W496" s="1" t="s">
        <v>38</v>
      </c>
      <c r="X496" s="2">
        <v>43990</v>
      </c>
      <c r="Y496" s="2">
        <v>43992</v>
      </c>
      <c r="Z496" s="2">
        <v>43991</v>
      </c>
      <c r="AA496" s="2">
        <v>43991</v>
      </c>
      <c r="AB496" s="2">
        <v>43983</v>
      </c>
      <c r="AC496" s="1"/>
      <c r="AD496">
        <v>8</v>
      </c>
      <c r="AE496">
        <v>241</v>
      </c>
      <c r="AG4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97" spans="1:33" x14ac:dyDescent="0.35">
      <c r="A497">
        <v>500</v>
      </c>
      <c r="B497" s="1"/>
      <c r="C497">
        <v>0</v>
      </c>
      <c r="D497" s="1"/>
      <c r="E497" s="1"/>
      <c r="F497" s="1" t="s">
        <v>30</v>
      </c>
      <c r="G497" s="1" t="s">
        <v>1848</v>
      </c>
      <c r="H497" s="1" t="s">
        <v>1849</v>
      </c>
      <c r="I497" s="1"/>
      <c r="J497" s="1" t="s">
        <v>1912</v>
      </c>
      <c r="K497" s="1"/>
      <c r="L497" s="1"/>
      <c r="M497" s="1" t="s">
        <v>34</v>
      </c>
      <c r="N497" s="1" t="s">
        <v>245</v>
      </c>
      <c r="O497" s="1" t="s">
        <v>147</v>
      </c>
      <c r="P497" s="1" t="s">
        <v>379</v>
      </c>
      <c r="Q497" s="1"/>
      <c r="R497" s="2">
        <v>43983</v>
      </c>
      <c r="S497" s="1"/>
      <c r="W497" s="1" t="s">
        <v>38</v>
      </c>
      <c r="X497" s="2">
        <v>43990</v>
      </c>
      <c r="Y497" s="2">
        <v>43991</v>
      </c>
      <c r="Z497" s="2">
        <v>43991</v>
      </c>
      <c r="AA497" s="2">
        <v>43985</v>
      </c>
      <c r="AB497" s="2">
        <v>43983</v>
      </c>
      <c r="AC497" s="1"/>
      <c r="AD497">
        <v>8</v>
      </c>
      <c r="AE497">
        <v>241</v>
      </c>
      <c r="AG4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98" spans="1:33" x14ac:dyDescent="0.35">
      <c r="A498">
        <v>501</v>
      </c>
      <c r="B498" s="1"/>
      <c r="C498">
        <v>0</v>
      </c>
      <c r="D498" s="1"/>
      <c r="E498" s="1"/>
      <c r="F498" s="1" t="s">
        <v>30</v>
      </c>
      <c r="G498" s="1" t="s">
        <v>1850</v>
      </c>
      <c r="H498" s="1" t="s">
        <v>1851</v>
      </c>
      <c r="I498" s="1"/>
      <c r="J498" s="1" t="s">
        <v>1852</v>
      </c>
      <c r="K498" s="1"/>
      <c r="L498" s="1"/>
      <c r="M498" s="1" t="s">
        <v>34</v>
      </c>
      <c r="N498" s="1" t="s">
        <v>245</v>
      </c>
      <c r="O498" s="1" t="s">
        <v>147</v>
      </c>
      <c r="P498" s="1" t="s">
        <v>63</v>
      </c>
      <c r="Q498" s="1"/>
      <c r="R498" s="2">
        <v>43983</v>
      </c>
      <c r="S498" s="1"/>
      <c r="W498" s="1" t="s">
        <v>38</v>
      </c>
      <c r="X498" s="2">
        <v>43990</v>
      </c>
      <c r="Y498" s="2">
        <v>43985</v>
      </c>
      <c r="Z498" s="2">
        <v>43984</v>
      </c>
      <c r="AA498" s="2">
        <v>43983</v>
      </c>
      <c r="AB498" s="2">
        <v>43983</v>
      </c>
      <c r="AC498" s="1"/>
      <c r="AD498">
        <v>1</v>
      </c>
      <c r="AE498">
        <v>241</v>
      </c>
      <c r="AG4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9" spans="1:33" x14ac:dyDescent="0.35">
      <c r="A499">
        <v>502</v>
      </c>
      <c r="B499" s="1"/>
      <c r="C499">
        <v>0</v>
      </c>
      <c r="D499" s="1"/>
      <c r="E499" s="1"/>
      <c r="F499" s="1" t="s">
        <v>30</v>
      </c>
      <c r="G499" s="1" t="s">
        <v>1853</v>
      </c>
      <c r="H499" s="1" t="s">
        <v>1854</v>
      </c>
      <c r="I499" s="1"/>
      <c r="J499" s="1" t="s">
        <v>1855</v>
      </c>
      <c r="K499" s="1"/>
      <c r="L499" s="1"/>
      <c r="M499" s="1" t="s">
        <v>197</v>
      </c>
      <c r="N499" s="1" t="s">
        <v>43</v>
      </c>
      <c r="O499" s="1" t="s">
        <v>44</v>
      </c>
      <c r="P499" s="1" t="s">
        <v>37</v>
      </c>
      <c r="Q499" s="1"/>
      <c r="R499" s="2">
        <v>43984</v>
      </c>
      <c r="S499" s="1"/>
      <c r="W499" s="1" t="s">
        <v>38</v>
      </c>
      <c r="X499" s="2">
        <v>43987</v>
      </c>
      <c r="Y499" s="2">
        <v>43985</v>
      </c>
      <c r="Z499" s="2">
        <v>43984</v>
      </c>
      <c r="AA499" s="2"/>
      <c r="AB499" s="2">
        <v>43984</v>
      </c>
      <c r="AC499" s="1"/>
      <c r="AD499">
        <v>0</v>
      </c>
      <c r="AE499">
        <v>240</v>
      </c>
      <c r="AG4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0" spans="1:33" x14ac:dyDescent="0.35">
      <c r="A500">
        <v>503</v>
      </c>
      <c r="B500" s="1"/>
      <c r="C500">
        <v>0</v>
      </c>
      <c r="D500" s="1"/>
      <c r="E500" s="1"/>
      <c r="F500" s="1" t="s">
        <v>30</v>
      </c>
      <c r="G500" s="1" t="s">
        <v>1856</v>
      </c>
      <c r="H500" s="1" t="s">
        <v>1857</v>
      </c>
      <c r="I500" s="1"/>
      <c r="J500" s="1" t="s">
        <v>2304</v>
      </c>
      <c r="K500" s="1"/>
      <c r="L500" s="1"/>
      <c r="M500" s="1" t="s">
        <v>197</v>
      </c>
      <c r="N500" s="1" t="s">
        <v>43</v>
      </c>
      <c r="O500" s="1" t="s">
        <v>44</v>
      </c>
      <c r="P500" s="1" t="s">
        <v>63</v>
      </c>
      <c r="Q500" s="1"/>
      <c r="R500" s="2">
        <v>43991</v>
      </c>
      <c r="S500" s="1"/>
      <c r="W500" s="1" t="s">
        <v>38</v>
      </c>
      <c r="X500" s="2">
        <v>43987</v>
      </c>
      <c r="Y500" s="2">
        <v>43998</v>
      </c>
      <c r="Z500" s="2">
        <v>43997</v>
      </c>
      <c r="AA500" s="2">
        <v>43985</v>
      </c>
      <c r="AB500" s="2">
        <v>43984</v>
      </c>
      <c r="AC500" s="1"/>
      <c r="AD500">
        <v>13</v>
      </c>
      <c r="AE500">
        <v>240</v>
      </c>
      <c r="AG5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01" spans="1:33" x14ac:dyDescent="0.35">
      <c r="A501">
        <v>504</v>
      </c>
      <c r="B501" s="1"/>
      <c r="C501">
        <v>0</v>
      </c>
      <c r="D501" s="1"/>
      <c r="E501" s="1" t="s">
        <v>1858</v>
      </c>
      <c r="F501" s="1" t="s">
        <v>30</v>
      </c>
      <c r="G501" s="1" t="s">
        <v>1859</v>
      </c>
      <c r="H501" s="1" t="s">
        <v>1860</v>
      </c>
      <c r="I501" s="1"/>
      <c r="J501" s="1" t="s">
        <v>1861</v>
      </c>
      <c r="K501" s="1"/>
      <c r="L501" s="1"/>
      <c r="M501" s="1" t="s">
        <v>34</v>
      </c>
      <c r="N501" s="1" t="s">
        <v>43</v>
      </c>
      <c r="O501" s="1" t="s">
        <v>44</v>
      </c>
      <c r="P501" s="1" t="s">
        <v>63</v>
      </c>
      <c r="Q501" s="1"/>
      <c r="R501" s="2">
        <v>43984</v>
      </c>
      <c r="S501" s="1"/>
      <c r="W501" s="1" t="s">
        <v>38</v>
      </c>
      <c r="X501" s="2">
        <v>43991</v>
      </c>
      <c r="Y501" s="2">
        <v>43984</v>
      </c>
      <c r="Z501" s="2">
        <v>43984</v>
      </c>
      <c r="AA501" s="2"/>
      <c r="AB501" s="2">
        <v>43984</v>
      </c>
      <c r="AC501" s="1"/>
      <c r="AD501">
        <v>0</v>
      </c>
      <c r="AE501">
        <v>240</v>
      </c>
      <c r="AG5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2" spans="1:33" x14ac:dyDescent="0.35">
      <c r="A502">
        <v>505</v>
      </c>
      <c r="B502" s="1"/>
      <c r="C502">
        <v>0</v>
      </c>
      <c r="D502" s="1"/>
      <c r="E502" s="1"/>
      <c r="F502" s="1" t="s">
        <v>30</v>
      </c>
      <c r="G502" s="1" t="s">
        <v>1862</v>
      </c>
      <c r="H502" s="1" t="s">
        <v>1863</v>
      </c>
      <c r="I502" s="1"/>
      <c r="J502" s="1" t="s">
        <v>1913</v>
      </c>
      <c r="K502" s="1"/>
      <c r="L502" s="1"/>
      <c r="M502" s="1" t="s">
        <v>34</v>
      </c>
      <c r="N502" s="1" t="s">
        <v>43</v>
      </c>
      <c r="O502" s="1" t="s">
        <v>44</v>
      </c>
      <c r="P502" s="1" t="s">
        <v>37</v>
      </c>
      <c r="Q502" s="1"/>
      <c r="R502" s="2">
        <v>43998</v>
      </c>
      <c r="S502" s="1"/>
      <c r="W502" s="1" t="s">
        <v>38</v>
      </c>
      <c r="X502" s="2">
        <v>43991</v>
      </c>
      <c r="Y502" s="2">
        <v>44026</v>
      </c>
      <c r="Z502" s="2">
        <v>43998</v>
      </c>
      <c r="AA502" s="2"/>
      <c r="AB502" s="2">
        <v>43984</v>
      </c>
      <c r="AC502" s="1"/>
      <c r="AD502">
        <v>14</v>
      </c>
      <c r="AE502">
        <v>240</v>
      </c>
      <c r="AG5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503" spans="1:33" x14ac:dyDescent="0.35">
      <c r="A503">
        <v>506</v>
      </c>
      <c r="B503" s="1"/>
      <c r="C503">
        <v>0</v>
      </c>
      <c r="D503" s="1"/>
      <c r="E503" s="1"/>
      <c r="F503" s="1" t="s">
        <v>30</v>
      </c>
      <c r="G503" s="1" t="s">
        <v>1864</v>
      </c>
      <c r="H503" s="1" t="s">
        <v>1865</v>
      </c>
      <c r="I503" s="1"/>
      <c r="J503" s="1" t="s">
        <v>1866</v>
      </c>
      <c r="K503" s="1"/>
      <c r="L503" s="1"/>
      <c r="M503" s="1" t="s">
        <v>34</v>
      </c>
      <c r="N503" s="1" t="s">
        <v>43</v>
      </c>
      <c r="O503" s="1" t="s">
        <v>44</v>
      </c>
      <c r="P503" s="1" t="s">
        <v>63</v>
      </c>
      <c r="Q503" s="1"/>
      <c r="R503" s="2">
        <v>43984</v>
      </c>
      <c r="S503" s="1"/>
      <c r="W503" s="1" t="s">
        <v>38</v>
      </c>
      <c r="X503" s="2">
        <v>43991</v>
      </c>
      <c r="Y503" s="2">
        <v>43985</v>
      </c>
      <c r="Z503" s="2">
        <v>43985</v>
      </c>
      <c r="AA503" s="2"/>
      <c r="AB503" s="2">
        <v>43984</v>
      </c>
      <c r="AC503" s="1"/>
      <c r="AD503">
        <v>1</v>
      </c>
      <c r="AE503">
        <v>240</v>
      </c>
      <c r="AG5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4" spans="1:33" x14ac:dyDescent="0.35">
      <c r="A504">
        <v>507</v>
      </c>
      <c r="B504" s="1"/>
      <c r="C504">
        <v>0</v>
      </c>
      <c r="D504" s="1"/>
      <c r="E504" s="1"/>
      <c r="F504" s="1" t="s">
        <v>30</v>
      </c>
      <c r="G504" s="1" t="s">
        <v>1867</v>
      </c>
      <c r="H504" s="1" t="s">
        <v>1868</v>
      </c>
      <c r="I504" s="1"/>
      <c r="J504" s="1" t="s">
        <v>1869</v>
      </c>
      <c r="K504" s="1"/>
      <c r="L504" s="1"/>
      <c r="M504" s="1" t="s">
        <v>34</v>
      </c>
      <c r="N504" s="1" t="s">
        <v>43</v>
      </c>
      <c r="O504" s="1" t="s">
        <v>44</v>
      </c>
      <c r="P504" s="1" t="s">
        <v>63</v>
      </c>
      <c r="Q504" s="1"/>
      <c r="R504" s="2">
        <v>43984</v>
      </c>
      <c r="S504" s="1"/>
      <c r="W504" s="1" t="s">
        <v>38</v>
      </c>
      <c r="X504" s="2">
        <v>43991</v>
      </c>
      <c r="Y504" s="2">
        <v>43990</v>
      </c>
      <c r="Z504" s="2">
        <v>43986</v>
      </c>
      <c r="AA504" s="2"/>
      <c r="AB504" s="2">
        <v>43984</v>
      </c>
      <c r="AC504" s="1"/>
      <c r="AD504">
        <v>2</v>
      </c>
      <c r="AE504">
        <v>240</v>
      </c>
      <c r="AG5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05" spans="1:33" x14ac:dyDescent="0.35">
      <c r="A505">
        <v>508</v>
      </c>
      <c r="B505" s="1"/>
      <c r="C505">
        <v>0</v>
      </c>
      <c r="D505" s="1"/>
      <c r="E505" s="1"/>
      <c r="F505" s="1" t="s">
        <v>30</v>
      </c>
      <c r="G505" s="1" t="s">
        <v>1870</v>
      </c>
      <c r="H505" s="1" t="s">
        <v>1871</v>
      </c>
      <c r="I505" s="1"/>
      <c r="J505" s="1" t="s">
        <v>1872</v>
      </c>
      <c r="K505" s="1"/>
      <c r="L505" s="1"/>
      <c r="M505" s="1" t="s">
        <v>34</v>
      </c>
      <c r="N505" s="1" t="s">
        <v>43</v>
      </c>
      <c r="O505" s="1" t="s">
        <v>44</v>
      </c>
      <c r="P505" s="1" t="s">
        <v>63</v>
      </c>
      <c r="Q505" s="1"/>
      <c r="R505" s="2">
        <v>43984</v>
      </c>
      <c r="S505" s="1"/>
      <c r="W505" s="1" t="s">
        <v>38</v>
      </c>
      <c r="X505" s="2">
        <v>43991</v>
      </c>
      <c r="Y505" s="2">
        <v>43985</v>
      </c>
      <c r="Z505" s="2">
        <v>43985</v>
      </c>
      <c r="AA505" s="2"/>
      <c r="AB505" s="2">
        <v>43984</v>
      </c>
      <c r="AC505" s="1"/>
      <c r="AD505">
        <v>1</v>
      </c>
      <c r="AE505">
        <v>240</v>
      </c>
      <c r="AG5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6" spans="1:33" x14ac:dyDescent="0.35">
      <c r="A506">
        <v>509</v>
      </c>
      <c r="B506" s="1"/>
      <c r="C506">
        <v>0</v>
      </c>
      <c r="D506" s="1"/>
      <c r="E506" s="1"/>
      <c r="F506" s="1" t="s">
        <v>30</v>
      </c>
      <c r="G506" s="1" t="s">
        <v>1873</v>
      </c>
      <c r="H506" s="1" t="s">
        <v>1874</v>
      </c>
      <c r="I506" s="1"/>
      <c r="J506" s="1" t="s">
        <v>1875</v>
      </c>
      <c r="K506" s="1"/>
      <c r="L506" s="1"/>
      <c r="M506" s="1" t="s">
        <v>34</v>
      </c>
      <c r="N506" s="1" t="s">
        <v>43</v>
      </c>
      <c r="O506" s="1" t="s">
        <v>44</v>
      </c>
      <c r="P506" s="1" t="s">
        <v>63</v>
      </c>
      <c r="Q506" s="1"/>
      <c r="R506" s="2">
        <v>43985</v>
      </c>
      <c r="S506" s="1"/>
      <c r="W506" s="1" t="s">
        <v>38</v>
      </c>
      <c r="X506" s="2">
        <v>43991</v>
      </c>
      <c r="Y506" s="2">
        <v>43985</v>
      </c>
      <c r="Z506" s="2">
        <v>43985</v>
      </c>
      <c r="AA506" s="2">
        <v>43985</v>
      </c>
      <c r="AB506" s="2">
        <v>43985</v>
      </c>
      <c r="AC506" s="1"/>
      <c r="AD506">
        <v>0</v>
      </c>
      <c r="AE506">
        <v>239</v>
      </c>
      <c r="AG5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7" spans="1:33" x14ac:dyDescent="0.35">
      <c r="A507">
        <v>510</v>
      </c>
      <c r="B507" s="1"/>
      <c r="C507">
        <v>0</v>
      </c>
      <c r="D507" s="1"/>
      <c r="E507" s="1"/>
      <c r="F507" s="1" t="s">
        <v>30</v>
      </c>
      <c r="G507" s="1" t="s">
        <v>1876</v>
      </c>
      <c r="H507" s="1" t="s">
        <v>1877</v>
      </c>
      <c r="I507" s="1"/>
      <c r="J507" s="1" t="s">
        <v>1878</v>
      </c>
      <c r="K507" s="1"/>
      <c r="L507" s="1"/>
      <c r="M507" s="1" t="s">
        <v>34</v>
      </c>
      <c r="N507" s="1" t="s">
        <v>245</v>
      </c>
      <c r="O507" s="1" t="s">
        <v>147</v>
      </c>
      <c r="P507" s="1" t="s">
        <v>63</v>
      </c>
      <c r="Q507" s="1"/>
      <c r="R507" s="2">
        <v>43985</v>
      </c>
      <c r="S507" s="1"/>
      <c r="W507" s="1" t="s">
        <v>38</v>
      </c>
      <c r="X507" s="2">
        <v>43992</v>
      </c>
      <c r="Y507" s="2">
        <v>43985</v>
      </c>
      <c r="Z507" s="2">
        <v>43985</v>
      </c>
      <c r="AA507" s="2">
        <v>43985</v>
      </c>
      <c r="AB507" s="2">
        <v>43985</v>
      </c>
      <c r="AC507" s="1"/>
      <c r="AD507">
        <v>0</v>
      </c>
      <c r="AE507">
        <v>239</v>
      </c>
      <c r="AG5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8" spans="1:33" x14ac:dyDescent="0.35">
      <c r="A508">
        <v>511</v>
      </c>
      <c r="B508" s="1"/>
      <c r="C508">
        <v>0</v>
      </c>
      <c r="D508" s="1"/>
      <c r="E508" s="1"/>
      <c r="F508" s="1" t="s">
        <v>30</v>
      </c>
      <c r="G508" s="1" t="s">
        <v>1879</v>
      </c>
      <c r="H508" s="1" t="s">
        <v>1880</v>
      </c>
      <c r="I508" s="1"/>
      <c r="J508" s="1" t="s">
        <v>1881</v>
      </c>
      <c r="K508" s="1"/>
      <c r="L508" s="1"/>
      <c r="M508" s="1" t="s">
        <v>34</v>
      </c>
      <c r="N508" s="1" t="s">
        <v>245</v>
      </c>
      <c r="O508" s="1" t="s">
        <v>147</v>
      </c>
      <c r="P508" s="1" t="s">
        <v>63</v>
      </c>
      <c r="Q508" s="1"/>
      <c r="R508" s="2">
        <v>43985</v>
      </c>
      <c r="S508" s="1"/>
      <c r="W508" s="1" t="s">
        <v>38</v>
      </c>
      <c r="X508" s="2">
        <v>43992</v>
      </c>
      <c r="Y508" s="2">
        <v>43991</v>
      </c>
      <c r="Z508" s="2">
        <v>43985</v>
      </c>
      <c r="AA508" s="2">
        <v>43985</v>
      </c>
      <c r="AB508" s="2">
        <v>43985</v>
      </c>
      <c r="AC508" s="1"/>
      <c r="AD508">
        <v>0</v>
      </c>
      <c r="AE508">
        <v>239</v>
      </c>
      <c r="AG5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9" spans="1:33" x14ac:dyDescent="0.35">
      <c r="A509">
        <v>512</v>
      </c>
      <c r="B509" s="1"/>
      <c r="C509">
        <v>0</v>
      </c>
      <c r="D509" s="1" t="s">
        <v>1882</v>
      </c>
      <c r="E509" s="1" t="s">
        <v>1883</v>
      </c>
      <c r="F509" s="1" t="s">
        <v>30</v>
      </c>
      <c r="G509" s="1" t="s">
        <v>1884</v>
      </c>
      <c r="H509" s="1" t="s">
        <v>1885</v>
      </c>
      <c r="I509" s="1"/>
      <c r="J509" s="1" t="s">
        <v>1886</v>
      </c>
      <c r="K509" s="1"/>
      <c r="L509" s="1"/>
      <c r="M509" s="1" t="s">
        <v>34</v>
      </c>
      <c r="N509" s="1" t="s">
        <v>378</v>
      </c>
      <c r="O509" s="1" t="s">
        <v>147</v>
      </c>
      <c r="P509" s="1" t="s">
        <v>379</v>
      </c>
      <c r="Q509" s="1"/>
      <c r="R509" s="2">
        <v>43985</v>
      </c>
      <c r="S509" s="1"/>
      <c r="W509" s="1" t="s">
        <v>38</v>
      </c>
      <c r="X509" s="2">
        <v>43992</v>
      </c>
      <c r="Y509" s="2">
        <v>43991</v>
      </c>
      <c r="Z509" s="2">
        <v>43986</v>
      </c>
      <c r="AA509" s="2">
        <v>43985</v>
      </c>
      <c r="AB509" s="2">
        <v>43985</v>
      </c>
      <c r="AC509" s="1"/>
      <c r="AD509">
        <v>1</v>
      </c>
      <c r="AE509">
        <v>239</v>
      </c>
      <c r="AG5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10" spans="1:33" x14ac:dyDescent="0.35">
      <c r="A510">
        <v>513</v>
      </c>
      <c r="B510" s="1"/>
      <c r="C510">
        <v>0</v>
      </c>
      <c r="D510" s="1"/>
      <c r="E510" s="1"/>
      <c r="F510" s="1" t="s">
        <v>30</v>
      </c>
      <c r="G510" s="1" t="s">
        <v>1887</v>
      </c>
      <c r="H510" s="1" t="s">
        <v>1888</v>
      </c>
      <c r="I510" s="1"/>
      <c r="J510" s="1" t="s">
        <v>1889</v>
      </c>
      <c r="K510" s="1"/>
      <c r="L510" s="1"/>
      <c r="M510" s="1" t="s">
        <v>197</v>
      </c>
      <c r="N510" s="1" t="s">
        <v>341</v>
      </c>
      <c r="O510" s="1" t="s">
        <v>62</v>
      </c>
      <c r="P510" s="1" t="s">
        <v>63</v>
      </c>
      <c r="Q510" s="1"/>
      <c r="R510" s="2">
        <v>43985</v>
      </c>
      <c r="S510" s="1"/>
      <c r="W510" s="1" t="s">
        <v>38</v>
      </c>
      <c r="X510" s="2">
        <v>43988</v>
      </c>
      <c r="Y510" s="2">
        <v>43985</v>
      </c>
      <c r="Z510" s="2">
        <v>43985</v>
      </c>
      <c r="AA510" s="2">
        <v>43985</v>
      </c>
      <c r="AB510" s="2">
        <v>43985</v>
      </c>
      <c r="AC510" s="1"/>
      <c r="AD510">
        <v>0</v>
      </c>
      <c r="AE510">
        <v>239</v>
      </c>
      <c r="AG5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11" spans="1:33" x14ac:dyDescent="0.35">
      <c r="A511">
        <v>514</v>
      </c>
      <c r="B511" s="1"/>
      <c r="C511">
        <v>0</v>
      </c>
      <c r="D511" s="1"/>
      <c r="E511" s="1"/>
      <c r="F511" s="1" t="s">
        <v>30</v>
      </c>
      <c r="G511" s="1" t="s">
        <v>1890</v>
      </c>
      <c r="H511" s="1" t="s">
        <v>1891</v>
      </c>
      <c r="I511" s="1"/>
      <c r="J511" s="1" t="s">
        <v>1914</v>
      </c>
      <c r="K511" s="1"/>
      <c r="L511" s="1"/>
      <c r="M511" s="1" t="s">
        <v>197</v>
      </c>
      <c r="N511" s="1" t="s">
        <v>43</v>
      </c>
      <c r="O511" s="1" t="s">
        <v>44</v>
      </c>
      <c r="P511" s="1" t="s">
        <v>63</v>
      </c>
      <c r="Q511" s="1"/>
      <c r="R511" s="2">
        <v>43985</v>
      </c>
      <c r="S511" s="1"/>
      <c r="W511" s="1" t="s">
        <v>38</v>
      </c>
      <c r="X511" s="2">
        <v>43989</v>
      </c>
      <c r="Y511" s="2">
        <v>44021</v>
      </c>
      <c r="Z511" s="2">
        <v>44021</v>
      </c>
      <c r="AA511" s="2"/>
      <c r="AB511" s="2">
        <v>43985</v>
      </c>
      <c r="AC511" s="1"/>
      <c r="AD511">
        <v>36</v>
      </c>
      <c r="AE511">
        <v>239</v>
      </c>
      <c r="AG5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512" spans="1:33" x14ac:dyDescent="0.35">
      <c r="A512">
        <v>515</v>
      </c>
      <c r="B512" s="1"/>
      <c r="C512">
        <v>0</v>
      </c>
      <c r="D512" s="1"/>
      <c r="E512" s="1"/>
      <c r="F512" s="1" t="s">
        <v>30</v>
      </c>
      <c r="G512" s="1" t="s">
        <v>1892</v>
      </c>
      <c r="H512" s="1" t="s">
        <v>1893</v>
      </c>
      <c r="I512" s="1"/>
      <c r="J512" s="1" t="s">
        <v>1915</v>
      </c>
      <c r="K512" s="1"/>
      <c r="L512" s="1"/>
      <c r="M512" s="1" t="s">
        <v>34</v>
      </c>
      <c r="N512" s="1" t="s">
        <v>43</v>
      </c>
      <c r="O512" s="1" t="s">
        <v>44</v>
      </c>
      <c r="P512" s="1" t="s">
        <v>37</v>
      </c>
      <c r="Q512" s="1"/>
      <c r="R512" s="2">
        <v>43986</v>
      </c>
      <c r="S512" s="1"/>
      <c r="W512" s="1" t="s">
        <v>38</v>
      </c>
      <c r="X512" s="2">
        <v>43992</v>
      </c>
      <c r="Y512" s="2">
        <v>43991</v>
      </c>
      <c r="Z512" s="2">
        <v>43991</v>
      </c>
      <c r="AA512" s="2"/>
      <c r="AB512" s="2">
        <v>43986</v>
      </c>
      <c r="AC512" s="1"/>
      <c r="AD512">
        <v>5</v>
      </c>
      <c r="AE512">
        <v>238</v>
      </c>
      <c r="AG5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13" spans="1:33" x14ac:dyDescent="0.35">
      <c r="A513">
        <v>516</v>
      </c>
      <c r="B513" s="1"/>
      <c r="C513">
        <v>0</v>
      </c>
      <c r="D513" s="1"/>
      <c r="E513" s="1"/>
      <c r="F513" s="1" t="s">
        <v>30</v>
      </c>
      <c r="G513" s="1" t="s">
        <v>1916</v>
      </c>
      <c r="H513" s="1" t="s">
        <v>1917</v>
      </c>
      <c r="I513" s="1"/>
      <c r="J513" s="1" t="s">
        <v>1918</v>
      </c>
      <c r="K513" s="1"/>
      <c r="L513" s="1"/>
      <c r="M513" s="1" t="s">
        <v>34</v>
      </c>
      <c r="N513" s="1" t="s">
        <v>245</v>
      </c>
      <c r="O513" s="1" t="s">
        <v>147</v>
      </c>
      <c r="P513" s="1" t="s">
        <v>379</v>
      </c>
      <c r="Q513" s="1"/>
      <c r="R513" s="2">
        <v>43987</v>
      </c>
      <c r="S513" s="1"/>
      <c r="W513" s="1" t="s">
        <v>38</v>
      </c>
      <c r="X513" s="2">
        <v>43994</v>
      </c>
      <c r="Y513" s="2">
        <v>44020</v>
      </c>
      <c r="Z513" s="2">
        <v>44007</v>
      </c>
      <c r="AA513" s="2">
        <v>43990</v>
      </c>
      <c r="AB513" s="2">
        <v>43987</v>
      </c>
      <c r="AC513" s="1"/>
      <c r="AD513">
        <v>20</v>
      </c>
      <c r="AE513">
        <v>237</v>
      </c>
      <c r="AG5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14" spans="1:33" x14ac:dyDescent="0.35">
      <c r="A514">
        <v>517</v>
      </c>
      <c r="B514" s="1"/>
      <c r="C514">
        <v>0</v>
      </c>
      <c r="D514" s="1"/>
      <c r="E514" s="1"/>
      <c r="F514" s="1" t="s">
        <v>30</v>
      </c>
      <c r="G514" s="1" t="s">
        <v>1919</v>
      </c>
      <c r="H514" s="1" t="s">
        <v>1920</v>
      </c>
      <c r="I514" s="1"/>
      <c r="J514" s="1" t="s">
        <v>2460</v>
      </c>
      <c r="K514" s="1"/>
      <c r="L514" s="1"/>
      <c r="M514" s="1" t="s">
        <v>34</v>
      </c>
      <c r="N514" s="1" t="s">
        <v>483</v>
      </c>
      <c r="O514" s="1" t="s">
        <v>484</v>
      </c>
      <c r="P514" s="1" t="s">
        <v>37</v>
      </c>
      <c r="Q514" s="1"/>
      <c r="R514" s="2">
        <v>43987</v>
      </c>
      <c r="S514" s="1"/>
      <c r="W514" s="1" t="s">
        <v>38</v>
      </c>
      <c r="X514" s="2">
        <v>43994</v>
      </c>
      <c r="Y514" s="2">
        <v>43991</v>
      </c>
      <c r="Z514" s="2">
        <v>43990</v>
      </c>
      <c r="AA514" s="2">
        <v>43990</v>
      </c>
      <c r="AB514" s="2">
        <v>43987</v>
      </c>
      <c r="AC514" s="1"/>
      <c r="AD514">
        <v>3</v>
      </c>
      <c r="AE514">
        <v>237</v>
      </c>
      <c r="AG5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15" spans="1:33" x14ac:dyDescent="0.35">
      <c r="A515">
        <v>518</v>
      </c>
      <c r="B515" s="1"/>
      <c r="C515">
        <v>0</v>
      </c>
      <c r="D515" s="1"/>
      <c r="E515" s="1"/>
      <c r="F515" s="1" t="s">
        <v>30</v>
      </c>
      <c r="G515" s="1" t="s">
        <v>1919</v>
      </c>
      <c r="H515" s="1" t="s">
        <v>1921</v>
      </c>
      <c r="I515" s="1"/>
      <c r="J515" s="1" t="s">
        <v>1922</v>
      </c>
      <c r="K515" s="1"/>
      <c r="L515" s="1"/>
      <c r="M515" s="1" t="s">
        <v>34</v>
      </c>
      <c r="N515" s="1" t="s">
        <v>483</v>
      </c>
      <c r="O515" s="1" t="s">
        <v>484</v>
      </c>
      <c r="P515" s="1" t="s">
        <v>37</v>
      </c>
      <c r="Q515" s="1"/>
      <c r="R515" s="2">
        <v>43987</v>
      </c>
      <c r="S515" s="1"/>
      <c r="W515" s="1" t="s">
        <v>38</v>
      </c>
      <c r="X515" s="2">
        <v>43994</v>
      </c>
      <c r="Y515" s="2">
        <v>44026</v>
      </c>
      <c r="Z515" s="2">
        <v>43991</v>
      </c>
      <c r="AA515" s="2">
        <v>43990</v>
      </c>
      <c r="AB515" s="2">
        <v>43987</v>
      </c>
      <c r="AC515" s="1"/>
      <c r="AD515">
        <v>4</v>
      </c>
      <c r="AE515">
        <v>237</v>
      </c>
      <c r="AG5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16" spans="1:33" x14ac:dyDescent="0.35">
      <c r="A516">
        <v>519</v>
      </c>
      <c r="B516" s="1"/>
      <c r="C516">
        <v>0</v>
      </c>
      <c r="D516" s="1"/>
      <c r="E516" s="1"/>
      <c r="F516" s="1" t="s">
        <v>30</v>
      </c>
      <c r="G516" s="1" t="s">
        <v>1923</v>
      </c>
      <c r="H516" s="1" t="s">
        <v>1924</v>
      </c>
      <c r="I516" s="1"/>
      <c r="J516" s="1" t="s">
        <v>2461</v>
      </c>
      <c r="K516" s="1"/>
      <c r="L516" s="1"/>
      <c r="M516" s="1" t="s">
        <v>197</v>
      </c>
      <c r="N516" s="1" t="s">
        <v>483</v>
      </c>
      <c r="O516" s="1" t="s">
        <v>484</v>
      </c>
      <c r="P516" s="1" t="s">
        <v>116</v>
      </c>
      <c r="Q516" s="1"/>
      <c r="R516" s="2">
        <v>44168</v>
      </c>
      <c r="S516" s="1"/>
      <c r="W516" s="1" t="s">
        <v>38</v>
      </c>
      <c r="X516" s="2">
        <v>44171</v>
      </c>
      <c r="Y516" s="2">
        <v>44175</v>
      </c>
      <c r="Z516" s="2">
        <v>44055</v>
      </c>
      <c r="AA516" s="2">
        <v>44055</v>
      </c>
      <c r="AB516" s="2">
        <v>43987</v>
      </c>
      <c r="AC516" s="1"/>
      <c r="AD516">
        <v>68</v>
      </c>
      <c r="AE516">
        <v>237</v>
      </c>
      <c r="AG5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68</v>
      </c>
    </row>
    <row r="517" spans="1:33" x14ac:dyDescent="0.35">
      <c r="A517">
        <v>520</v>
      </c>
      <c r="B517" s="1"/>
      <c r="C517">
        <v>0</v>
      </c>
      <c r="D517" s="1"/>
      <c r="E517" s="1"/>
      <c r="F517" s="1" t="s">
        <v>30</v>
      </c>
      <c r="G517" s="1" t="s">
        <v>1919</v>
      </c>
      <c r="H517" s="1" t="s">
        <v>1925</v>
      </c>
      <c r="I517" s="1"/>
      <c r="J517" s="1" t="s">
        <v>1926</v>
      </c>
      <c r="K517" s="1"/>
      <c r="L517" s="1"/>
      <c r="M517" s="1" t="s">
        <v>34</v>
      </c>
      <c r="N517" s="1" t="s">
        <v>483</v>
      </c>
      <c r="O517" s="1" t="s">
        <v>484</v>
      </c>
      <c r="P517" s="1" t="s">
        <v>164</v>
      </c>
      <c r="Q517" s="1"/>
      <c r="R517" s="2">
        <v>43987</v>
      </c>
      <c r="S517" s="1"/>
      <c r="W517" s="1" t="s">
        <v>38</v>
      </c>
      <c r="X517" s="2">
        <v>43994</v>
      </c>
      <c r="Y517" s="2">
        <v>44007</v>
      </c>
      <c r="Z517" s="2">
        <v>44007</v>
      </c>
      <c r="AA517" s="2"/>
      <c r="AB517" s="2">
        <v>43987</v>
      </c>
      <c r="AC517" s="1"/>
      <c r="AD517">
        <v>20</v>
      </c>
      <c r="AE517">
        <v>237</v>
      </c>
      <c r="AG5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18" spans="1:33" x14ac:dyDescent="0.35">
      <c r="A518">
        <v>521</v>
      </c>
      <c r="B518" s="1"/>
      <c r="C518">
        <v>0</v>
      </c>
      <c r="D518" s="1"/>
      <c r="E518" s="1"/>
      <c r="F518" s="1" t="s">
        <v>30</v>
      </c>
      <c r="G518" s="1" t="s">
        <v>1919</v>
      </c>
      <c r="H518" s="1" t="s">
        <v>1927</v>
      </c>
      <c r="I518" s="1"/>
      <c r="J518" s="1" t="s">
        <v>2188</v>
      </c>
      <c r="K518" s="1"/>
      <c r="L518" s="1"/>
      <c r="M518" s="1" t="s">
        <v>34</v>
      </c>
      <c r="N518" s="1" t="s">
        <v>483</v>
      </c>
      <c r="O518" s="1" t="s">
        <v>484</v>
      </c>
      <c r="P518" s="1" t="s">
        <v>37</v>
      </c>
      <c r="Q518" s="1"/>
      <c r="R518" s="2">
        <v>43987</v>
      </c>
      <c r="S518" s="1"/>
      <c r="W518" s="1" t="s">
        <v>38</v>
      </c>
      <c r="X518" s="2">
        <v>43994</v>
      </c>
      <c r="Y518" s="2">
        <v>44025</v>
      </c>
      <c r="Z518" s="2">
        <v>44022</v>
      </c>
      <c r="AA518" s="2">
        <v>43990</v>
      </c>
      <c r="AB518" s="2">
        <v>43987</v>
      </c>
      <c r="AC518" s="1"/>
      <c r="AD518">
        <v>35</v>
      </c>
      <c r="AE518">
        <v>237</v>
      </c>
      <c r="AG5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519" spans="1:33" x14ac:dyDescent="0.35">
      <c r="A519">
        <v>522</v>
      </c>
      <c r="B519" s="1"/>
      <c r="C519">
        <v>0</v>
      </c>
      <c r="D519" s="1" t="s">
        <v>206</v>
      </c>
      <c r="E519" s="1" t="s">
        <v>1928</v>
      </c>
      <c r="F519" s="1" t="s">
        <v>30</v>
      </c>
      <c r="G519" s="1" t="s">
        <v>1929</v>
      </c>
      <c r="H519" s="1" t="s">
        <v>1930</v>
      </c>
      <c r="I519" s="1" t="s">
        <v>1931</v>
      </c>
      <c r="J519" s="1" t="s">
        <v>597</v>
      </c>
      <c r="K519" s="1"/>
      <c r="L519" s="1"/>
      <c r="M519" s="1" t="s">
        <v>34</v>
      </c>
      <c r="N519" s="1" t="s">
        <v>97</v>
      </c>
      <c r="O519" s="1" t="s">
        <v>98</v>
      </c>
      <c r="P519" s="1" t="s">
        <v>37</v>
      </c>
      <c r="Q519" s="1"/>
      <c r="R519" s="2">
        <v>43987</v>
      </c>
      <c r="S519" s="1"/>
      <c r="W519" s="1" t="s">
        <v>38</v>
      </c>
      <c r="X519" s="2">
        <v>43994</v>
      </c>
      <c r="Y519" s="2">
        <v>44000</v>
      </c>
      <c r="Z519" s="2">
        <v>43999</v>
      </c>
      <c r="AA519" s="2">
        <v>43999</v>
      </c>
      <c r="AB519" s="2">
        <v>43987</v>
      </c>
      <c r="AC519" s="1"/>
      <c r="AD519">
        <v>12</v>
      </c>
      <c r="AE519">
        <v>237</v>
      </c>
      <c r="AG5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20" spans="1:33" x14ac:dyDescent="0.35">
      <c r="A520">
        <v>523</v>
      </c>
      <c r="B520" s="1"/>
      <c r="C520">
        <v>0</v>
      </c>
      <c r="D520" s="1"/>
      <c r="E520" s="1"/>
      <c r="F520" s="1" t="s">
        <v>30</v>
      </c>
      <c r="G520" s="1" t="s">
        <v>1919</v>
      </c>
      <c r="H520" s="1" t="s">
        <v>1932</v>
      </c>
      <c r="I520" s="1" t="s">
        <v>1933</v>
      </c>
      <c r="J520" s="1" t="s">
        <v>1934</v>
      </c>
      <c r="K520" s="1"/>
      <c r="L520" s="1"/>
      <c r="M520" s="1" t="s">
        <v>34</v>
      </c>
      <c r="N520" s="1" t="s">
        <v>483</v>
      </c>
      <c r="O520" s="1" t="s">
        <v>484</v>
      </c>
      <c r="P520" s="1" t="s">
        <v>37</v>
      </c>
      <c r="Q520" s="1"/>
      <c r="R520" s="2">
        <v>43987</v>
      </c>
      <c r="S520" s="1"/>
      <c r="W520" s="1" t="s">
        <v>38</v>
      </c>
      <c r="X520" s="2">
        <v>43994</v>
      </c>
      <c r="Y520" s="2">
        <v>44020</v>
      </c>
      <c r="Z520" s="2">
        <v>44019</v>
      </c>
      <c r="AA520" s="2">
        <v>43990</v>
      </c>
      <c r="AB520" s="2">
        <v>43987</v>
      </c>
      <c r="AC520" s="1"/>
      <c r="AD520">
        <v>32</v>
      </c>
      <c r="AE520">
        <v>237</v>
      </c>
      <c r="AG5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521" spans="1:33" x14ac:dyDescent="0.35">
      <c r="A521">
        <v>524</v>
      </c>
      <c r="B521" s="1"/>
      <c r="C521">
        <v>0</v>
      </c>
      <c r="D521" s="1" t="s">
        <v>206</v>
      </c>
      <c r="E521" s="1" t="s">
        <v>1935</v>
      </c>
      <c r="F521" s="1" t="s">
        <v>30</v>
      </c>
      <c r="G521" s="1" t="s">
        <v>1936</v>
      </c>
      <c r="H521" s="1" t="s">
        <v>1937</v>
      </c>
      <c r="I521" s="1" t="s">
        <v>1938</v>
      </c>
      <c r="J521" s="1" t="s">
        <v>2462</v>
      </c>
      <c r="K521" s="1"/>
      <c r="L521" s="1"/>
      <c r="M521" s="1" t="s">
        <v>197</v>
      </c>
      <c r="N521" s="1" t="s">
        <v>97</v>
      </c>
      <c r="O521" s="1" t="s">
        <v>98</v>
      </c>
      <c r="P521" s="1" t="s">
        <v>37</v>
      </c>
      <c r="Q521" s="1"/>
      <c r="R521" s="2">
        <v>44103</v>
      </c>
      <c r="S521" s="1"/>
      <c r="W521" s="1" t="s">
        <v>38</v>
      </c>
      <c r="X521" s="2">
        <v>44042</v>
      </c>
      <c r="Y521" s="2">
        <v>44112</v>
      </c>
      <c r="Z521" s="2">
        <v>44106</v>
      </c>
      <c r="AA521" s="2">
        <v>43990</v>
      </c>
      <c r="AB521" s="2">
        <v>43987</v>
      </c>
      <c r="AC521" s="1"/>
      <c r="AD521">
        <v>119</v>
      </c>
      <c r="AE521">
        <v>237</v>
      </c>
      <c r="AG5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119</v>
      </c>
    </row>
    <row r="522" spans="1:33" x14ac:dyDescent="0.35">
      <c r="A522">
        <v>525</v>
      </c>
      <c r="B522" s="1"/>
      <c r="C522">
        <v>0</v>
      </c>
      <c r="D522" s="1"/>
      <c r="E522" s="1"/>
      <c r="F522" s="1" t="s">
        <v>30</v>
      </c>
      <c r="G522" s="1" t="s">
        <v>1939</v>
      </c>
      <c r="H522" s="1" t="s">
        <v>1940</v>
      </c>
      <c r="I522" s="1" t="s">
        <v>1941</v>
      </c>
      <c r="J522" s="1" t="s">
        <v>1942</v>
      </c>
      <c r="K522" s="1"/>
      <c r="L522" s="1"/>
      <c r="M522" s="1" t="s">
        <v>34</v>
      </c>
      <c r="N522" s="1" t="s">
        <v>129</v>
      </c>
      <c r="O522" s="1" t="s">
        <v>44</v>
      </c>
      <c r="P522" s="1" t="s">
        <v>37</v>
      </c>
      <c r="Q522" s="1"/>
      <c r="R522" s="2">
        <v>43987</v>
      </c>
      <c r="S522" s="1"/>
      <c r="W522" s="1" t="s">
        <v>38</v>
      </c>
      <c r="X522" s="2">
        <v>43994</v>
      </c>
      <c r="Y522" s="2">
        <v>44007</v>
      </c>
      <c r="Z522" s="2">
        <v>43991</v>
      </c>
      <c r="AA522" s="2"/>
      <c r="AB522" s="2">
        <v>43987</v>
      </c>
      <c r="AC522" s="1"/>
      <c r="AD522">
        <v>4</v>
      </c>
      <c r="AE522">
        <v>237</v>
      </c>
      <c r="AG5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23" spans="1:33" x14ac:dyDescent="0.35">
      <c r="A523">
        <v>526</v>
      </c>
      <c r="B523" s="1"/>
      <c r="C523">
        <v>0</v>
      </c>
      <c r="D523" s="1"/>
      <c r="E523" s="1" t="s">
        <v>1943</v>
      </c>
      <c r="F523" s="1" t="s">
        <v>30</v>
      </c>
      <c r="G523" s="1" t="s">
        <v>1944</v>
      </c>
      <c r="H523" s="1" t="s">
        <v>1945</v>
      </c>
      <c r="I523" s="1"/>
      <c r="J523" s="1" t="s">
        <v>1946</v>
      </c>
      <c r="K523" s="1"/>
      <c r="L523" s="1"/>
      <c r="M523" s="1" t="s">
        <v>34</v>
      </c>
      <c r="N523" s="1" t="s">
        <v>437</v>
      </c>
      <c r="O523" s="1" t="s">
        <v>44</v>
      </c>
      <c r="P523" s="1" t="s">
        <v>278</v>
      </c>
      <c r="Q523" s="1"/>
      <c r="R523" s="2">
        <v>44096</v>
      </c>
      <c r="S523" s="1"/>
      <c r="W523" s="1" t="s">
        <v>38</v>
      </c>
      <c r="X523" s="2">
        <v>43997</v>
      </c>
      <c r="Y523" s="2">
        <v>44154</v>
      </c>
      <c r="Z523" s="2">
        <v>44007</v>
      </c>
      <c r="AA523" s="2"/>
      <c r="AB523" s="2">
        <v>43990</v>
      </c>
      <c r="AC523" s="1"/>
      <c r="AD523">
        <v>17</v>
      </c>
      <c r="AE523">
        <v>234</v>
      </c>
      <c r="AG5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24" spans="1:33" x14ac:dyDescent="0.35">
      <c r="A524">
        <v>528</v>
      </c>
      <c r="B524" s="1"/>
      <c r="C524">
        <v>0</v>
      </c>
      <c r="D524" s="1"/>
      <c r="E524" s="1" t="s">
        <v>1947</v>
      </c>
      <c r="F524" s="1" t="s">
        <v>30</v>
      </c>
      <c r="G524" s="1" t="s">
        <v>1948</v>
      </c>
      <c r="H524" s="1" t="s">
        <v>1949</v>
      </c>
      <c r="I524" s="1"/>
      <c r="J524" s="1" t="s">
        <v>1950</v>
      </c>
      <c r="K524" s="1"/>
      <c r="L524" s="1"/>
      <c r="M524" s="1" t="s">
        <v>197</v>
      </c>
      <c r="N524" s="1" t="s">
        <v>437</v>
      </c>
      <c r="O524" s="1" t="s">
        <v>44</v>
      </c>
      <c r="P524" s="1" t="s">
        <v>278</v>
      </c>
      <c r="Q524" s="1"/>
      <c r="R524" s="2">
        <v>44112</v>
      </c>
      <c r="S524" s="1"/>
      <c r="W524" s="1" t="s">
        <v>38</v>
      </c>
      <c r="X524" s="2">
        <v>44115</v>
      </c>
      <c r="Y524" s="2">
        <v>44133</v>
      </c>
      <c r="Z524" s="2">
        <v>44007</v>
      </c>
      <c r="AA524" s="2"/>
      <c r="AB524" s="2">
        <v>43990</v>
      </c>
      <c r="AC524" s="1"/>
      <c r="AD524">
        <v>17</v>
      </c>
      <c r="AE524">
        <v>234</v>
      </c>
      <c r="AG5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25" spans="1:33" x14ac:dyDescent="0.35">
      <c r="A525">
        <v>529</v>
      </c>
      <c r="B525" s="1"/>
      <c r="C525">
        <v>0</v>
      </c>
      <c r="D525" s="1"/>
      <c r="E525" s="1"/>
      <c r="F525" s="1" t="s">
        <v>30</v>
      </c>
      <c r="G525" s="1" t="s">
        <v>1951</v>
      </c>
      <c r="H525" s="1" t="s">
        <v>1952</v>
      </c>
      <c r="I525" s="1"/>
      <c r="J525" s="1" t="s">
        <v>1161</v>
      </c>
      <c r="K525" s="1"/>
      <c r="L525" s="1"/>
      <c r="M525" s="1" t="s">
        <v>197</v>
      </c>
      <c r="N525" s="1" t="s">
        <v>43</v>
      </c>
      <c r="O525" s="1" t="s">
        <v>44</v>
      </c>
      <c r="P525" s="1" t="s">
        <v>63</v>
      </c>
      <c r="Q525" s="1"/>
      <c r="R525" s="2">
        <v>43990</v>
      </c>
      <c r="S525" s="1"/>
      <c r="W525" s="1" t="s">
        <v>38</v>
      </c>
      <c r="X525" s="2">
        <v>43993</v>
      </c>
      <c r="Y525" s="2">
        <v>43990</v>
      </c>
      <c r="Z525" s="2">
        <v>43990</v>
      </c>
      <c r="AA525" s="2"/>
      <c r="AB525" s="2">
        <v>43990</v>
      </c>
      <c r="AC525" s="1"/>
      <c r="AD525">
        <v>0</v>
      </c>
      <c r="AE525">
        <v>234</v>
      </c>
      <c r="AG5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6" spans="1:33" x14ac:dyDescent="0.35">
      <c r="A526">
        <v>530</v>
      </c>
      <c r="B526" s="1"/>
      <c r="C526">
        <v>0</v>
      </c>
      <c r="D526" s="1"/>
      <c r="E526" s="1"/>
      <c r="F526" s="1" t="s">
        <v>30</v>
      </c>
      <c r="G526" s="1" t="s">
        <v>1953</v>
      </c>
      <c r="H526" s="1" t="s">
        <v>1954</v>
      </c>
      <c r="I526" s="1"/>
      <c r="J526" s="1" t="s">
        <v>1955</v>
      </c>
      <c r="K526" s="1"/>
      <c r="L526" s="1"/>
      <c r="M526" s="1" t="s">
        <v>197</v>
      </c>
      <c r="N526" s="1" t="s">
        <v>43</v>
      </c>
      <c r="O526" s="1" t="s">
        <v>44</v>
      </c>
      <c r="P526" s="1" t="s">
        <v>37</v>
      </c>
      <c r="Q526" s="1"/>
      <c r="R526" s="2">
        <v>43990</v>
      </c>
      <c r="S526" s="1"/>
      <c r="W526" s="1" t="s">
        <v>38</v>
      </c>
      <c r="X526" s="2">
        <v>43993</v>
      </c>
      <c r="Y526" s="2">
        <v>43991</v>
      </c>
      <c r="Z526" s="2">
        <v>43991</v>
      </c>
      <c r="AA526" s="2"/>
      <c r="AB526" s="2">
        <v>43990</v>
      </c>
      <c r="AC526" s="1"/>
      <c r="AD526">
        <v>1</v>
      </c>
      <c r="AE526">
        <v>234</v>
      </c>
      <c r="AG5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7" spans="1:33" x14ac:dyDescent="0.35">
      <c r="A527">
        <v>531</v>
      </c>
      <c r="B527" s="1"/>
      <c r="C527">
        <v>0</v>
      </c>
      <c r="D527" s="1"/>
      <c r="E527" s="1"/>
      <c r="F527" s="1" t="s">
        <v>30</v>
      </c>
      <c r="G527" s="1" t="s">
        <v>1956</v>
      </c>
      <c r="H527" s="1" t="s">
        <v>1957</v>
      </c>
      <c r="I527" s="1"/>
      <c r="J527" s="1" t="s">
        <v>1958</v>
      </c>
      <c r="K527" s="1"/>
      <c r="L527" s="1"/>
      <c r="M527" s="1" t="s">
        <v>34</v>
      </c>
      <c r="N527" s="1" t="s">
        <v>43</v>
      </c>
      <c r="O527" s="1" t="s">
        <v>44</v>
      </c>
      <c r="P527" s="1" t="s">
        <v>63</v>
      </c>
      <c r="Q527" s="1"/>
      <c r="R527" s="2">
        <v>43990</v>
      </c>
      <c r="S527" s="1"/>
      <c r="W527" s="1" t="s">
        <v>38</v>
      </c>
      <c r="X527" s="2">
        <v>43997</v>
      </c>
      <c r="Y527" s="2">
        <v>43990</v>
      </c>
      <c r="Z527" s="2">
        <v>43990</v>
      </c>
      <c r="AA527" s="2"/>
      <c r="AB527" s="2">
        <v>43990</v>
      </c>
      <c r="AC527" s="1"/>
      <c r="AD527">
        <v>0</v>
      </c>
      <c r="AE527">
        <v>234</v>
      </c>
      <c r="AG5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8" spans="1:33" x14ac:dyDescent="0.35">
      <c r="A528">
        <v>532</v>
      </c>
      <c r="B528" s="1"/>
      <c r="C528">
        <v>0</v>
      </c>
      <c r="D528" s="1" t="s">
        <v>206</v>
      </c>
      <c r="E528" s="1" t="s">
        <v>380</v>
      </c>
      <c r="F528" s="1" t="s">
        <v>30</v>
      </c>
      <c r="G528" s="1" t="s">
        <v>1959</v>
      </c>
      <c r="H528" s="1" t="s">
        <v>1960</v>
      </c>
      <c r="I528" s="1" t="s">
        <v>1961</v>
      </c>
      <c r="J528" s="1" t="s">
        <v>1962</v>
      </c>
      <c r="K528" s="1"/>
      <c r="L528" s="1"/>
      <c r="M528" s="1" t="s">
        <v>34</v>
      </c>
      <c r="N528" s="1" t="s">
        <v>97</v>
      </c>
      <c r="O528" s="1" t="s">
        <v>98</v>
      </c>
      <c r="P528" s="1" t="s">
        <v>99</v>
      </c>
      <c r="Q528" s="1"/>
      <c r="R528" s="2">
        <v>43990</v>
      </c>
      <c r="S528" s="1"/>
      <c r="W528" s="1" t="s">
        <v>38</v>
      </c>
      <c r="X528" s="2">
        <v>43997</v>
      </c>
      <c r="Y528" s="2">
        <v>43993</v>
      </c>
      <c r="Z528" s="2">
        <v>43992</v>
      </c>
      <c r="AA528" s="2">
        <v>43990</v>
      </c>
      <c r="AB528" s="2">
        <v>43990</v>
      </c>
      <c r="AC528" s="1"/>
      <c r="AD528">
        <v>2</v>
      </c>
      <c r="AE528">
        <v>234</v>
      </c>
      <c r="AG5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29" spans="1:33" x14ac:dyDescent="0.35">
      <c r="A529">
        <v>533</v>
      </c>
      <c r="B529" s="1"/>
      <c r="C529">
        <v>0</v>
      </c>
      <c r="D529" s="1"/>
      <c r="E529" s="1"/>
      <c r="F529" s="1" t="s">
        <v>30</v>
      </c>
      <c r="G529" s="1" t="s">
        <v>1963</v>
      </c>
      <c r="H529" s="1" t="s">
        <v>1964</v>
      </c>
      <c r="I529" s="1"/>
      <c r="J529" s="1" t="s">
        <v>1965</v>
      </c>
      <c r="K529" s="1"/>
      <c r="L529" s="1"/>
      <c r="M529" s="1" t="s">
        <v>34</v>
      </c>
      <c r="N529" s="1" t="s">
        <v>43</v>
      </c>
      <c r="O529" s="1" t="s">
        <v>44</v>
      </c>
      <c r="P529" s="1" t="s">
        <v>37</v>
      </c>
      <c r="Q529" s="1"/>
      <c r="R529" s="2">
        <v>43990</v>
      </c>
      <c r="S529" s="1"/>
      <c r="W529" s="1" t="s">
        <v>38</v>
      </c>
      <c r="X529" s="2">
        <v>43997</v>
      </c>
      <c r="Y529" s="2">
        <v>43998</v>
      </c>
      <c r="Z529" s="2">
        <v>43993</v>
      </c>
      <c r="AA529" s="2"/>
      <c r="AB529" s="2">
        <v>43990</v>
      </c>
      <c r="AC529" s="1"/>
      <c r="AD529">
        <v>3</v>
      </c>
      <c r="AE529">
        <v>234</v>
      </c>
      <c r="AG5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30" spans="1:33" x14ac:dyDescent="0.35">
      <c r="A530">
        <v>534</v>
      </c>
      <c r="B530" s="1"/>
      <c r="C530">
        <v>0</v>
      </c>
      <c r="D530" s="1" t="s">
        <v>206</v>
      </c>
      <c r="E530" s="1" t="s">
        <v>1966</v>
      </c>
      <c r="F530" s="1" t="s">
        <v>30</v>
      </c>
      <c r="G530" s="1" t="s">
        <v>1967</v>
      </c>
      <c r="H530" s="1" t="s">
        <v>1968</v>
      </c>
      <c r="I530" s="1" t="s">
        <v>1969</v>
      </c>
      <c r="J530" s="1" t="s">
        <v>1970</v>
      </c>
      <c r="K530" s="1"/>
      <c r="L530" s="1"/>
      <c r="M530" s="1" t="s">
        <v>34</v>
      </c>
      <c r="N530" s="1" t="s">
        <v>97</v>
      </c>
      <c r="O530" s="1" t="s">
        <v>98</v>
      </c>
      <c r="P530" s="1" t="s">
        <v>99</v>
      </c>
      <c r="Q530" s="1"/>
      <c r="R530" s="2">
        <v>43990</v>
      </c>
      <c r="S530" s="1"/>
      <c r="W530" s="1" t="s">
        <v>38</v>
      </c>
      <c r="X530" s="2">
        <v>43997</v>
      </c>
      <c r="Y530" s="2">
        <v>43991</v>
      </c>
      <c r="Z530" s="2">
        <v>43991</v>
      </c>
      <c r="AA530" s="2">
        <v>43991</v>
      </c>
      <c r="AB530" s="2">
        <v>43990</v>
      </c>
      <c r="AC530" s="1"/>
      <c r="AD530">
        <v>1</v>
      </c>
      <c r="AE530">
        <v>234</v>
      </c>
      <c r="AG5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1" spans="1:33" x14ac:dyDescent="0.35">
      <c r="A531">
        <v>535</v>
      </c>
      <c r="B531" s="1"/>
      <c r="C531">
        <v>0</v>
      </c>
      <c r="D531" s="1"/>
      <c r="E531" s="1"/>
      <c r="F531" s="1" t="s">
        <v>30</v>
      </c>
      <c r="G531" s="1" t="s">
        <v>1971</v>
      </c>
      <c r="H531" s="1" t="s">
        <v>1972</v>
      </c>
      <c r="I531" s="1"/>
      <c r="J531" s="1" t="s">
        <v>1973</v>
      </c>
      <c r="K531" s="1"/>
      <c r="L531" s="1"/>
      <c r="M531" s="1" t="s">
        <v>34</v>
      </c>
      <c r="N531" s="1" t="s">
        <v>43</v>
      </c>
      <c r="O531" s="1" t="s">
        <v>44</v>
      </c>
      <c r="P531" s="1" t="s">
        <v>99</v>
      </c>
      <c r="Q531" s="1"/>
      <c r="R531" s="2">
        <v>43991</v>
      </c>
      <c r="S531" s="1"/>
      <c r="W531" s="1" t="s">
        <v>38</v>
      </c>
      <c r="X531" s="2">
        <v>43997</v>
      </c>
      <c r="Y531" s="2">
        <v>44020</v>
      </c>
      <c r="Z531" s="2">
        <v>44014</v>
      </c>
      <c r="AA531" s="2"/>
      <c r="AB531" s="2">
        <v>43991</v>
      </c>
      <c r="AC531" s="1"/>
      <c r="AD531">
        <v>23</v>
      </c>
      <c r="AE531">
        <v>233</v>
      </c>
      <c r="AG5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532" spans="1:33" x14ac:dyDescent="0.35">
      <c r="A532">
        <v>536</v>
      </c>
      <c r="B532" s="1"/>
      <c r="C532">
        <v>0</v>
      </c>
      <c r="D532" s="1"/>
      <c r="E532" s="1"/>
      <c r="F532" s="1" t="s">
        <v>30</v>
      </c>
      <c r="G532" s="1" t="s">
        <v>1974</v>
      </c>
      <c r="H532" s="1" t="s">
        <v>1975</v>
      </c>
      <c r="I532" s="1"/>
      <c r="J532" s="1" t="s">
        <v>1976</v>
      </c>
      <c r="K532" s="1"/>
      <c r="L532" s="1"/>
      <c r="M532" s="1" t="s">
        <v>34</v>
      </c>
      <c r="N532" s="1" t="s">
        <v>43</v>
      </c>
      <c r="O532" s="1" t="s">
        <v>44</v>
      </c>
      <c r="P532" s="1" t="s">
        <v>37</v>
      </c>
      <c r="Q532" s="1"/>
      <c r="R532" s="2">
        <v>43991</v>
      </c>
      <c r="S532" s="1"/>
      <c r="W532" s="1" t="s">
        <v>38</v>
      </c>
      <c r="X532" s="2">
        <v>43998</v>
      </c>
      <c r="Y532" s="2">
        <v>43991</v>
      </c>
      <c r="Z532" s="2">
        <v>43991</v>
      </c>
      <c r="AA532" s="2"/>
      <c r="AB532" s="2">
        <v>43991</v>
      </c>
      <c r="AC532" s="1"/>
      <c r="AD532">
        <v>0</v>
      </c>
      <c r="AE532">
        <v>233</v>
      </c>
      <c r="AG5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3" spans="1:33" x14ac:dyDescent="0.35">
      <c r="A533">
        <v>537</v>
      </c>
      <c r="B533" s="1"/>
      <c r="C533">
        <v>0</v>
      </c>
      <c r="D533" s="1"/>
      <c r="E533" s="1"/>
      <c r="F533" s="1" t="s">
        <v>30</v>
      </c>
      <c r="G533" s="1" t="s">
        <v>1977</v>
      </c>
      <c r="H533" s="1" t="s">
        <v>1978</v>
      </c>
      <c r="I533" s="1"/>
      <c r="J533" s="1" t="s">
        <v>1979</v>
      </c>
      <c r="K533" s="1"/>
      <c r="L533" s="1"/>
      <c r="M533" s="1" t="s">
        <v>34</v>
      </c>
      <c r="N533" s="1" t="s">
        <v>43</v>
      </c>
      <c r="O533" s="1" t="s">
        <v>44</v>
      </c>
      <c r="P533" s="1" t="s">
        <v>63</v>
      </c>
      <c r="Q533" s="1"/>
      <c r="R533" s="2">
        <v>43991</v>
      </c>
      <c r="S533" s="1"/>
      <c r="W533" s="1" t="s">
        <v>38</v>
      </c>
      <c r="X533" s="2">
        <v>43998</v>
      </c>
      <c r="Y533" s="2">
        <v>43993</v>
      </c>
      <c r="Z533" s="2">
        <v>43992</v>
      </c>
      <c r="AA533" s="2">
        <v>43992</v>
      </c>
      <c r="AB533" s="2">
        <v>43991</v>
      </c>
      <c r="AC533" s="1"/>
      <c r="AD533">
        <v>1</v>
      </c>
      <c r="AE533">
        <v>233</v>
      </c>
      <c r="AG5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4" spans="1:33" x14ac:dyDescent="0.35">
      <c r="A534">
        <v>538</v>
      </c>
      <c r="B534" s="1"/>
      <c r="C534">
        <v>0</v>
      </c>
      <c r="D534" s="1"/>
      <c r="E534" s="1"/>
      <c r="F534" s="1" t="s">
        <v>30</v>
      </c>
      <c r="G534" s="1" t="s">
        <v>1980</v>
      </c>
      <c r="H534" s="1" t="s">
        <v>1981</v>
      </c>
      <c r="I534" s="1"/>
      <c r="J534" s="1" t="s">
        <v>1982</v>
      </c>
      <c r="K534" s="1"/>
      <c r="L534" s="1"/>
      <c r="M534" s="1" t="s">
        <v>197</v>
      </c>
      <c r="N534" s="1" t="s">
        <v>43</v>
      </c>
      <c r="O534" s="1" t="s">
        <v>44</v>
      </c>
      <c r="P534" s="1" t="s">
        <v>63</v>
      </c>
      <c r="Q534" s="1"/>
      <c r="R534" s="2">
        <v>43992</v>
      </c>
      <c r="S534" s="1"/>
      <c r="W534" s="1" t="s">
        <v>38</v>
      </c>
      <c r="X534" s="2">
        <v>43994</v>
      </c>
      <c r="Y534" s="2">
        <v>43993</v>
      </c>
      <c r="Z534" s="2">
        <v>43992</v>
      </c>
      <c r="AA534" s="2"/>
      <c r="AB534" s="2">
        <v>43992</v>
      </c>
      <c r="AC534" s="1"/>
      <c r="AD534">
        <v>0</v>
      </c>
      <c r="AE534">
        <v>232</v>
      </c>
      <c r="AG5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5" spans="1:33" x14ac:dyDescent="0.35">
      <c r="A535">
        <v>539</v>
      </c>
      <c r="B535" s="1"/>
      <c r="C535">
        <v>0</v>
      </c>
      <c r="D535" s="1"/>
      <c r="E535" s="1" t="s">
        <v>329</v>
      </c>
      <c r="F535" s="1" t="s">
        <v>30</v>
      </c>
      <c r="G535" s="1" t="s">
        <v>1983</v>
      </c>
      <c r="H535" s="1" t="s">
        <v>1984</v>
      </c>
      <c r="I535" s="1"/>
      <c r="J535" s="1" t="s">
        <v>1985</v>
      </c>
      <c r="K535" s="1"/>
      <c r="L535" s="1"/>
      <c r="M535" s="1" t="s">
        <v>34</v>
      </c>
      <c r="N535" s="1" t="s">
        <v>326</v>
      </c>
      <c r="O535" s="1" t="s">
        <v>327</v>
      </c>
      <c r="P535" s="1" t="s">
        <v>37</v>
      </c>
      <c r="Q535" s="1"/>
      <c r="R535" s="2">
        <v>43992</v>
      </c>
      <c r="S535" s="1"/>
      <c r="W535" s="1" t="s">
        <v>38</v>
      </c>
      <c r="X535" s="2">
        <v>43999</v>
      </c>
      <c r="Y535" s="2">
        <v>44006</v>
      </c>
      <c r="Z535" s="2">
        <v>44004</v>
      </c>
      <c r="AA535" s="2"/>
      <c r="AB535" s="2">
        <v>43992</v>
      </c>
      <c r="AC535" s="1"/>
      <c r="AD535">
        <v>12</v>
      </c>
      <c r="AE535">
        <v>232</v>
      </c>
      <c r="AG5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36" spans="1:33" x14ac:dyDescent="0.35">
      <c r="A536">
        <v>540</v>
      </c>
      <c r="B536" s="1"/>
      <c r="C536">
        <v>0</v>
      </c>
      <c r="D536" s="1"/>
      <c r="E536" s="1" t="s">
        <v>1986</v>
      </c>
      <c r="F536" s="1" t="s">
        <v>30</v>
      </c>
      <c r="G536" s="1" t="s">
        <v>1987</v>
      </c>
      <c r="H536" s="1" t="s">
        <v>1988</v>
      </c>
      <c r="I536" s="1" t="s">
        <v>1989</v>
      </c>
      <c r="J536" s="1" t="s">
        <v>2189</v>
      </c>
      <c r="K536" s="1"/>
      <c r="L536" s="1"/>
      <c r="M536" s="1" t="s">
        <v>34</v>
      </c>
      <c r="N536" s="1" t="s">
        <v>326</v>
      </c>
      <c r="O536" s="1" t="s">
        <v>327</v>
      </c>
      <c r="P536" s="1" t="s">
        <v>245</v>
      </c>
      <c r="Q536" s="1" t="s">
        <v>147</v>
      </c>
      <c r="R536" s="2">
        <v>43992</v>
      </c>
      <c r="S536" s="1"/>
      <c r="W536" s="1" t="s">
        <v>38</v>
      </c>
      <c r="X536" s="2">
        <v>43999</v>
      </c>
      <c r="Y536" s="2">
        <v>44055</v>
      </c>
      <c r="Z536" s="2">
        <v>44040</v>
      </c>
      <c r="AA536" s="2">
        <v>44021</v>
      </c>
      <c r="AB536" s="2">
        <v>43992</v>
      </c>
      <c r="AC536" s="1"/>
      <c r="AD536">
        <v>48</v>
      </c>
      <c r="AE536">
        <v>232</v>
      </c>
      <c r="AG5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537" spans="1:33" x14ac:dyDescent="0.35">
      <c r="A537">
        <v>541</v>
      </c>
      <c r="B537" s="1"/>
      <c r="C537">
        <v>0</v>
      </c>
      <c r="D537" s="1"/>
      <c r="E537" s="1"/>
      <c r="F537" s="1" t="s">
        <v>30</v>
      </c>
      <c r="G537" s="1" t="s">
        <v>1990</v>
      </c>
      <c r="H537" s="1" t="s">
        <v>1991</v>
      </c>
      <c r="I537" s="1"/>
      <c r="J537" s="1" t="s">
        <v>1992</v>
      </c>
      <c r="K537" s="1"/>
      <c r="L537" s="1"/>
      <c r="M537" s="1" t="s">
        <v>34</v>
      </c>
      <c r="N537" s="1" t="s">
        <v>245</v>
      </c>
      <c r="O537" s="1" t="s">
        <v>147</v>
      </c>
      <c r="P537" s="1" t="s">
        <v>379</v>
      </c>
      <c r="Q537" s="1"/>
      <c r="R537" s="2">
        <v>43992</v>
      </c>
      <c r="S537" s="1"/>
      <c r="W537" s="1" t="s">
        <v>38</v>
      </c>
      <c r="X537" s="2">
        <v>43999</v>
      </c>
      <c r="Y537" s="2">
        <v>43998</v>
      </c>
      <c r="Z537" s="2">
        <v>43993</v>
      </c>
      <c r="AA537" s="2">
        <v>43993</v>
      </c>
      <c r="AB537" s="2">
        <v>43992</v>
      </c>
      <c r="AC537" s="1"/>
      <c r="AD537">
        <v>1</v>
      </c>
      <c r="AE537">
        <v>232</v>
      </c>
      <c r="AG5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8" spans="1:33" x14ac:dyDescent="0.35">
      <c r="A538">
        <v>542</v>
      </c>
      <c r="B538" s="1"/>
      <c r="C538">
        <v>0</v>
      </c>
      <c r="D538" s="1"/>
      <c r="E538" s="1"/>
      <c r="F538" s="1" t="s">
        <v>30</v>
      </c>
      <c r="G538" s="1" t="s">
        <v>1993</v>
      </c>
      <c r="H538" s="1" t="s">
        <v>1994</v>
      </c>
      <c r="I538" s="1"/>
      <c r="J538" s="1" t="s">
        <v>1995</v>
      </c>
      <c r="K538" s="1"/>
      <c r="L538" s="1"/>
      <c r="M538" s="1" t="s">
        <v>197</v>
      </c>
      <c r="N538" s="1" t="s">
        <v>245</v>
      </c>
      <c r="O538" s="1" t="s">
        <v>147</v>
      </c>
      <c r="P538" s="1" t="s">
        <v>379</v>
      </c>
      <c r="Q538" s="1"/>
      <c r="R538" s="2">
        <v>43993</v>
      </c>
      <c r="S538" s="1"/>
      <c r="W538" s="1" t="s">
        <v>38</v>
      </c>
      <c r="X538" s="2">
        <v>44017</v>
      </c>
      <c r="Y538" s="2">
        <v>44020</v>
      </c>
      <c r="Z538" s="2">
        <v>44007</v>
      </c>
      <c r="AA538" s="2">
        <v>43997</v>
      </c>
      <c r="AB538" s="2">
        <v>43993</v>
      </c>
      <c r="AC538" s="1"/>
      <c r="AD538">
        <v>14</v>
      </c>
      <c r="AE538">
        <v>231</v>
      </c>
      <c r="AG5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539" spans="1:33" x14ac:dyDescent="0.35">
      <c r="A539">
        <v>543</v>
      </c>
      <c r="B539" s="1"/>
      <c r="C539">
        <v>0</v>
      </c>
      <c r="D539" s="1"/>
      <c r="E539" s="1"/>
      <c r="F539" s="1" t="s">
        <v>30</v>
      </c>
      <c r="G539" s="1" t="s">
        <v>1996</v>
      </c>
      <c r="H539" s="1" t="s">
        <v>1997</v>
      </c>
      <c r="I539" s="1"/>
      <c r="J539" s="1" t="s">
        <v>1998</v>
      </c>
      <c r="K539" s="1"/>
      <c r="L539" s="1"/>
      <c r="M539" s="1" t="s">
        <v>34</v>
      </c>
      <c r="N539" s="1" t="s">
        <v>341</v>
      </c>
      <c r="O539" s="1" t="s">
        <v>62</v>
      </c>
      <c r="P539" s="1" t="s">
        <v>63</v>
      </c>
      <c r="Q539" s="1"/>
      <c r="R539" s="2">
        <v>43993</v>
      </c>
      <c r="S539" s="1"/>
      <c r="W539" s="1" t="s">
        <v>38</v>
      </c>
      <c r="X539" s="2">
        <v>44000</v>
      </c>
      <c r="Y539" s="2">
        <v>43999</v>
      </c>
      <c r="Z539" s="2">
        <v>43999</v>
      </c>
      <c r="AA539" s="2">
        <v>43997</v>
      </c>
      <c r="AB539" s="2">
        <v>43993</v>
      </c>
      <c r="AC539" s="1"/>
      <c r="AD539">
        <v>6</v>
      </c>
      <c r="AE539">
        <v>231</v>
      </c>
      <c r="AG5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40" spans="1:33" x14ac:dyDescent="0.35">
      <c r="A540">
        <v>544</v>
      </c>
      <c r="B540" s="1"/>
      <c r="C540">
        <v>0</v>
      </c>
      <c r="D540" s="1"/>
      <c r="E540" s="1" t="s">
        <v>1999</v>
      </c>
      <c r="F540" s="1" t="s">
        <v>30</v>
      </c>
      <c r="G540" s="1" t="s">
        <v>2000</v>
      </c>
      <c r="H540" s="1" t="s">
        <v>2001</v>
      </c>
      <c r="I540" s="1"/>
      <c r="J540" s="1" t="s">
        <v>2002</v>
      </c>
      <c r="K540" s="1"/>
      <c r="L540" s="1"/>
      <c r="M540" s="1" t="s">
        <v>34</v>
      </c>
      <c r="N540" s="1" t="s">
        <v>378</v>
      </c>
      <c r="O540" s="1" t="s">
        <v>147</v>
      </c>
      <c r="P540" s="1" t="s">
        <v>379</v>
      </c>
      <c r="Q540" s="1"/>
      <c r="R540" s="2">
        <v>43994</v>
      </c>
      <c r="S540" s="1"/>
      <c r="W540" s="1" t="s">
        <v>38</v>
      </c>
      <c r="X540" s="2">
        <v>44001</v>
      </c>
      <c r="Y540" s="2">
        <v>44025</v>
      </c>
      <c r="Z540" s="2">
        <v>44007</v>
      </c>
      <c r="AA540" s="2">
        <v>43997</v>
      </c>
      <c r="AB540" s="2">
        <v>43994</v>
      </c>
      <c r="AC540" s="1"/>
      <c r="AD540">
        <v>13</v>
      </c>
      <c r="AE540">
        <v>230</v>
      </c>
      <c r="AG5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41" spans="1:33" x14ac:dyDescent="0.35">
      <c r="A541">
        <v>545</v>
      </c>
      <c r="B541" s="1"/>
      <c r="C541">
        <v>0</v>
      </c>
      <c r="D541" s="1"/>
      <c r="E541" s="1"/>
      <c r="F541" s="1" t="s">
        <v>30</v>
      </c>
      <c r="G541" s="1" t="s">
        <v>2003</v>
      </c>
      <c r="H541" s="1" t="s">
        <v>2004</v>
      </c>
      <c r="I541" s="1" t="s">
        <v>2005</v>
      </c>
      <c r="J541" s="1" t="s">
        <v>2006</v>
      </c>
      <c r="K541" s="1"/>
      <c r="L541" s="1"/>
      <c r="M541" s="1" t="s">
        <v>197</v>
      </c>
      <c r="N541" s="1" t="s">
        <v>880</v>
      </c>
      <c r="O541" s="1" t="s">
        <v>44</v>
      </c>
      <c r="P541" s="1" t="s">
        <v>164</v>
      </c>
      <c r="Q541" s="1"/>
      <c r="R541" s="2">
        <v>43994</v>
      </c>
      <c r="S541" s="1"/>
      <c r="W541" s="1" t="s">
        <v>38</v>
      </c>
      <c r="X541" s="2">
        <v>43997</v>
      </c>
      <c r="Y541" s="2">
        <v>44007</v>
      </c>
      <c r="Z541" s="2">
        <v>44000</v>
      </c>
      <c r="AA541" s="2">
        <v>44007</v>
      </c>
      <c r="AB541" s="2">
        <v>43994</v>
      </c>
      <c r="AC541" s="1"/>
      <c r="AD541">
        <v>6</v>
      </c>
      <c r="AE541">
        <v>230</v>
      </c>
      <c r="AG5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42" spans="1:33" x14ac:dyDescent="0.35">
      <c r="A542">
        <v>546</v>
      </c>
      <c r="B542" s="1"/>
      <c r="C542">
        <v>0</v>
      </c>
      <c r="D542" s="1"/>
      <c r="E542" s="1"/>
      <c r="F542" s="1" t="s">
        <v>30</v>
      </c>
      <c r="G542" s="1" t="s">
        <v>2007</v>
      </c>
      <c r="H542" s="1" t="s">
        <v>2008</v>
      </c>
      <c r="I542" s="1"/>
      <c r="J542" s="1" t="s">
        <v>2009</v>
      </c>
      <c r="K542" s="1"/>
      <c r="L542" s="1"/>
      <c r="M542" s="1" t="s">
        <v>34</v>
      </c>
      <c r="N542" s="1" t="s">
        <v>43</v>
      </c>
      <c r="O542" s="1" t="s">
        <v>44</v>
      </c>
      <c r="P542" s="1" t="s">
        <v>99</v>
      </c>
      <c r="Q542" s="1"/>
      <c r="R542" s="2">
        <v>43997</v>
      </c>
      <c r="S542" s="1"/>
      <c r="W542" s="1" t="s">
        <v>38</v>
      </c>
      <c r="X542" s="2">
        <v>44004</v>
      </c>
      <c r="Y542" s="2">
        <v>44000</v>
      </c>
      <c r="Z542" s="2">
        <v>43999</v>
      </c>
      <c r="AA542" s="2"/>
      <c r="AB542" s="2">
        <v>43997</v>
      </c>
      <c r="AC542" s="1"/>
      <c r="AD542">
        <v>2</v>
      </c>
      <c r="AE542">
        <v>227</v>
      </c>
      <c r="AG5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43" spans="1:33" x14ac:dyDescent="0.35">
      <c r="A543">
        <v>547</v>
      </c>
      <c r="B543" s="1"/>
      <c r="C543">
        <v>0</v>
      </c>
      <c r="D543" s="1"/>
      <c r="E543" s="1" t="s">
        <v>2010</v>
      </c>
      <c r="F543" s="1" t="s">
        <v>30</v>
      </c>
      <c r="G543" s="1" t="s">
        <v>2011</v>
      </c>
      <c r="H543" s="1" t="s">
        <v>2012</v>
      </c>
      <c r="I543" s="1" t="s">
        <v>2013</v>
      </c>
      <c r="J543" s="1" t="s">
        <v>2014</v>
      </c>
      <c r="K543" s="1"/>
      <c r="L543" s="1"/>
      <c r="M543" s="1" t="s">
        <v>197</v>
      </c>
      <c r="N543" s="1" t="s">
        <v>437</v>
      </c>
      <c r="O543" s="1" t="s">
        <v>44</v>
      </c>
      <c r="P543" s="1" t="s">
        <v>200</v>
      </c>
      <c r="Q543" s="1"/>
      <c r="R543" s="2">
        <v>43997</v>
      </c>
      <c r="S543" s="1"/>
      <c r="W543" s="1" t="s">
        <v>38</v>
      </c>
      <c r="X543" s="2">
        <v>44001</v>
      </c>
      <c r="Y543" s="2">
        <v>44035</v>
      </c>
      <c r="Z543" s="2">
        <v>44014</v>
      </c>
      <c r="AA543" s="2"/>
      <c r="AB543" s="2">
        <v>43997</v>
      </c>
      <c r="AC543" s="1"/>
      <c r="AD543">
        <v>17</v>
      </c>
      <c r="AE543">
        <v>227</v>
      </c>
      <c r="AG5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44" spans="1:33" x14ac:dyDescent="0.35">
      <c r="A544">
        <v>548</v>
      </c>
      <c r="B544" s="1"/>
      <c r="C544">
        <v>0</v>
      </c>
      <c r="D544" s="1" t="s">
        <v>557</v>
      </c>
      <c r="E544" s="1"/>
      <c r="F544" s="1" t="s">
        <v>30</v>
      </c>
      <c r="G544" s="1" t="s">
        <v>2015</v>
      </c>
      <c r="H544" s="1" t="s">
        <v>2016</v>
      </c>
      <c r="I544" s="1"/>
      <c r="J544" s="1" t="s">
        <v>2403</v>
      </c>
      <c r="K544" s="1"/>
      <c r="L544" s="1"/>
      <c r="M544" s="1" t="s">
        <v>34</v>
      </c>
      <c r="N544" s="1" t="s">
        <v>437</v>
      </c>
      <c r="O544" s="1" t="s">
        <v>44</v>
      </c>
      <c r="P544" s="1" t="s">
        <v>200</v>
      </c>
      <c r="Q544" s="1"/>
      <c r="R544" s="2">
        <v>44063</v>
      </c>
      <c r="S544" s="1"/>
      <c r="W544" s="1" t="s">
        <v>38</v>
      </c>
      <c r="X544" s="2">
        <v>44005</v>
      </c>
      <c r="Y544" s="2">
        <v>44096</v>
      </c>
      <c r="Z544" s="2">
        <v>44069</v>
      </c>
      <c r="AA544" s="2">
        <v>44001</v>
      </c>
      <c r="AB544" s="2">
        <v>43998</v>
      </c>
      <c r="AC544" s="1"/>
      <c r="AD544">
        <v>71</v>
      </c>
      <c r="AE544">
        <v>226</v>
      </c>
      <c r="AG5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71</v>
      </c>
    </row>
    <row r="545" spans="1:33" x14ac:dyDescent="0.35">
      <c r="A545">
        <v>549</v>
      </c>
      <c r="B545" s="1"/>
      <c r="C545">
        <v>0</v>
      </c>
      <c r="D545" s="1"/>
      <c r="E545" s="1"/>
      <c r="F545" s="1" t="s">
        <v>30</v>
      </c>
      <c r="G545" s="1" t="s">
        <v>2017</v>
      </c>
      <c r="H545" s="1" t="s">
        <v>2018</v>
      </c>
      <c r="I545" s="1"/>
      <c r="J545" s="1" t="s">
        <v>2190</v>
      </c>
      <c r="K545" s="1"/>
      <c r="L545" s="1"/>
      <c r="M545" s="1" t="s">
        <v>34</v>
      </c>
      <c r="N545" s="1" t="s">
        <v>192</v>
      </c>
      <c r="O545" s="1" t="s">
        <v>193</v>
      </c>
      <c r="P545" s="1" t="s">
        <v>37</v>
      </c>
      <c r="Q545" s="1"/>
      <c r="R545" s="2">
        <v>43998</v>
      </c>
      <c r="S545" s="1"/>
      <c r="W545" s="1" t="s">
        <v>38</v>
      </c>
      <c r="X545" s="2">
        <v>44005</v>
      </c>
      <c r="Y545" s="2">
        <v>44035</v>
      </c>
      <c r="Z545" s="2">
        <v>44033</v>
      </c>
      <c r="AA545" s="2">
        <v>43999</v>
      </c>
      <c r="AB545" s="2">
        <v>43998</v>
      </c>
      <c r="AC545" s="1"/>
      <c r="AD545">
        <v>35</v>
      </c>
      <c r="AE545">
        <v>226</v>
      </c>
      <c r="AG5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546" spans="1:33" x14ac:dyDescent="0.35">
      <c r="A546">
        <v>550</v>
      </c>
      <c r="B546" s="1"/>
      <c r="C546">
        <v>0</v>
      </c>
      <c r="D546" s="1"/>
      <c r="E546" s="1"/>
      <c r="F546" s="1" t="s">
        <v>30</v>
      </c>
      <c r="G546" s="1" t="s">
        <v>2019</v>
      </c>
      <c r="H546" s="1" t="s">
        <v>2020</v>
      </c>
      <c r="I546" s="1"/>
      <c r="J546" s="1" t="s">
        <v>2021</v>
      </c>
      <c r="K546" s="1"/>
      <c r="L546" s="1"/>
      <c r="M546" s="1" t="s">
        <v>34</v>
      </c>
      <c r="N546" s="1" t="s">
        <v>43</v>
      </c>
      <c r="O546" s="1" t="s">
        <v>44</v>
      </c>
      <c r="P546" s="1" t="s">
        <v>37</v>
      </c>
      <c r="Q546" s="1"/>
      <c r="R546" s="2">
        <v>43998</v>
      </c>
      <c r="S546" s="1"/>
      <c r="W546" s="1" t="s">
        <v>38</v>
      </c>
      <c r="X546" s="2">
        <v>44005</v>
      </c>
      <c r="Y546" s="2">
        <v>44020</v>
      </c>
      <c r="Z546" s="2">
        <v>44019</v>
      </c>
      <c r="AA546" s="2"/>
      <c r="AB546" s="2">
        <v>43998</v>
      </c>
      <c r="AC546" s="1"/>
      <c r="AD546">
        <v>21</v>
      </c>
      <c r="AE546">
        <v>226</v>
      </c>
      <c r="AG5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47" spans="1:33" x14ac:dyDescent="0.35">
      <c r="A547">
        <v>551</v>
      </c>
      <c r="B547" s="1"/>
      <c r="C547">
        <v>0</v>
      </c>
      <c r="D547" s="1"/>
      <c r="E547" s="1" t="s">
        <v>2022</v>
      </c>
      <c r="F547" s="1" t="s">
        <v>30</v>
      </c>
      <c r="G547" s="1" t="s">
        <v>2023</v>
      </c>
      <c r="H547" s="1" t="s">
        <v>2024</v>
      </c>
      <c r="I547" s="1"/>
      <c r="J547" s="1" t="s">
        <v>2305</v>
      </c>
      <c r="K547" s="1"/>
      <c r="L547" s="1"/>
      <c r="M547" s="1" t="s">
        <v>197</v>
      </c>
      <c r="N547" s="1" t="s">
        <v>437</v>
      </c>
      <c r="O547" s="1" t="s">
        <v>44</v>
      </c>
      <c r="P547" s="1" t="s">
        <v>2191</v>
      </c>
      <c r="Q547" s="1" t="s">
        <v>436</v>
      </c>
      <c r="R547" s="2">
        <v>44043</v>
      </c>
      <c r="S547" s="1"/>
      <c r="W547" s="1" t="s">
        <v>38</v>
      </c>
      <c r="X547" s="2">
        <v>44046</v>
      </c>
      <c r="Y547" s="2">
        <v>44063</v>
      </c>
      <c r="Z547" s="2">
        <v>44054</v>
      </c>
      <c r="AA547" s="2">
        <v>44021</v>
      </c>
      <c r="AB547" s="2">
        <v>43998</v>
      </c>
      <c r="AC547" s="1"/>
      <c r="AD547">
        <v>56</v>
      </c>
      <c r="AE547">
        <v>226</v>
      </c>
      <c r="AG5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548" spans="1:33" x14ac:dyDescent="0.35">
      <c r="A548">
        <v>552</v>
      </c>
      <c r="B548" s="1"/>
      <c r="C548">
        <v>0</v>
      </c>
      <c r="D548" s="1"/>
      <c r="E548" s="1"/>
      <c r="F548" s="1" t="s">
        <v>30</v>
      </c>
      <c r="G548" s="1" t="s">
        <v>2025</v>
      </c>
      <c r="H548" s="1" t="s">
        <v>2026</v>
      </c>
      <c r="I548" s="1"/>
      <c r="J548" s="1" t="s">
        <v>2027</v>
      </c>
      <c r="K548" s="1"/>
      <c r="L548" s="1"/>
      <c r="M548" s="1" t="s">
        <v>197</v>
      </c>
      <c r="N548" s="1" t="s">
        <v>341</v>
      </c>
      <c r="O548" s="1" t="s">
        <v>62</v>
      </c>
      <c r="P548" s="1" t="s">
        <v>37</v>
      </c>
      <c r="Q548" s="1"/>
      <c r="R548" s="2">
        <v>43999</v>
      </c>
      <c r="S548" s="1"/>
      <c r="W548" s="1" t="s">
        <v>38</v>
      </c>
      <c r="X548" s="2">
        <v>44002</v>
      </c>
      <c r="Y548" s="2">
        <v>44006</v>
      </c>
      <c r="Z548" s="2">
        <v>44004</v>
      </c>
      <c r="AA548" s="2"/>
      <c r="AB548" s="2">
        <v>43999</v>
      </c>
      <c r="AC548" s="1"/>
      <c r="AD548">
        <v>5</v>
      </c>
      <c r="AE548">
        <v>225</v>
      </c>
      <c r="AG5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49" spans="1:33" x14ac:dyDescent="0.35">
      <c r="A549">
        <v>553</v>
      </c>
      <c r="B549" s="1"/>
      <c r="C549">
        <v>0</v>
      </c>
      <c r="D549" s="1"/>
      <c r="E549" s="1"/>
      <c r="F549" s="1" t="s">
        <v>30</v>
      </c>
      <c r="G549" s="1" t="s">
        <v>2028</v>
      </c>
      <c r="H549" s="1" t="s">
        <v>2029</v>
      </c>
      <c r="I549" s="1"/>
      <c r="J549" s="1" t="s">
        <v>2030</v>
      </c>
      <c r="K549" s="1"/>
      <c r="L549" s="1"/>
      <c r="M549" s="1" t="s">
        <v>197</v>
      </c>
      <c r="N549" s="1" t="s">
        <v>880</v>
      </c>
      <c r="O549" s="1" t="s">
        <v>44</v>
      </c>
      <c r="P549" s="1" t="s">
        <v>63</v>
      </c>
      <c r="Q549" s="1"/>
      <c r="R549" s="2">
        <v>43999</v>
      </c>
      <c r="S549" s="1"/>
      <c r="W549" s="1" t="s">
        <v>38</v>
      </c>
      <c r="X549" s="2">
        <v>44002</v>
      </c>
      <c r="Y549" s="2">
        <v>44005</v>
      </c>
      <c r="Z549" s="2">
        <v>44000</v>
      </c>
      <c r="AA549" s="2"/>
      <c r="AB549" s="2">
        <v>43999</v>
      </c>
      <c r="AC549" s="1"/>
      <c r="AD549">
        <v>1</v>
      </c>
      <c r="AE549">
        <v>225</v>
      </c>
      <c r="AG5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50" spans="1:33" x14ac:dyDescent="0.35">
      <c r="A550">
        <v>554</v>
      </c>
      <c r="B550" s="1"/>
      <c r="C550">
        <v>0</v>
      </c>
      <c r="D550" s="1"/>
      <c r="E550" s="1"/>
      <c r="F550" s="1" t="s">
        <v>30</v>
      </c>
      <c r="G550" s="1" t="s">
        <v>2031</v>
      </c>
      <c r="H550" s="1" t="s">
        <v>2032</v>
      </c>
      <c r="I550" s="1"/>
      <c r="J550" s="1" t="s">
        <v>2192</v>
      </c>
      <c r="K550" s="1"/>
      <c r="L550" s="1"/>
      <c r="M550" s="1" t="s">
        <v>34</v>
      </c>
      <c r="N550" s="1" t="s">
        <v>483</v>
      </c>
      <c r="O550" s="1" t="s">
        <v>484</v>
      </c>
      <c r="P550" s="1" t="s">
        <v>37</v>
      </c>
      <c r="Q550" s="1"/>
      <c r="R550" s="2">
        <v>44000</v>
      </c>
      <c r="S550" s="1"/>
      <c r="W550" s="1" t="s">
        <v>38</v>
      </c>
      <c r="X550" s="2">
        <v>44007</v>
      </c>
      <c r="Y550" s="2">
        <v>44035</v>
      </c>
      <c r="Z550" s="2">
        <v>44033</v>
      </c>
      <c r="AA550" s="2">
        <v>44005</v>
      </c>
      <c r="AB550" s="2">
        <v>44000</v>
      </c>
      <c r="AC550" s="1"/>
      <c r="AD550">
        <v>33</v>
      </c>
      <c r="AE550">
        <v>224</v>
      </c>
      <c r="AG5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551" spans="1:33" x14ac:dyDescent="0.35">
      <c r="A551">
        <v>555</v>
      </c>
      <c r="B551" s="1"/>
      <c r="C551">
        <v>0</v>
      </c>
      <c r="D551" s="1"/>
      <c r="E551" s="1" t="s">
        <v>2033</v>
      </c>
      <c r="F551" s="1" t="s">
        <v>30</v>
      </c>
      <c r="G551" s="1" t="s">
        <v>2034</v>
      </c>
      <c r="H551" s="1" t="s">
        <v>2035</v>
      </c>
      <c r="I551" s="1"/>
      <c r="J551" s="1" t="s">
        <v>2193</v>
      </c>
      <c r="K551" s="1"/>
      <c r="L551" s="1"/>
      <c r="M551" s="1" t="s">
        <v>34</v>
      </c>
      <c r="N551" s="1" t="s">
        <v>483</v>
      </c>
      <c r="O551" s="1" t="s">
        <v>484</v>
      </c>
      <c r="P551" s="1" t="s">
        <v>37</v>
      </c>
      <c r="Q551" s="1"/>
      <c r="R551" s="2">
        <v>44000</v>
      </c>
      <c r="S551" s="1"/>
      <c r="W551" s="1" t="s">
        <v>38</v>
      </c>
      <c r="X551" s="2">
        <v>44007</v>
      </c>
      <c r="Y551" s="2">
        <v>44035</v>
      </c>
      <c r="Z551" s="2">
        <v>44033</v>
      </c>
      <c r="AA551" s="2">
        <v>44005</v>
      </c>
      <c r="AB551" s="2">
        <v>44000</v>
      </c>
      <c r="AC551" s="1"/>
      <c r="AD551">
        <v>33</v>
      </c>
      <c r="AE551">
        <v>224</v>
      </c>
      <c r="AG5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552" spans="1:33" x14ac:dyDescent="0.35">
      <c r="A552">
        <v>556</v>
      </c>
      <c r="B552" s="1"/>
      <c r="C552">
        <v>0</v>
      </c>
      <c r="D552" s="1"/>
      <c r="E552" s="1"/>
      <c r="F552" s="1" t="s">
        <v>30</v>
      </c>
      <c r="G552" s="1" t="s">
        <v>2036</v>
      </c>
      <c r="H552" s="1" t="s">
        <v>2037</v>
      </c>
      <c r="I552" s="1"/>
      <c r="J552" s="1" t="s">
        <v>2194</v>
      </c>
      <c r="K552" s="1"/>
      <c r="L552" s="1"/>
      <c r="M552" s="1" t="s">
        <v>34</v>
      </c>
      <c r="N552" s="1" t="s">
        <v>483</v>
      </c>
      <c r="O552" s="1" t="s">
        <v>484</v>
      </c>
      <c r="P552" s="1" t="s">
        <v>37</v>
      </c>
      <c r="Q552" s="1"/>
      <c r="R552" s="2">
        <v>44000</v>
      </c>
      <c r="S552" s="1"/>
      <c r="W552" s="1" t="s">
        <v>38</v>
      </c>
      <c r="X552" s="2">
        <v>44007</v>
      </c>
      <c r="Y552" s="2">
        <v>44035</v>
      </c>
      <c r="Z552" s="2">
        <v>44032</v>
      </c>
      <c r="AA552" s="2">
        <v>44005</v>
      </c>
      <c r="AB552" s="2">
        <v>44000</v>
      </c>
      <c r="AC552" s="1"/>
      <c r="AD552">
        <v>32</v>
      </c>
      <c r="AE552">
        <v>224</v>
      </c>
      <c r="AG5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553" spans="1:33" x14ac:dyDescent="0.35">
      <c r="A553">
        <v>557</v>
      </c>
      <c r="B553" s="1"/>
      <c r="C553">
        <v>0</v>
      </c>
      <c r="D553" s="1"/>
      <c r="E553" s="1"/>
      <c r="F553" s="1" t="s">
        <v>30</v>
      </c>
      <c r="G553" s="1" t="s">
        <v>2038</v>
      </c>
      <c r="H553" s="1" t="s">
        <v>2039</v>
      </c>
      <c r="I553" s="1"/>
      <c r="J553" s="1" t="s">
        <v>2463</v>
      </c>
      <c r="K553" s="1"/>
      <c r="L553" s="1"/>
      <c r="M553" s="1" t="s">
        <v>34</v>
      </c>
      <c r="N553" s="1" t="s">
        <v>483</v>
      </c>
      <c r="O553" s="1" t="s">
        <v>484</v>
      </c>
      <c r="P553" s="1" t="s">
        <v>37</v>
      </c>
      <c r="Q553" s="1"/>
      <c r="R553" s="2">
        <v>44000</v>
      </c>
      <c r="S553" s="1"/>
      <c r="W553" s="1" t="s">
        <v>38</v>
      </c>
      <c r="X553" s="2">
        <v>44007</v>
      </c>
      <c r="Y553" s="2">
        <v>44182</v>
      </c>
      <c r="Z553" s="2">
        <v>44175</v>
      </c>
      <c r="AA553" s="2">
        <v>44005</v>
      </c>
      <c r="AB553" s="2">
        <v>44000</v>
      </c>
      <c r="AC553" s="1"/>
      <c r="AD553">
        <v>175</v>
      </c>
      <c r="AE553">
        <v>224</v>
      </c>
      <c r="AG5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175</v>
      </c>
    </row>
    <row r="554" spans="1:33" x14ac:dyDescent="0.35">
      <c r="A554">
        <v>558</v>
      </c>
      <c r="B554" s="1"/>
      <c r="C554">
        <v>0</v>
      </c>
      <c r="D554" s="1" t="s">
        <v>206</v>
      </c>
      <c r="E554" s="1" t="s">
        <v>235</v>
      </c>
      <c r="F554" s="1" t="s">
        <v>30</v>
      </c>
      <c r="G554" s="1" t="s">
        <v>2040</v>
      </c>
      <c r="H554" s="1" t="s">
        <v>2041</v>
      </c>
      <c r="I554" s="1" t="s">
        <v>2042</v>
      </c>
      <c r="J554" s="1" t="s">
        <v>2043</v>
      </c>
      <c r="K554" s="1"/>
      <c r="L554" s="1"/>
      <c r="M554" s="1" t="s">
        <v>34</v>
      </c>
      <c r="N554" s="1" t="s">
        <v>97</v>
      </c>
      <c r="O554" s="1" t="s">
        <v>98</v>
      </c>
      <c r="P554" s="1" t="s">
        <v>37</v>
      </c>
      <c r="Q554" s="1"/>
      <c r="R554" s="2">
        <v>44019</v>
      </c>
      <c r="S554" s="1"/>
      <c r="W554" s="1" t="s">
        <v>38</v>
      </c>
      <c r="X554" s="2">
        <v>44011</v>
      </c>
      <c r="Y554" s="2">
        <v>44025</v>
      </c>
      <c r="Z554" s="2">
        <v>44020</v>
      </c>
      <c r="AA554" s="2">
        <v>44019</v>
      </c>
      <c r="AB554" s="2">
        <v>44004</v>
      </c>
      <c r="AC554" s="1"/>
      <c r="AD554">
        <v>16</v>
      </c>
      <c r="AE554">
        <v>220</v>
      </c>
      <c r="AG5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555" spans="1:33" x14ac:dyDescent="0.35">
      <c r="A555">
        <v>559</v>
      </c>
      <c r="B555" s="1"/>
      <c r="C555">
        <v>0</v>
      </c>
      <c r="D555" s="1"/>
      <c r="E555" s="1"/>
      <c r="F555" s="1" t="s">
        <v>30</v>
      </c>
      <c r="G555" s="1" t="s">
        <v>2044</v>
      </c>
      <c r="H555" s="1" t="s">
        <v>2045</v>
      </c>
      <c r="I555" s="1"/>
      <c r="J555" s="1" t="s">
        <v>2046</v>
      </c>
      <c r="K555" s="1"/>
      <c r="L555" s="1"/>
      <c r="M555" s="1" t="s">
        <v>197</v>
      </c>
      <c r="N555" s="1" t="s">
        <v>43</v>
      </c>
      <c r="O555" s="1" t="s">
        <v>44</v>
      </c>
      <c r="P555" s="1" t="s">
        <v>63</v>
      </c>
      <c r="Q555" s="1"/>
      <c r="R555" s="2">
        <v>44005</v>
      </c>
      <c r="S555" s="1"/>
      <c r="W555" s="1" t="s">
        <v>38</v>
      </c>
      <c r="X555" s="2">
        <v>44008</v>
      </c>
      <c r="Y555" s="2">
        <v>44005</v>
      </c>
      <c r="Z555" s="2">
        <v>44005</v>
      </c>
      <c r="AA555" s="2"/>
      <c r="AB555" s="2">
        <v>44005</v>
      </c>
      <c r="AC555" s="1"/>
      <c r="AD555">
        <v>0</v>
      </c>
      <c r="AE555">
        <v>219</v>
      </c>
      <c r="AG5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56" spans="1:33" x14ac:dyDescent="0.35">
      <c r="A556">
        <v>560</v>
      </c>
      <c r="B556" s="1"/>
      <c r="C556">
        <v>0</v>
      </c>
      <c r="D556" s="1"/>
      <c r="E556" s="1"/>
      <c r="F556" s="1" t="s">
        <v>30</v>
      </c>
      <c r="G556" s="1" t="s">
        <v>2047</v>
      </c>
      <c r="H556" s="1" t="s">
        <v>2048</v>
      </c>
      <c r="I556" s="1"/>
      <c r="J556" s="1" t="s">
        <v>2195</v>
      </c>
      <c r="K556" s="1"/>
      <c r="L556" s="1"/>
      <c r="M556" s="1" t="s">
        <v>34</v>
      </c>
      <c r="N556" s="1" t="s">
        <v>245</v>
      </c>
      <c r="O556" s="1" t="s">
        <v>147</v>
      </c>
      <c r="P556" s="1" t="s">
        <v>37</v>
      </c>
      <c r="Q556" s="1"/>
      <c r="R556" s="2">
        <v>44005</v>
      </c>
      <c r="S556" s="1"/>
      <c r="W556" s="1" t="s">
        <v>38</v>
      </c>
      <c r="X556" s="2">
        <v>44012</v>
      </c>
      <c r="Y556" s="2">
        <v>44027</v>
      </c>
      <c r="Z556" s="2">
        <v>44026</v>
      </c>
      <c r="AA556" s="2">
        <v>44005</v>
      </c>
      <c r="AB556" s="2">
        <v>44005</v>
      </c>
      <c r="AC556" s="1"/>
      <c r="AD556">
        <v>21</v>
      </c>
      <c r="AE556">
        <v>219</v>
      </c>
      <c r="AG5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57" spans="1:33" x14ac:dyDescent="0.35">
      <c r="A557">
        <v>561</v>
      </c>
      <c r="B557" s="1"/>
      <c r="C557">
        <v>0</v>
      </c>
      <c r="D557" s="1"/>
      <c r="E557" s="1"/>
      <c r="F557" s="1" t="s">
        <v>30</v>
      </c>
      <c r="G557" s="1" t="s">
        <v>2049</v>
      </c>
      <c r="H557" s="1" t="s">
        <v>2050</v>
      </c>
      <c r="I557" s="1"/>
      <c r="J557" s="1" t="s">
        <v>2051</v>
      </c>
      <c r="K557" s="1"/>
      <c r="L557" s="1"/>
      <c r="M557" s="1" t="s">
        <v>197</v>
      </c>
      <c r="N557" s="1" t="s">
        <v>43</v>
      </c>
      <c r="O557" s="1" t="s">
        <v>44</v>
      </c>
      <c r="P557" s="1" t="s">
        <v>63</v>
      </c>
      <c r="Q557" s="1"/>
      <c r="R557" s="2">
        <v>44005</v>
      </c>
      <c r="S557" s="1"/>
      <c r="W557" s="1" t="s">
        <v>38</v>
      </c>
      <c r="X557" s="2">
        <v>44008</v>
      </c>
      <c r="Y557" s="2">
        <v>44020</v>
      </c>
      <c r="Z557" s="2">
        <v>44018</v>
      </c>
      <c r="AA557" s="2">
        <v>44018</v>
      </c>
      <c r="AB557" s="2">
        <v>44005</v>
      </c>
      <c r="AC557" s="1"/>
      <c r="AD557">
        <v>13</v>
      </c>
      <c r="AE557">
        <v>219</v>
      </c>
      <c r="AG5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58" spans="1:33" x14ac:dyDescent="0.35">
      <c r="A558">
        <v>562</v>
      </c>
      <c r="B558" s="1"/>
      <c r="C558">
        <v>0</v>
      </c>
      <c r="D558" s="1"/>
      <c r="E558" s="1"/>
      <c r="F558" s="1" t="s">
        <v>30</v>
      </c>
      <c r="G558" s="1" t="s">
        <v>2052</v>
      </c>
      <c r="H558" s="1" t="s">
        <v>2053</v>
      </c>
      <c r="I558" s="1"/>
      <c r="J558" s="1" t="s">
        <v>2196</v>
      </c>
      <c r="K558" s="1"/>
      <c r="L558" s="1"/>
      <c r="M558" s="1" t="s">
        <v>34</v>
      </c>
      <c r="N558" s="1" t="s">
        <v>437</v>
      </c>
      <c r="O558" s="1" t="s">
        <v>44</v>
      </c>
      <c r="P558" s="1" t="s">
        <v>200</v>
      </c>
      <c r="Q558" s="1"/>
      <c r="R558" s="2">
        <v>44005</v>
      </c>
      <c r="S558" s="1"/>
      <c r="W558" s="1" t="s">
        <v>38</v>
      </c>
      <c r="X558" s="2">
        <v>44012</v>
      </c>
      <c r="Y558" s="2">
        <v>44035</v>
      </c>
      <c r="Z558" s="2">
        <v>44022</v>
      </c>
      <c r="AA558" s="2"/>
      <c r="AB558" s="2">
        <v>44005</v>
      </c>
      <c r="AC558" s="1"/>
      <c r="AD558">
        <v>17</v>
      </c>
      <c r="AE558">
        <v>219</v>
      </c>
      <c r="AG5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59" spans="1:33" x14ac:dyDescent="0.35">
      <c r="A559">
        <v>563</v>
      </c>
      <c r="B559" s="1"/>
      <c r="C559">
        <v>0</v>
      </c>
      <c r="D559" s="1" t="s">
        <v>2054</v>
      </c>
      <c r="E559" s="1"/>
      <c r="F559" s="1" t="s">
        <v>30</v>
      </c>
      <c r="G559" s="1" t="s">
        <v>2055</v>
      </c>
      <c r="H559" s="1" t="s">
        <v>2056</v>
      </c>
      <c r="I559" s="1"/>
      <c r="J559" s="1" t="s">
        <v>2306</v>
      </c>
      <c r="K559" s="1"/>
      <c r="L559" s="1"/>
      <c r="M559" s="1" t="s">
        <v>197</v>
      </c>
      <c r="N559" s="1" t="s">
        <v>2057</v>
      </c>
      <c r="O559" s="1" t="s">
        <v>2058</v>
      </c>
      <c r="P559" s="1" t="s">
        <v>116</v>
      </c>
      <c r="Q559" s="1"/>
      <c r="R559" s="2">
        <v>44006</v>
      </c>
      <c r="S559" s="1"/>
      <c r="W559" s="1" t="s">
        <v>38</v>
      </c>
      <c r="X559" s="2">
        <v>44013</v>
      </c>
      <c r="Y559" s="2">
        <v>44055</v>
      </c>
      <c r="Z559" s="2">
        <v>44055</v>
      </c>
      <c r="AA559" s="2"/>
      <c r="AB559" s="2">
        <v>44006</v>
      </c>
      <c r="AC559" s="1"/>
      <c r="AD559">
        <v>49</v>
      </c>
      <c r="AE559">
        <v>218</v>
      </c>
      <c r="AG5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49</v>
      </c>
    </row>
    <row r="560" spans="1:33" x14ac:dyDescent="0.35">
      <c r="A560">
        <v>564</v>
      </c>
      <c r="B560" s="1"/>
      <c r="C560">
        <v>0</v>
      </c>
      <c r="D560" s="1"/>
      <c r="E560" s="1"/>
      <c r="F560" s="1" t="s">
        <v>30</v>
      </c>
      <c r="G560" s="1" t="s">
        <v>2059</v>
      </c>
      <c r="H560" s="1" t="s">
        <v>2060</v>
      </c>
      <c r="I560" s="1" t="s">
        <v>2061</v>
      </c>
      <c r="J560" s="1" t="s">
        <v>2062</v>
      </c>
      <c r="K560" s="1"/>
      <c r="L560" s="1"/>
      <c r="M560" s="1" t="s">
        <v>34</v>
      </c>
      <c r="N560" s="1" t="s">
        <v>378</v>
      </c>
      <c r="O560" s="1" t="s">
        <v>147</v>
      </c>
      <c r="P560" s="1" t="s">
        <v>379</v>
      </c>
      <c r="Q560" s="1"/>
      <c r="R560" s="2">
        <v>44007</v>
      </c>
      <c r="S560" s="1"/>
      <c r="W560" s="1" t="s">
        <v>38</v>
      </c>
      <c r="X560" s="2">
        <v>44014</v>
      </c>
      <c r="Y560" s="2">
        <v>44020</v>
      </c>
      <c r="Z560" s="2">
        <v>44011</v>
      </c>
      <c r="AA560" s="2">
        <v>44008</v>
      </c>
      <c r="AB560" s="2">
        <v>44007</v>
      </c>
      <c r="AC560" s="1"/>
      <c r="AD560">
        <v>4</v>
      </c>
      <c r="AE560">
        <v>217</v>
      </c>
      <c r="AG5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61" spans="1:33" x14ac:dyDescent="0.35">
      <c r="A561">
        <v>565</v>
      </c>
      <c r="B561" s="1"/>
      <c r="C561">
        <v>0</v>
      </c>
      <c r="D561" s="1"/>
      <c r="E561" s="1"/>
      <c r="F561" s="1" t="s">
        <v>30</v>
      </c>
      <c r="G561" s="1" t="s">
        <v>2063</v>
      </c>
      <c r="H561" s="1" t="s">
        <v>2064</v>
      </c>
      <c r="I561" s="1"/>
      <c r="J561" s="1" t="s">
        <v>2065</v>
      </c>
      <c r="K561" s="1"/>
      <c r="L561" s="1"/>
      <c r="M561" s="1" t="s">
        <v>34</v>
      </c>
      <c r="N561" s="1" t="s">
        <v>43</v>
      </c>
      <c r="O561" s="1" t="s">
        <v>44</v>
      </c>
      <c r="P561" s="1" t="s">
        <v>37</v>
      </c>
      <c r="Q561" s="1"/>
      <c r="R561" s="2">
        <v>44007</v>
      </c>
      <c r="S561" s="1"/>
      <c r="W561" s="1" t="s">
        <v>38</v>
      </c>
      <c r="X561" s="2">
        <v>44014</v>
      </c>
      <c r="Y561" s="2">
        <v>44020</v>
      </c>
      <c r="Z561" s="2">
        <v>44019</v>
      </c>
      <c r="AA561" s="2"/>
      <c r="AB561" s="2">
        <v>44007</v>
      </c>
      <c r="AC561" s="1"/>
      <c r="AD561">
        <v>12</v>
      </c>
      <c r="AE561">
        <v>217</v>
      </c>
      <c r="AG5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62" spans="1:33" x14ac:dyDescent="0.35">
      <c r="A562">
        <v>566</v>
      </c>
      <c r="B562" s="1"/>
      <c r="C562">
        <v>0</v>
      </c>
      <c r="D562" s="1"/>
      <c r="E562" s="1"/>
      <c r="F562" s="1" t="s">
        <v>30</v>
      </c>
      <c r="G562" s="1" t="s">
        <v>2066</v>
      </c>
      <c r="H562" s="1" t="s">
        <v>2067</v>
      </c>
      <c r="I562" s="1"/>
      <c r="J562" s="1" t="s">
        <v>2068</v>
      </c>
      <c r="K562" s="1"/>
      <c r="L562" s="1"/>
      <c r="M562" s="1" t="s">
        <v>197</v>
      </c>
      <c r="N562" s="1" t="s">
        <v>43</v>
      </c>
      <c r="O562" s="1" t="s">
        <v>44</v>
      </c>
      <c r="P562" s="1" t="s">
        <v>37</v>
      </c>
      <c r="Q562" s="1"/>
      <c r="R562" s="2">
        <v>44007</v>
      </c>
      <c r="S562" s="1"/>
      <c r="W562" s="1" t="s">
        <v>38</v>
      </c>
      <c r="X562" s="2">
        <v>44011</v>
      </c>
      <c r="Y562" s="2">
        <v>44025</v>
      </c>
      <c r="Z562" s="2">
        <v>44019</v>
      </c>
      <c r="AA562" s="2">
        <v>44020</v>
      </c>
      <c r="AB562" s="2">
        <v>44007</v>
      </c>
      <c r="AC562" s="1"/>
      <c r="AD562">
        <v>12</v>
      </c>
      <c r="AE562">
        <v>217</v>
      </c>
      <c r="AG5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63" spans="1:33" x14ac:dyDescent="0.35">
      <c r="A563">
        <v>567</v>
      </c>
      <c r="B563" s="1"/>
      <c r="C563">
        <v>0</v>
      </c>
      <c r="D563" s="1"/>
      <c r="E563" s="1"/>
      <c r="F563" s="1" t="s">
        <v>30</v>
      </c>
      <c r="G563" s="1" t="s">
        <v>2069</v>
      </c>
      <c r="H563" s="1" t="s">
        <v>2070</v>
      </c>
      <c r="I563" s="1"/>
      <c r="J563" s="1" t="s">
        <v>2197</v>
      </c>
      <c r="K563" s="1"/>
      <c r="L563" s="1"/>
      <c r="M563" s="1" t="s">
        <v>197</v>
      </c>
      <c r="N563" s="1" t="s">
        <v>43</v>
      </c>
      <c r="O563" s="1" t="s">
        <v>44</v>
      </c>
      <c r="P563" s="1" t="s">
        <v>37</v>
      </c>
      <c r="Q563" s="1"/>
      <c r="R563" s="2">
        <v>44008</v>
      </c>
      <c r="S563" s="1"/>
      <c r="W563" s="1" t="s">
        <v>38</v>
      </c>
      <c r="X563" s="2">
        <v>44011</v>
      </c>
      <c r="Y563" s="2">
        <v>44033</v>
      </c>
      <c r="Z563" s="2">
        <v>44032</v>
      </c>
      <c r="AA563" s="2"/>
      <c r="AB563" s="2">
        <v>44008</v>
      </c>
      <c r="AC563" s="1"/>
      <c r="AD563">
        <v>24</v>
      </c>
      <c r="AE563">
        <v>216</v>
      </c>
      <c r="AG5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564" spans="1:33" x14ac:dyDescent="0.35">
      <c r="A564">
        <v>568</v>
      </c>
      <c r="B564" s="1"/>
      <c r="C564">
        <v>0</v>
      </c>
      <c r="D564" s="1"/>
      <c r="E564" s="1" t="s">
        <v>2071</v>
      </c>
      <c r="F564" s="1" t="s">
        <v>30</v>
      </c>
      <c r="G564" s="1" t="s">
        <v>2072</v>
      </c>
      <c r="H564" s="1" t="s">
        <v>2073</v>
      </c>
      <c r="I564" s="1"/>
      <c r="J564" s="1" t="s">
        <v>2074</v>
      </c>
      <c r="K564" s="1"/>
      <c r="L564" s="1"/>
      <c r="M564" s="1" t="s">
        <v>34</v>
      </c>
      <c r="N564" s="1" t="s">
        <v>43</v>
      </c>
      <c r="O564" s="1" t="s">
        <v>44</v>
      </c>
      <c r="P564" s="1" t="s">
        <v>63</v>
      </c>
      <c r="Q564" s="1"/>
      <c r="R564" s="2">
        <v>44008</v>
      </c>
      <c r="S564" s="1"/>
      <c r="W564" s="1" t="s">
        <v>38</v>
      </c>
      <c r="X564" s="2">
        <v>44015</v>
      </c>
      <c r="Y564" s="2">
        <v>44013</v>
      </c>
      <c r="Z564" s="2">
        <v>44011</v>
      </c>
      <c r="AA564" s="2"/>
      <c r="AB564" s="2">
        <v>44008</v>
      </c>
      <c r="AC564" s="1"/>
      <c r="AD564">
        <v>3</v>
      </c>
      <c r="AE564">
        <v>216</v>
      </c>
      <c r="AG5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65" spans="1:33" x14ac:dyDescent="0.35">
      <c r="A565">
        <v>569</v>
      </c>
      <c r="B565" s="1"/>
      <c r="C565">
        <v>0</v>
      </c>
      <c r="D565" s="1"/>
      <c r="E565" s="1"/>
      <c r="F565" s="1" t="s">
        <v>30</v>
      </c>
      <c r="G565" s="1" t="s">
        <v>2075</v>
      </c>
      <c r="H565" s="1" t="s">
        <v>2076</v>
      </c>
      <c r="I565" s="1"/>
      <c r="J565" s="1" t="s">
        <v>2077</v>
      </c>
      <c r="K565" s="1"/>
      <c r="L565" s="1"/>
      <c r="M565" s="1" t="s">
        <v>197</v>
      </c>
      <c r="N565" s="1" t="s">
        <v>43</v>
      </c>
      <c r="O565" s="1" t="s">
        <v>44</v>
      </c>
      <c r="P565" s="1" t="s">
        <v>37</v>
      </c>
      <c r="Q565" s="1"/>
      <c r="R565" s="2">
        <v>44008</v>
      </c>
      <c r="S565" s="1"/>
      <c r="W565" s="1" t="s">
        <v>38</v>
      </c>
      <c r="X565" s="2">
        <v>44011</v>
      </c>
      <c r="Y565" s="2">
        <v>44020</v>
      </c>
      <c r="Z565" s="2">
        <v>44019</v>
      </c>
      <c r="AA565" s="2"/>
      <c r="AB565" s="2">
        <v>44008</v>
      </c>
      <c r="AC565" s="1"/>
      <c r="AD565">
        <v>11</v>
      </c>
      <c r="AE565">
        <v>216</v>
      </c>
      <c r="AG5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566" spans="1:33" x14ac:dyDescent="0.35">
      <c r="A566">
        <v>570</v>
      </c>
      <c r="B566" s="1"/>
      <c r="C566">
        <v>0</v>
      </c>
      <c r="D566" s="1" t="s">
        <v>1479</v>
      </c>
      <c r="E566" s="1"/>
      <c r="F566" s="1" t="s">
        <v>30</v>
      </c>
      <c r="G566" s="1" t="s">
        <v>2078</v>
      </c>
      <c r="H566" s="1" t="s">
        <v>2079</v>
      </c>
      <c r="I566" s="1"/>
      <c r="J566" s="1" t="s">
        <v>2198</v>
      </c>
      <c r="K566" s="1"/>
      <c r="L566" s="1"/>
      <c r="M566" s="1" t="s">
        <v>34</v>
      </c>
      <c r="N566" s="1" t="s">
        <v>378</v>
      </c>
      <c r="O566" s="1" t="s">
        <v>147</v>
      </c>
      <c r="P566" s="1" t="s">
        <v>379</v>
      </c>
      <c r="Q566" s="1"/>
      <c r="R566" s="2">
        <v>44011</v>
      </c>
      <c r="S566" s="1"/>
      <c r="W566" s="1" t="s">
        <v>38</v>
      </c>
      <c r="X566" s="2">
        <v>44018</v>
      </c>
      <c r="Y566" s="2">
        <v>44033</v>
      </c>
      <c r="Z566" s="2">
        <v>44028</v>
      </c>
      <c r="AA566" s="2">
        <v>44025</v>
      </c>
      <c r="AB566" s="2">
        <v>44011</v>
      </c>
      <c r="AC566" s="1"/>
      <c r="AD566">
        <v>17</v>
      </c>
      <c r="AE566">
        <v>213</v>
      </c>
      <c r="AG5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67" spans="1:33" x14ac:dyDescent="0.35">
      <c r="A567">
        <v>571</v>
      </c>
      <c r="B567" s="1"/>
      <c r="C567">
        <v>0</v>
      </c>
      <c r="D567" s="1"/>
      <c r="E567" s="1"/>
      <c r="F567" s="1" t="s">
        <v>30</v>
      </c>
      <c r="G567" s="1" t="s">
        <v>2080</v>
      </c>
      <c r="H567" s="1" t="s">
        <v>2081</v>
      </c>
      <c r="I567" s="1"/>
      <c r="J567" s="1" t="s">
        <v>2464</v>
      </c>
      <c r="K567" s="1"/>
      <c r="L567" s="1"/>
      <c r="M567" s="1" t="s">
        <v>34</v>
      </c>
      <c r="N567" s="1" t="s">
        <v>276</v>
      </c>
      <c r="O567" s="1" t="s">
        <v>277</v>
      </c>
      <c r="P567" s="1" t="s">
        <v>278</v>
      </c>
      <c r="Q567" s="1"/>
      <c r="R567" s="2">
        <v>44131</v>
      </c>
      <c r="S567" s="1"/>
      <c r="W567" s="1" t="s">
        <v>38</v>
      </c>
      <c r="X567" s="2">
        <v>44019</v>
      </c>
      <c r="Y567" s="2">
        <v>44132</v>
      </c>
      <c r="Z567" s="2">
        <v>44127</v>
      </c>
      <c r="AA567" s="2">
        <v>44055</v>
      </c>
      <c r="AB567" s="2">
        <v>44012</v>
      </c>
      <c r="AC567" s="1"/>
      <c r="AD567">
        <v>115</v>
      </c>
      <c r="AE567">
        <v>212</v>
      </c>
      <c r="AG5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115</v>
      </c>
    </row>
    <row r="568" spans="1:33" x14ac:dyDescent="0.35">
      <c r="A568">
        <v>572</v>
      </c>
      <c r="B568" s="1"/>
      <c r="C568">
        <v>0</v>
      </c>
      <c r="D568" s="1"/>
      <c r="E568" s="1"/>
      <c r="F568" s="1" t="s">
        <v>30</v>
      </c>
      <c r="G568" s="1" t="s">
        <v>2082</v>
      </c>
      <c r="H568" s="1" t="s">
        <v>2083</v>
      </c>
      <c r="I568" s="1"/>
      <c r="J568" s="1" t="s">
        <v>2084</v>
      </c>
      <c r="K568" s="1"/>
      <c r="L568" s="1"/>
      <c r="M568" s="1" t="s">
        <v>34</v>
      </c>
      <c r="N568" s="1" t="s">
        <v>341</v>
      </c>
      <c r="O568" s="1" t="s">
        <v>62</v>
      </c>
      <c r="P568" s="1" t="s">
        <v>63</v>
      </c>
      <c r="Q568" s="1"/>
      <c r="R568" s="2">
        <v>44012</v>
      </c>
      <c r="S568" s="1"/>
      <c r="W568" s="1" t="s">
        <v>38</v>
      </c>
      <c r="X568" s="2">
        <v>44019</v>
      </c>
      <c r="Y568" s="2">
        <v>44020</v>
      </c>
      <c r="Z568" s="2">
        <v>44014</v>
      </c>
      <c r="AA568" s="2">
        <v>44013</v>
      </c>
      <c r="AB568" s="2">
        <v>44012</v>
      </c>
      <c r="AC568" s="1"/>
      <c r="AD568">
        <v>2</v>
      </c>
      <c r="AE568">
        <v>212</v>
      </c>
      <c r="AG5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69" spans="1:33" x14ac:dyDescent="0.35">
      <c r="A569">
        <v>573</v>
      </c>
      <c r="B569" s="1"/>
      <c r="C569">
        <v>0</v>
      </c>
      <c r="D569" s="1"/>
      <c r="E569" s="1"/>
      <c r="F569" s="1" t="s">
        <v>30</v>
      </c>
      <c r="G569" s="1" t="s">
        <v>2085</v>
      </c>
      <c r="H569" s="1" t="s">
        <v>2086</v>
      </c>
      <c r="I569" s="1"/>
      <c r="J569" s="1" t="s">
        <v>2199</v>
      </c>
      <c r="K569" s="1"/>
      <c r="L569" s="1"/>
      <c r="M569" s="1" t="s">
        <v>197</v>
      </c>
      <c r="N569" s="1" t="s">
        <v>43</v>
      </c>
      <c r="O569" s="1" t="s">
        <v>44</v>
      </c>
      <c r="P569" s="1" t="s">
        <v>37</v>
      </c>
      <c r="Q569" s="1"/>
      <c r="R569" s="2">
        <v>44012</v>
      </c>
      <c r="S569" s="1"/>
      <c r="W569" s="1" t="s">
        <v>38</v>
      </c>
      <c r="X569" s="2">
        <v>44024</v>
      </c>
      <c r="Y569" s="2">
        <v>44027</v>
      </c>
      <c r="Z569" s="2">
        <v>44027</v>
      </c>
      <c r="AA569" s="2"/>
      <c r="AB569" s="2">
        <v>44012</v>
      </c>
      <c r="AC569" s="1"/>
      <c r="AD569">
        <v>15</v>
      </c>
      <c r="AE569">
        <v>212</v>
      </c>
      <c r="AG5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570" spans="1:33" x14ac:dyDescent="0.35">
      <c r="A570">
        <v>574</v>
      </c>
      <c r="B570" s="1"/>
      <c r="C570">
        <v>0</v>
      </c>
      <c r="D570" s="1"/>
      <c r="E570" s="1"/>
      <c r="F570" s="1" t="s">
        <v>30</v>
      </c>
      <c r="G570" s="1" t="s">
        <v>2087</v>
      </c>
      <c r="H570" s="1" t="s">
        <v>2088</v>
      </c>
      <c r="I570" s="1"/>
      <c r="J570" s="1" t="s">
        <v>2307</v>
      </c>
      <c r="K570" s="1"/>
      <c r="L570" s="1"/>
      <c r="M570" s="1" t="s">
        <v>34</v>
      </c>
      <c r="N570" s="1" t="s">
        <v>43</v>
      </c>
      <c r="O570" s="1" t="s">
        <v>44</v>
      </c>
      <c r="P570" s="1" t="s">
        <v>37</v>
      </c>
      <c r="Q570" s="1"/>
      <c r="R570" s="2">
        <v>44013</v>
      </c>
      <c r="S570" s="1"/>
      <c r="W570" s="1" t="s">
        <v>38</v>
      </c>
      <c r="X570" s="2">
        <v>44019</v>
      </c>
      <c r="Y570" s="2">
        <v>44054</v>
      </c>
      <c r="Z570" s="2">
        <v>44053</v>
      </c>
      <c r="AA570" s="2"/>
      <c r="AB570" s="2">
        <v>44013</v>
      </c>
      <c r="AC570" s="1"/>
      <c r="AD570">
        <v>40</v>
      </c>
      <c r="AE570">
        <v>211</v>
      </c>
      <c r="AG5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40</v>
      </c>
    </row>
    <row r="571" spans="1:33" x14ac:dyDescent="0.35">
      <c r="A571">
        <v>575</v>
      </c>
      <c r="B571" s="1"/>
      <c r="C571">
        <v>0</v>
      </c>
      <c r="D571" s="1"/>
      <c r="E571" s="1"/>
      <c r="F571" s="1" t="s">
        <v>30</v>
      </c>
      <c r="G571" s="1" t="s">
        <v>2089</v>
      </c>
      <c r="H571" s="1" t="s">
        <v>2090</v>
      </c>
      <c r="I571" s="1"/>
      <c r="J571" s="1" t="s">
        <v>2091</v>
      </c>
      <c r="K571" s="1"/>
      <c r="L571" s="1"/>
      <c r="M571" s="1" t="s">
        <v>197</v>
      </c>
      <c r="N571" s="1" t="s">
        <v>43</v>
      </c>
      <c r="O571" s="1" t="s">
        <v>44</v>
      </c>
      <c r="P571" s="1" t="s">
        <v>63</v>
      </c>
      <c r="Q571" s="1"/>
      <c r="R571" s="2">
        <v>44013</v>
      </c>
      <c r="S571" s="1"/>
      <c r="V571">
        <v>15000</v>
      </c>
      <c r="W571" s="1" t="s">
        <v>38</v>
      </c>
      <c r="X571" s="2">
        <v>44016</v>
      </c>
      <c r="Y571" s="2">
        <v>44013</v>
      </c>
      <c r="Z571" s="2">
        <v>44013</v>
      </c>
      <c r="AA571" s="2"/>
      <c r="AB571" s="2">
        <v>44013</v>
      </c>
      <c r="AC571" s="1"/>
      <c r="AD571">
        <v>0</v>
      </c>
      <c r="AE571">
        <v>211</v>
      </c>
      <c r="AG5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72" spans="1:33" x14ac:dyDescent="0.35">
      <c r="A572">
        <v>576</v>
      </c>
      <c r="B572" s="1"/>
      <c r="C572">
        <v>0</v>
      </c>
      <c r="D572" s="1"/>
      <c r="E572" s="1"/>
      <c r="F572" s="1" t="s">
        <v>30</v>
      </c>
      <c r="G572" s="1" t="s">
        <v>2092</v>
      </c>
      <c r="H572" s="1" t="s">
        <v>2093</v>
      </c>
      <c r="I572" s="1"/>
      <c r="J572" s="1" t="s">
        <v>2094</v>
      </c>
      <c r="K572" s="1"/>
      <c r="L572" s="1"/>
      <c r="M572" s="1" t="s">
        <v>197</v>
      </c>
      <c r="N572" s="1" t="s">
        <v>43</v>
      </c>
      <c r="O572" s="1" t="s">
        <v>44</v>
      </c>
      <c r="P572" s="1" t="s">
        <v>63</v>
      </c>
      <c r="Q572" s="1"/>
      <c r="R572" s="2">
        <v>44013</v>
      </c>
      <c r="S572" s="1"/>
      <c r="W572" s="1" t="s">
        <v>38</v>
      </c>
      <c r="X572" s="2">
        <v>44016</v>
      </c>
      <c r="Y572" s="2">
        <v>44020</v>
      </c>
      <c r="Z572" s="2">
        <v>44014</v>
      </c>
      <c r="AA572" s="2"/>
      <c r="AB572" s="2">
        <v>44013</v>
      </c>
      <c r="AC572" s="1"/>
      <c r="AD572">
        <v>1</v>
      </c>
      <c r="AE572">
        <v>211</v>
      </c>
      <c r="AG5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73" spans="1:33" x14ac:dyDescent="0.35">
      <c r="A573">
        <v>577</v>
      </c>
      <c r="B573" s="1"/>
      <c r="C573">
        <v>0</v>
      </c>
      <c r="D573" s="1"/>
      <c r="E573" s="1"/>
      <c r="F573" s="1" t="s">
        <v>30</v>
      </c>
      <c r="G573" s="1" t="s">
        <v>2095</v>
      </c>
      <c r="H573" s="1" t="s">
        <v>2096</v>
      </c>
      <c r="I573" s="1"/>
      <c r="J573" s="1" t="s">
        <v>2097</v>
      </c>
      <c r="K573" s="1"/>
      <c r="L573" s="1"/>
      <c r="M573" s="1" t="s">
        <v>34</v>
      </c>
      <c r="N573" s="1" t="s">
        <v>276</v>
      </c>
      <c r="O573" s="1" t="s">
        <v>277</v>
      </c>
      <c r="P573" s="1" t="s">
        <v>278</v>
      </c>
      <c r="Q573" s="1"/>
      <c r="R573" s="2">
        <v>44013</v>
      </c>
      <c r="S573" s="1"/>
      <c r="W573" s="1" t="s">
        <v>38</v>
      </c>
      <c r="X573" s="2">
        <v>44020</v>
      </c>
      <c r="Y573" s="2">
        <v>44019</v>
      </c>
      <c r="Z573" s="2">
        <v>44019</v>
      </c>
      <c r="AA573" s="2">
        <v>44019</v>
      </c>
      <c r="AB573" s="2">
        <v>44013</v>
      </c>
      <c r="AC573" s="1"/>
      <c r="AD573">
        <v>6</v>
      </c>
      <c r="AE573">
        <v>211</v>
      </c>
      <c r="AG5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74" spans="1:33" x14ac:dyDescent="0.35">
      <c r="A574">
        <v>578</v>
      </c>
      <c r="B574" s="1"/>
      <c r="C574">
        <v>0</v>
      </c>
      <c r="D574" s="1"/>
      <c r="E574" s="1"/>
      <c r="F574" s="1" t="s">
        <v>30</v>
      </c>
      <c r="G574" s="1" t="s">
        <v>2098</v>
      </c>
      <c r="H574" s="1" t="s">
        <v>2099</v>
      </c>
      <c r="I574" s="1"/>
      <c r="J574" s="1" t="s">
        <v>2100</v>
      </c>
      <c r="K574" s="1"/>
      <c r="L574" s="1"/>
      <c r="M574" s="1" t="s">
        <v>34</v>
      </c>
      <c r="N574" s="1" t="s">
        <v>348</v>
      </c>
      <c r="O574" s="1" t="s">
        <v>44</v>
      </c>
      <c r="P574" s="1" t="s">
        <v>63</v>
      </c>
      <c r="Q574" s="1"/>
      <c r="R574" s="2">
        <v>44013</v>
      </c>
      <c r="S574" s="1"/>
      <c r="W574" s="1" t="s">
        <v>38</v>
      </c>
      <c r="X574" s="2">
        <v>44020</v>
      </c>
      <c r="Y574" s="2">
        <v>44020</v>
      </c>
      <c r="Z574" s="2">
        <v>44018</v>
      </c>
      <c r="AA574" s="2"/>
      <c r="AB574" s="2">
        <v>44013</v>
      </c>
      <c r="AC574" s="1"/>
      <c r="AD574">
        <v>5</v>
      </c>
      <c r="AE574">
        <v>211</v>
      </c>
      <c r="AG5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75" spans="1:33" x14ac:dyDescent="0.35">
      <c r="A575">
        <v>579</v>
      </c>
      <c r="B575" s="1"/>
      <c r="C575">
        <v>0</v>
      </c>
      <c r="D575" s="1"/>
      <c r="E575" s="1"/>
      <c r="F575" s="1" t="s">
        <v>30</v>
      </c>
      <c r="G575" s="1" t="s">
        <v>2101</v>
      </c>
      <c r="H575" s="1" t="s">
        <v>2102</v>
      </c>
      <c r="I575" s="1"/>
      <c r="J575" s="1" t="s">
        <v>2103</v>
      </c>
      <c r="K575" s="1"/>
      <c r="L575" s="1"/>
      <c r="M575" s="1" t="s">
        <v>34</v>
      </c>
      <c r="N575" s="1" t="s">
        <v>245</v>
      </c>
      <c r="O575" s="1" t="s">
        <v>147</v>
      </c>
      <c r="P575" s="1" t="s">
        <v>379</v>
      </c>
      <c r="Q575" s="1"/>
      <c r="R575" s="2">
        <v>44014</v>
      </c>
      <c r="S575" s="1"/>
      <c r="W575" s="1" t="s">
        <v>38</v>
      </c>
      <c r="X575" s="2">
        <v>44021</v>
      </c>
      <c r="Y575" s="2">
        <v>44020</v>
      </c>
      <c r="Z575" s="2">
        <v>44020</v>
      </c>
      <c r="AA575" s="2">
        <v>44020</v>
      </c>
      <c r="AB575" s="2">
        <v>44014</v>
      </c>
      <c r="AC575" s="1"/>
      <c r="AD575">
        <v>6</v>
      </c>
      <c r="AE575">
        <v>210</v>
      </c>
      <c r="AG5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76" spans="1:33" x14ac:dyDescent="0.35">
      <c r="A576">
        <v>580</v>
      </c>
      <c r="B576" s="1"/>
      <c r="C576">
        <v>0</v>
      </c>
      <c r="D576" s="1"/>
      <c r="E576" s="1"/>
      <c r="F576" s="1" t="s">
        <v>30</v>
      </c>
      <c r="G576" s="1" t="s">
        <v>2104</v>
      </c>
      <c r="H576" s="1" t="s">
        <v>2105</v>
      </c>
      <c r="I576" s="1"/>
      <c r="J576" s="1" t="s">
        <v>2200</v>
      </c>
      <c r="K576" s="1"/>
      <c r="L576" s="1"/>
      <c r="M576" s="1" t="s">
        <v>34</v>
      </c>
      <c r="N576" s="1" t="s">
        <v>245</v>
      </c>
      <c r="O576" s="1" t="s">
        <v>147</v>
      </c>
      <c r="P576" s="1" t="s">
        <v>379</v>
      </c>
      <c r="Q576" s="1"/>
      <c r="R576" s="2">
        <v>44014</v>
      </c>
      <c r="S576" s="1"/>
      <c r="W576" s="1" t="s">
        <v>38</v>
      </c>
      <c r="X576" s="2">
        <v>44021</v>
      </c>
      <c r="Y576" s="2">
        <v>44035</v>
      </c>
      <c r="Z576" s="2">
        <v>44029</v>
      </c>
      <c r="AA576" s="2">
        <v>44020</v>
      </c>
      <c r="AB576" s="2">
        <v>44014</v>
      </c>
      <c r="AC576" s="1"/>
      <c r="AD576">
        <v>15</v>
      </c>
      <c r="AE576">
        <v>210</v>
      </c>
      <c r="AG5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577" spans="1:33" x14ac:dyDescent="0.35">
      <c r="A577">
        <v>581</v>
      </c>
      <c r="B577" s="1"/>
      <c r="C577">
        <v>0</v>
      </c>
      <c r="D577" s="1"/>
      <c r="E577" s="1"/>
      <c r="F577" s="1" t="s">
        <v>30</v>
      </c>
      <c r="G577" s="1" t="s">
        <v>2106</v>
      </c>
      <c r="H577" s="1" t="s">
        <v>2107</v>
      </c>
      <c r="I577" s="1"/>
      <c r="J577" s="1" t="s">
        <v>2201</v>
      </c>
      <c r="K577" s="1"/>
      <c r="L577" s="1"/>
      <c r="M577" s="1" t="s">
        <v>197</v>
      </c>
      <c r="N577" s="1" t="s">
        <v>43</v>
      </c>
      <c r="O577" s="1" t="s">
        <v>44</v>
      </c>
      <c r="P577" s="1" t="s">
        <v>37</v>
      </c>
      <c r="Q577" s="1"/>
      <c r="R577" s="2">
        <v>44014</v>
      </c>
      <c r="S577" s="1"/>
      <c r="W577" s="1" t="s">
        <v>38</v>
      </c>
      <c r="X577" s="2">
        <v>44017</v>
      </c>
      <c r="Y577" s="2">
        <v>44027</v>
      </c>
      <c r="Z577" s="2">
        <v>44026</v>
      </c>
      <c r="AA577" s="2"/>
      <c r="AB577" s="2">
        <v>44014</v>
      </c>
      <c r="AC577" s="1"/>
      <c r="AD577">
        <v>12</v>
      </c>
      <c r="AE577">
        <v>210</v>
      </c>
      <c r="AG5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78" spans="1:33" x14ac:dyDescent="0.35">
      <c r="A578">
        <v>582</v>
      </c>
      <c r="B578" s="1"/>
      <c r="C578">
        <v>0</v>
      </c>
      <c r="D578" s="1" t="s">
        <v>111</v>
      </c>
      <c r="E578" s="1" t="s">
        <v>2108</v>
      </c>
      <c r="F578" s="1" t="s">
        <v>30</v>
      </c>
      <c r="G578" s="1" t="s">
        <v>2109</v>
      </c>
      <c r="H578" s="1" t="s">
        <v>2110</v>
      </c>
      <c r="I578" s="1" t="s">
        <v>2111</v>
      </c>
      <c r="J578" s="1" t="s">
        <v>2202</v>
      </c>
      <c r="K578" s="1"/>
      <c r="L578" s="1"/>
      <c r="M578" s="1" t="s">
        <v>34</v>
      </c>
      <c r="N578" s="1" t="s">
        <v>97</v>
      </c>
      <c r="O578" s="1" t="s">
        <v>98</v>
      </c>
      <c r="P578" s="1" t="s">
        <v>37</v>
      </c>
      <c r="Q578" s="1"/>
      <c r="R578" s="2">
        <v>44014</v>
      </c>
      <c r="S578" s="1"/>
      <c r="W578" s="1" t="s">
        <v>38</v>
      </c>
      <c r="X578" s="2">
        <v>44021</v>
      </c>
      <c r="Y578" s="2">
        <v>44027</v>
      </c>
      <c r="Z578" s="2">
        <v>44027</v>
      </c>
      <c r="AA578" s="2">
        <v>44022</v>
      </c>
      <c r="AB578" s="2">
        <v>44014</v>
      </c>
      <c r="AC578" s="1"/>
      <c r="AD578">
        <v>13</v>
      </c>
      <c r="AE578">
        <v>210</v>
      </c>
      <c r="AG5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79" spans="1:33" x14ac:dyDescent="0.35">
      <c r="A579">
        <v>583</v>
      </c>
      <c r="B579" s="1"/>
      <c r="C579">
        <v>0</v>
      </c>
      <c r="D579" s="1"/>
      <c r="E579" s="1"/>
      <c r="F579" s="1" t="s">
        <v>30</v>
      </c>
      <c r="G579" s="1" t="s">
        <v>2112</v>
      </c>
      <c r="H579" s="1" t="s">
        <v>2113</v>
      </c>
      <c r="I579" s="1"/>
      <c r="J579" s="1" t="s">
        <v>2114</v>
      </c>
      <c r="K579" s="1"/>
      <c r="L579" s="1"/>
      <c r="M579" s="1" t="s">
        <v>34</v>
      </c>
      <c r="N579" s="1" t="s">
        <v>853</v>
      </c>
      <c r="O579" s="1" t="s">
        <v>854</v>
      </c>
      <c r="P579" s="1" t="s">
        <v>164</v>
      </c>
      <c r="Q579" s="1"/>
      <c r="R579" s="2">
        <v>44014</v>
      </c>
      <c r="S579" s="1"/>
      <c r="W579" s="1" t="s">
        <v>38</v>
      </c>
      <c r="X579" s="2">
        <v>44021</v>
      </c>
      <c r="Y579" s="2">
        <v>44035</v>
      </c>
      <c r="Z579" s="2">
        <v>44021</v>
      </c>
      <c r="AA579" s="2"/>
      <c r="AB579" s="2">
        <v>44014</v>
      </c>
      <c r="AC579" s="1"/>
      <c r="AD579">
        <v>7</v>
      </c>
      <c r="AE579">
        <v>210</v>
      </c>
      <c r="AG5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580" spans="1:33" x14ac:dyDescent="0.35">
      <c r="A580">
        <v>584</v>
      </c>
      <c r="B580" s="1"/>
      <c r="C580">
        <v>0</v>
      </c>
      <c r="D580" s="1"/>
      <c r="E580" s="1"/>
      <c r="F580" s="1" t="s">
        <v>30</v>
      </c>
      <c r="G580" s="1" t="s">
        <v>2115</v>
      </c>
      <c r="H580" s="1" t="s">
        <v>2116</v>
      </c>
      <c r="I580" s="1"/>
      <c r="J580" s="1" t="s">
        <v>2203</v>
      </c>
      <c r="K580" s="1"/>
      <c r="L580" s="1"/>
      <c r="M580" s="1" t="s">
        <v>34</v>
      </c>
      <c r="N580" s="1" t="s">
        <v>2117</v>
      </c>
      <c r="O580" s="1" t="s">
        <v>44</v>
      </c>
      <c r="P580" s="1" t="s">
        <v>379</v>
      </c>
      <c r="Q580" s="1"/>
      <c r="R580" s="2">
        <v>44014</v>
      </c>
      <c r="S580" s="1"/>
      <c r="W580" s="1" t="s">
        <v>38</v>
      </c>
      <c r="X580" s="2">
        <v>44021</v>
      </c>
      <c r="Y580" s="2">
        <v>44055</v>
      </c>
      <c r="Z580" s="2">
        <v>44043</v>
      </c>
      <c r="AA580" s="2"/>
      <c r="AB580" s="2">
        <v>44014</v>
      </c>
      <c r="AC580" s="1"/>
      <c r="AD580">
        <v>29</v>
      </c>
      <c r="AE580">
        <v>210</v>
      </c>
      <c r="AG5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581" spans="1:33" x14ac:dyDescent="0.35">
      <c r="A581">
        <v>585</v>
      </c>
      <c r="B581" s="1"/>
      <c r="C581">
        <v>0</v>
      </c>
      <c r="D581" s="1" t="s">
        <v>111</v>
      </c>
      <c r="E581" s="1" t="s">
        <v>2118</v>
      </c>
      <c r="F581" s="1" t="s">
        <v>30</v>
      </c>
      <c r="G581" s="1" t="s">
        <v>2119</v>
      </c>
      <c r="H581" s="1" t="s">
        <v>2120</v>
      </c>
      <c r="I581" s="1" t="s">
        <v>2121</v>
      </c>
      <c r="J581" s="1" t="s">
        <v>2368</v>
      </c>
      <c r="K581" s="1"/>
      <c r="L581" s="1"/>
      <c r="M581" s="1" t="s">
        <v>34</v>
      </c>
      <c r="N581" s="1" t="s">
        <v>97</v>
      </c>
      <c r="O581" s="1" t="s">
        <v>98</v>
      </c>
      <c r="P581" s="1" t="s">
        <v>37</v>
      </c>
      <c r="Q581" s="1"/>
      <c r="R581" s="2">
        <v>44014</v>
      </c>
      <c r="S581" s="1"/>
      <c r="W581" s="1" t="s">
        <v>38</v>
      </c>
      <c r="X581" s="2">
        <v>44021</v>
      </c>
      <c r="Y581" s="2">
        <v>44025</v>
      </c>
      <c r="Z581" s="2">
        <v>44022</v>
      </c>
      <c r="AA581" s="2">
        <v>44021</v>
      </c>
      <c r="AB581" s="2">
        <v>44014</v>
      </c>
      <c r="AC581" s="1"/>
      <c r="AD581">
        <v>8</v>
      </c>
      <c r="AE581">
        <v>210</v>
      </c>
      <c r="AG5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582" spans="1:33" x14ac:dyDescent="0.35">
      <c r="A582">
        <v>586</v>
      </c>
      <c r="B582" s="1"/>
      <c r="C582">
        <v>0</v>
      </c>
      <c r="D582" s="1" t="s">
        <v>111</v>
      </c>
      <c r="E582" s="1" t="s">
        <v>2122</v>
      </c>
      <c r="F582" s="1" t="s">
        <v>30</v>
      </c>
      <c r="G582" s="1" t="s">
        <v>2123</v>
      </c>
      <c r="H582" s="1" t="s">
        <v>2124</v>
      </c>
      <c r="I582" s="1" t="s">
        <v>2125</v>
      </c>
      <c r="J582" s="1" t="s">
        <v>2126</v>
      </c>
      <c r="K582" s="1"/>
      <c r="L582" s="1"/>
      <c r="M582" s="1" t="s">
        <v>34</v>
      </c>
      <c r="N582" s="1" t="s">
        <v>97</v>
      </c>
      <c r="O582" s="1" t="s">
        <v>98</v>
      </c>
      <c r="P582" s="1" t="s">
        <v>37</v>
      </c>
      <c r="Q582" s="1"/>
      <c r="R582" s="2">
        <v>44014</v>
      </c>
      <c r="S582" s="1"/>
      <c r="W582" s="1" t="s">
        <v>38</v>
      </c>
      <c r="X582" s="2">
        <v>44021</v>
      </c>
      <c r="Y582" s="2">
        <v>44020</v>
      </c>
      <c r="Z582" s="2">
        <v>44020</v>
      </c>
      <c r="AA582" s="2">
        <v>44020</v>
      </c>
      <c r="AB582" s="2">
        <v>44014</v>
      </c>
      <c r="AC582" s="1"/>
      <c r="AD582">
        <v>6</v>
      </c>
      <c r="AE582">
        <v>210</v>
      </c>
      <c r="AG5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83" spans="1:33" x14ac:dyDescent="0.35">
      <c r="A583">
        <v>587</v>
      </c>
      <c r="B583" s="1"/>
      <c r="C583">
        <v>0</v>
      </c>
      <c r="D583" s="1"/>
      <c r="E583" s="1" t="s">
        <v>2127</v>
      </c>
      <c r="F583" s="1" t="s">
        <v>30</v>
      </c>
      <c r="G583" s="1" t="s">
        <v>2128</v>
      </c>
      <c r="H583" s="1" t="s">
        <v>2129</v>
      </c>
      <c r="I583" s="1" t="s">
        <v>2130</v>
      </c>
      <c r="J583" s="1" t="s">
        <v>2131</v>
      </c>
      <c r="K583" s="1"/>
      <c r="L583" s="1"/>
      <c r="M583" s="1" t="s">
        <v>197</v>
      </c>
      <c r="N583" s="1" t="s">
        <v>129</v>
      </c>
      <c r="O583" s="1" t="s">
        <v>44</v>
      </c>
      <c r="P583" s="1" t="s">
        <v>37</v>
      </c>
      <c r="Q583" s="1"/>
      <c r="R583" s="2">
        <v>44018</v>
      </c>
      <c r="S583" s="1"/>
      <c r="W583" s="1" t="s">
        <v>38</v>
      </c>
      <c r="X583" s="2">
        <v>44021</v>
      </c>
      <c r="Y583" s="2">
        <v>44018</v>
      </c>
      <c r="Z583" s="2">
        <v>44018</v>
      </c>
      <c r="AA583" s="2"/>
      <c r="AB583" s="2">
        <v>44018</v>
      </c>
      <c r="AC583" s="1"/>
      <c r="AD583">
        <v>0</v>
      </c>
      <c r="AE583">
        <v>206</v>
      </c>
      <c r="AG5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4" spans="1:33" x14ac:dyDescent="0.35">
      <c r="A584">
        <v>588</v>
      </c>
      <c r="B584" s="1"/>
      <c r="C584">
        <v>0</v>
      </c>
      <c r="D584" s="1"/>
      <c r="E584" s="1"/>
      <c r="F584" s="1" t="s">
        <v>30</v>
      </c>
      <c r="G584" s="1" t="s">
        <v>2132</v>
      </c>
      <c r="H584" s="1" t="s">
        <v>2133</v>
      </c>
      <c r="I584" s="1"/>
      <c r="J584" s="1" t="s">
        <v>2134</v>
      </c>
      <c r="K584" s="1"/>
      <c r="L584" s="1"/>
      <c r="M584" s="1" t="s">
        <v>34</v>
      </c>
      <c r="N584" s="1" t="s">
        <v>880</v>
      </c>
      <c r="O584" s="1" t="s">
        <v>44</v>
      </c>
      <c r="P584" s="1" t="s">
        <v>37</v>
      </c>
      <c r="Q584" s="1"/>
      <c r="R584" s="2">
        <v>44018</v>
      </c>
      <c r="S584" s="1"/>
      <c r="W584" s="1" t="s">
        <v>38</v>
      </c>
      <c r="X584" s="2">
        <v>44025</v>
      </c>
      <c r="Y584" s="2">
        <v>44020</v>
      </c>
      <c r="Z584" s="2">
        <v>44019</v>
      </c>
      <c r="AA584" s="2"/>
      <c r="AB584" s="2">
        <v>44018</v>
      </c>
      <c r="AC584" s="1"/>
      <c r="AD584">
        <v>1</v>
      </c>
      <c r="AE584">
        <v>206</v>
      </c>
      <c r="AG5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5" spans="1:33" x14ac:dyDescent="0.35">
      <c r="A585">
        <v>589</v>
      </c>
      <c r="B585" s="1"/>
      <c r="C585">
        <v>0</v>
      </c>
      <c r="D585" s="1" t="s">
        <v>111</v>
      </c>
      <c r="E585" s="1" t="s">
        <v>2135</v>
      </c>
      <c r="F585" s="1" t="s">
        <v>30</v>
      </c>
      <c r="G585" s="1" t="s">
        <v>2136</v>
      </c>
      <c r="H585" s="1" t="s">
        <v>2137</v>
      </c>
      <c r="I585" s="1" t="s">
        <v>2138</v>
      </c>
      <c r="J585" s="1" t="s">
        <v>2204</v>
      </c>
      <c r="K585" s="1"/>
      <c r="L585" s="1"/>
      <c r="M585" s="1" t="s">
        <v>34</v>
      </c>
      <c r="N585" s="1" t="s">
        <v>97</v>
      </c>
      <c r="O585" s="1" t="s">
        <v>98</v>
      </c>
      <c r="P585" s="1" t="s">
        <v>37</v>
      </c>
      <c r="Q585" s="1"/>
      <c r="R585" s="2">
        <v>44018</v>
      </c>
      <c r="S585" s="1"/>
      <c r="W585" s="1" t="s">
        <v>38</v>
      </c>
      <c r="X585" s="2">
        <v>44025</v>
      </c>
      <c r="Y585" s="2">
        <v>44027</v>
      </c>
      <c r="Z585" s="2">
        <v>44027</v>
      </c>
      <c r="AA585" s="2">
        <v>44021</v>
      </c>
      <c r="AB585" s="2">
        <v>44018</v>
      </c>
      <c r="AC585" s="1"/>
      <c r="AD585">
        <v>9</v>
      </c>
      <c r="AE585">
        <v>206</v>
      </c>
      <c r="AG5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586" spans="1:33" x14ac:dyDescent="0.35">
      <c r="A586">
        <v>590</v>
      </c>
      <c r="B586" s="1"/>
      <c r="C586">
        <v>0</v>
      </c>
      <c r="D586" s="1"/>
      <c r="E586" s="1"/>
      <c r="F586" s="1" t="s">
        <v>30</v>
      </c>
      <c r="G586" s="1" t="s">
        <v>2139</v>
      </c>
      <c r="H586" s="1" t="s">
        <v>2140</v>
      </c>
      <c r="I586" s="1"/>
      <c r="J586" s="1" t="s">
        <v>2308</v>
      </c>
      <c r="K586" s="1"/>
      <c r="L586" s="1"/>
      <c r="M586" s="1" t="s">
        <v>34</v>
      </c>
      <c r="N586" s="1" t="s">
        <v>192</v>
      </c>
      <c r="O586" s="1" t="s">
        <v>193</v>
      </c>
      <c r="P586" s="1" t="s">
        <v>63</v>
      </c>
      <c r="Q586" s="1"/>
      <c r="R586" s="2">
        <v>44019</v>
      </c>
      <c r="S586" s="1"/>
      <c r="W586" s="1" t="s">
        <v>38</v>
      </c>
      <c r="X586" s="2">
        <v>44026</v>
      </c>
      <c r="Y586" s="2">
        <v>44020</v>
      </c>
      <c r="Z586" s="2">
        <v>44020</v>
      </c>
      <c r="AA586" s="2">
        <v>44020</v>
      </c>
      <c r="AB586" s="2">
        <v>44019</v>
      </c>
      <c r="AC586" s="1"/>
      <c r="AD586">
        <v>1</v>
      </c>
      <c r="AE586">
        <v>205</v>
      </c>
      <c r="AG5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7" spans="1:33" x14ac:dyDescent="0.35">
      <c r="A587">
        <v>591</v>
      </c>
      <c r="B587" s="1"/>
      <c r="C587">
        <v>0</v>
      </c>
      <c r="D587" s="1" t="s">
        <v>111</v>
      </c>
      <c r="E587" s="1" t="s">
        <v>2141</v>
      </c>
      <c r="F587" s="1" t="s">
        <v>30</v>
      </c>
      <c r="G587" s="1" t="s">
        <v>2142</v>
      </c>
      <c r="H587" s="1" t="s">
        <v>2143</v>
      </c>
      <c r="I587" s="1" t="s">
        <v>2144</v>
      </c>
      <c r="J587" s="1" t="s">
        <v>2205</v>
      </c>
      <c r="K587" s="1"/>
      <c r="L587" s="1"/>
      <c r="M587" s="1" t="s">
        <v>34</v>
      </c>
      <c r="N587" s="1" t="s">
        <v>97</v>
      </c>
      <c r="O587" s="1" t="s">
        <v>98</v>
      </c>
      <c r="P587" s="1" t="s">
        <v>63</v>
      </c>
      <c r="Q587" s="1"/>
      <c r="R587" s="2">
        <v>44019</v>
      </c>
      <c r="S587" s="1"/>
      <c r="W587" s="1" t="s">
        <v>38</v>
      </c>
      <c r="X587" s="2">
        <v>44026</v>
      </c>
      <c r="Y587" s="2">
        <v>44041</v>
      </c>
      <c r="Z587" s="2">
        <v>44035</v>
      </c>
      <c r="AA587" s="2">
        <v>44020</v>
      </c>
      <c r="AB587" s="2">
        <v>44019</v>
      </c>
      <c r="AC587" s="1"/>
      <c r="AD587">
        <v>16</v>
      </c>
      <c r="AE587">
        <v>205</v>
      </c>
      <c r="AG5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588" spans="1:33" x14ac:dyDescent="0.35">
      <c r="A588">
        <v>592</v>
      </c>
      <c r="B588" s="1"/>
      <c r="C588">
        <v>0</v>
      </c>
      <c r="D588" s="1" t="s">
        <v>111</v>
      </c>
      <c r="E588" s="1" t="s">
        <v>2145</v>
      </c>
      <c r="F588" s="1" t="s">
        <v>30</v>
      </c>
      <c r="G588" s="1" t="s">
        <v>2146</v>
      </c>
      <c r="H588" s="1" t="s">
        <v>2147</v>
      </c>
      <c r="I588" s="1" t="s">
        <v>2148</v>
      </c>
      <c r="J588" s="1" t="s">
        <v>2206</v>
      </c>
      <c r="K588" s="1"/>
      <c r="L588" s="1"/>
      <c r="M588" s="1" t="s">
        <v>34</v>
      </c>
      <c r="N588" s="1" t="s">
        <v>97</v>
      </c>
      <c r="O588" s="1" t="s">
        <v>98</v>
      </c>
      <c r="P588" s="1" t="s">
        <v>37</v>
      </c>
      <c r="Q588" s="1"/>
      <c r="R588" s="2">
        <v>44019</v>
      </c>
      <c r="S588" s="1"/>
      <c r="W588" s="1" t="s">
        <v>38</v>
      </c>
      <c r="X588" s="2">
        <v>44026</v>
      </c>
      <c r="Y588" s="2">
        <v>44028</v>
      </c>
      <c r="Z588" s="2">
        <v>44027</v>
      </c>
      <c r="AA588" s="2">
        <v>44022</v>
      </c>
      <c r="AB588" s="2">
        <v>44019</v>
      </c>
      <c r="AC588" s="1"/>
      <c r="AD588">
        <v>8</v>
      </c>
      <c r="AE588">
        <v>205</v>
      </c>
      <c r="AG5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589" spans="1:33" x14ac:dyDescent="0.35">
      <c r="A589">
        <v>593</v>
      </c>
      <c r="B589" s="1"/>
      <c r="C589">
        <v>0</v>
      </c>
      <c r="D589" s="1"/>
      <c r="E589" s="1" t="s">
        <v>2022</v>
      </c>
      <c r="F589" s="1" t="s">
        <v>30</v>
      </c>
      <c r="G589" s="1" t="s">
        <v>2149</v>
      </c>
      <c r="H589" s="1" t="s">
        <v>2150</v>
      </c>
      <c r="I589" s="1"/>
      <c r="J589" s="1" t="s">
        <v>2207</v>
      </c>
      <c r="K589" s="1"/>
      <c r="L589" s="1"/>
      <c r="M589" s="1" t="s">
        <v>34</v>
      </c>
      <c r="N589" s="1" t="s">
        <v>437</v>
      </c>
      <c r="O589" s="1" t="s">
        <v>44</v>
      </c>
      <c r="P589" s="1" t="s">
        <v>1838</v>
      </c>
      <c r="Q589" s="1" t="s">
        <v>586</v>
      </c>
      <c r="R589" s="2">
        <v>44019</v>
      </c>
      <c r="S589" s="1"/>
      <c r="W589" s="1" t="s">
        <v>38</v>
      </c>
      <c r="X589" s="2">
        <v>44026</v>
      </c>
      <c r="Y589" s="2">
        <v>44063</v>
      </c>
      <c r="Z589" s="2">
        <v>44020</v>
      </c>
      <c r="AA589" s="2">
        <v>44028</v>
      </c>
      <c r="AB589" s="2">
        <v>44019</v>
      </c>
      <c r="AC589" s="1"/>
      <c r="AD589">
        <v>1</v>
      </c>
      <c r="AE589">
        <v>205</v>
      </c>
      <c r="AG5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0" spans="1:33" x14ac:dyDescent="0.35">
      <c r="A590">
        <v>594</v>
      </c>
      <c r="B590" s="1"/>
      <c r="C590">
        <v>0</v>
      </c>
      <c r="D590" s="1"/>
      <c r="E590" s="1"/>
      <c r="F590" s="1" t="s">
        <v>30</v>
      </c>
      <c r="G590" s="1" t="s">
        <v>2151</v>
      </c>
      <c r="H590" s="1" t="s">
        <v>2152</v>
      </c>
      <c r="I590" s="1"/>
      <c r="J590" s="1" t="s">
        <v>2153</v>
      </c>
      <c r="K590" s="1"/>
      <c r="L590" s="1"/>
      <c r="M590" s="1" t="s">
        <v>34</v>
      </c>
      <c r="N590" s="1" t="s">
        <v>192</v>
      </c>
      <c r="O590" s="1" t="s">
        <v>193</v>
      </c>
      <c r="P590" s="1" t="s">
        <v>63</v>
      </c>
      <c r="Q590" s="1"/>
      <c r="R590" s="2">
        <v>44019</v>
      </c>
      <c r="S590" s="1"/>
      <c r="W590" s="1" t="s">
        <v>38</v>
      </c>
      <c r="X590" s="2">
        <v>44026</v>
      </c>
      <c r="Y590" s="2">
        <v>44020</v>
      </c>
      <c r="Z590" s="2">
        <v>44020</v>
      </c>
      <c r="AA590" s="2">
        <v>44020</v>
      </c>
      <c r="AB590" s="2">
        <v>44019</v>
      </c>
      <c r="AC590" s="1"/>
      <c r="AD590">
        <v>1</v>
      </c>
      <c r="AE590">
        <v>205</v>
      </c>
      <c r="AG5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1" spans="1:33" x14ac:dyDescent="0.35">
      <c r="A591">
        <v>595</v>
      </c>
      <c r="B591" s="1"/>
      <c r="C591">
        <v>0</v>
      </c>
      <c r="D591" s="1"/>
      <c r="E591" s="1"/>
      <c r="F591" s="1" t="s">
        <v>30</v>
      </c>
      <c r="G591" s="1" t="s">
        <v>2154</v>
      </c>
      <c r="H591" s="1" t="s">
        <v>2155</v>
      </c>
      <c r="I591" s="1"/>
      <c r="J591" s="1" t="s">
        <v>2465</v>
      </c>
      <c r="K591" s="1"/>
      <c r="L591" s="1"/>
      <c r="M591" s="1" t="s">
        <v>34</v>
      </c>
      <c r="N591" s="1" t="s">
        <v>393</v>
      </c>
      <c r="O591" s="1" t="s">
        <v>394</v>
      </c>
      <c r="P591" s="1" t="s">
        <v>393</v>
      </c>
      <c r="Q591" s="1" t="s">
        <v>394</v>
      </c>
      <c r="R591" s="2">
        <v>44020</v>
      </c>
      <c r="S591" s="1"/>
      <c r="W591" s="1" t="s">
        <v>38</v>
      </c>
      <c r="X591" s="2">
        <v>44026</v>
      </c>
      <c r="Y591" s="2">
        <v>44097</v>
      </c>
      <c r="Z591" s="2">
        <v>44076</v>
      </c>
      <c r="AA591" s="2">
        <v>44089</v>
      </c>
      <c r="AB591" s="2">
        <v>44020</v>
      </c>
      <c r="AC591" s="1"/>
      <c r="AD591">
        <v>56</v>
      </c>
      <c r="AE591">
        <v>204</v>
      </c>
      <c r="AG5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592" spans="1:33" x14ac:dyDescent="0.35">
      <c r="A592">
        <v>596</v>
      </c>
      <c r="B592" s="1"/>
      <c r="C592">
        <v>0</v>
      </c>
      <c r="D592" s="1"/>
      <c r="E592" s="1"/>
      <c r="F592" s="1" t="s">
        <v>30</v>
      </c>
      <c r="G592" s="1" t="s">
        <v>2156</v>
      </c>
      <c r="H592" s="1" t="s">
        <v>2157</v>
      </c>
      <c r="I592" s="1"/>
      <c r="J592" s="1" t="s">
        <v>2466</v>
      </c>
      <c r="K592" s="1"/>
      <c r="L592" s="1"/>
      <c r="M592" s="1" t="s">
        <v>34</v>
      </c>
      <c r="N592" s="1" t="s">
        <v>393</v>
      </c>
      <c r="O592" s="1" t="s">
        <v>394</v>
      </c>
      <c r="P592" s="1" t="s">
        <v>116</v>
      </c>
      <c r="Q592" s="1"/>
      <c r="R592" s="2">
        <v>44020</v>
      </c>
      <c r="S592" s="1"/>
      <c r="W592" s="1" t="s">
        <v>38</v>
      </c>
      <c r="X592" s="2">
        <v>44026</v>
      </c>
      <c r="Y592" s="2">
        <v>44098</v>
      </c>
      <c r="Z592" s="2">
        <v>44089</v>
      </c>
      <c r="AA592" s="2">
        <v>44020</v>
      </c>
      <c r="AB592" s="2">
        <v>44020</v>
      </c>
      <c r="AC592" s="1"/>
      <c r="AD592">
        <v>69</v>
      </c>
      <c r="AE592">
        <v>204</v>
      </c>
      <c r="AG5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69</v>
      </c>
    </row>
    <row r="593" spans="1:33" x14ac:dyDescent="0.35">
      <c r="A593">
        <v>597</v>
      </c>
      <c r="B593" s="1"/>
      <c r="C593">
        <v>0</v>
      </c>
      <c r="D593" s="1"/>
      <c r="E593" s="1" t="s">
        <v>2158</v>
      </c>
      <c r="F593" s="1" t="s">
        <v>30</v>
      </c>
      <c r="G593" s="1" t="s">
        <v>2159</v>
      </c>
      <c r="H593" s="1" t="s">
        <v>2160</v>
      </c>
      <c r="I593" s="1"/>
      <c r="J593" s="1" t="s">
        <v>2161</v>
      </c>
      <c r="K593" s="1"/>
      <c r="L593" s="1"/>
      <c r="M593" s="1" t="s">
        <v>34</v>
      </c>
      <c r="N593" s="1" t="s">
        <v>43</v>
      </c>
      <c r="O593" s="1" t="s">
        <v>44</v>
      </c>
      <c r="P593" s="1" t="s">
        <v>63</v>
      </c>
      <c r="Q593" s="1"/>
      <c r="R593" s="2">
        <v>44020</v>
      </c>
      <c r="S593" s="1"/>
      <c r="W593" s="1" t="s">
        <v>38</v>
      </c>
      <c r="X593" s="2">
        <v>44027</v>
      </c>
      <c r="Y593" s="2">
        <v>44020</v>
      </c>
      <c r="Z593" s="2">
        <v>44020</v>
      </c>
      <c r="AA593" s="2"/>
      <c r="AB593" s="2">
        <v>44020</v>
      </c>
      <c r="AC593" s="1"/>
      <c r="AD593">
        <v>0</v>
      </c>
      <c r="AE593">
        <v>204</v>
      </c>
      <c r="AG5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4" spans="1:33" x14ac:dyDescent="0.35">
      <c r="A594">
        <v>598</v>
      </c>
      <c r="B594" s="1"/>
      <c r="C594">
        <v>0</v>
      </c>
      <c r="D594" s="1"/>
      <c r="E594" s="1"/>
      <c r="F594" s="1" t="s">
        <v>30</v>
      </c>
      <c r="G594" s="1" t="s">
        <v>2162</v>
      </c>
      <c r="H594" s="1" t="s">
        <v>2163</v>
      </c>
      <c r="I594" s="1"/>
      <c r="J594" s="1" t="s">
        <v>2208</v>
      </c>
      <c r="K594" s="1"/>
      <c r="L594" s="1"/>
      <c r="M594" s="1" t="s">
        <v>34</v>
      </c>
      <c r="N594" s="1" t="s">
        <v>245</v>
      </c>
      <c r="O594" s="1" t="s">
        <v>147</v>
      </c>
      <c r="P594" s="1" t="s">
        <v>379</v>
      </c>
      <c r="Q594" s="1"/>
      <c r="R594" s="2">
        <v>44020</v>
      </c>
      <c r="S594" s="1"/>
      <c r="W594" s="1" t="s">
        <v>38</v>
      </c>
      <c r="X594" s="2">
        <v>44027</v>
      </c>
      <c r="Y594" s="2">
        <v>44040</v>
      </c>
      <c r="Z594" s="2">
        <v>44039</v>
      </c>
      <c r="AA594" s="2">
        <v>44020</v>
      </c>
      <c r="AB594" s="2">
        <v>44020</v>
      </c>
      <c r="AC594" s="1"/>
      <c r="AD594">
        <v>19</v>
      </c>
      <c r="AE594">
        <v>204</v>
      </c>
      <c r="AG5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595" spans="1:33" x14ac:dyDescent="0.35">
      <c r="A595">
        <v>599</v>
      </c>
      <c r="B595" s="1"/>
      <c r="C595">
        <v>0</v>
      </c>
      <c r="D595" s="1"/>
      <c r="E595" s="1"/>
      <c r="F595" s="1" t="s">
        <v>30</v>
      </c>
      <c r="G595" s="1" t="s">
        <v>2164</v>
      </c>
      <c r="H595" s="1" t="s">
        <v>2165</v>
      </c>
      <c r="I595" s="1"/>
      <c r="J595" s="1" t="s">
        <v>2166</v>
      </c>
      <c r="K595" s="1"/>
      <c r="L595" s="1"/>
      <c r="M595" s="1" t="s">
        <v>34</v>
      </c>
      <c r="N595" s="1" t="s">
        <v>245</v>
      </c>
      <c r="O595" s="1" t="s">
        <v>147</v>
      </c>
      <c r="P595" s="1" t="s">
        <v>379</v>
      </c>
      <c r="Q595" s="1"/>
      <c r="R595" s="2">
        <v>44020</v>
      </c>
      <c r="S595" s="1"/>
      <c r="W595" s="1" t="s">
        <v>38</v>
      </c>
      <c r="X595" s="2">
        <v>44027</v>
      </c>
      <c r="Y595" s="2">
        <v>44020</v>
      </c>
      <c r="Z595" s="2">
        <v>44020</v>
      </c>
      <c r="AA595" s="2">
        <v>44020</v>
      </c>
      <c r="AB595" s="2">
        <v>44020</v>
      </c>
      <c r="AC595" s="1"/>
      <c r="AD595">
        <v>0</v>
      </c>
      <c r="AE595">
        <v>204</v>
      </c>
      <c r="AG5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6" spans="1:33" x14ac:dyDescent="0.35">
      <c r="A596">
        <v>600</v>
      </c>
      <c r="B596" s="1"/>
      <c r="C596">
        <v>0</v>
      </c>
      <c r="D596" s="1"/>
      <c r="E596" s="1" t="s">
        <v>2167</v>
      </c>
      <c r="F596" s="1" t="s">
        <v>30</v>
      </c>
      <c r="G596" s="1" t="s">
        <v>2168</v>
      </c>
      <c r="H596" s="1" t="s">
        <v>2169</v>
      </c>
      <c r="I596" s="1"/>
      <c r="J596" s="1" t="s">
        <v>2209</v>
      </c>
      <c r="K596" s="1"/>
      <c r="L596" s="1"/>
      <c r="M596" s="1" t="s">
        <v>34</v>
      </c>
      <c r="N596" s="1" t="s">
        <v>348</v>
      </c>
      <c r="O596" s="1" t="s">
        <v>44</v>
      </c>
      <c r="P596" s="1" t="s">
        <v>278</v>
      </c>
      <c r="Q596" s="1"/>
      <c r="R596" s="2">
        <v>44020</v>
      </c>
      <c r="S596" s="1"/>
      <c r="W596" s="1" t="s">
        <v>38</v>
      </c>
      <c r="X596" s="2">
        <v>44027</v>
      </c>
      <c r="Y596" s="2">
        <v>44028</v>
      </c>
      <c r="Z596" s="2">
        <v>44022</v>
      </c>
      <c r="AA596" s="2">
        <v>44020</v>
      </c>
      <c r="AB596" s="2">
        <v>44020</v>
      </c>
      <c r="AC596" s="1"/>
      <c r="AD596">
        <v>2</v>
      </c>
      <c r="AE596">
        <v>204</v>
      </c>
      <c r="AG5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97" spans="1:33" x14ac:dyDescent="0.35">
      <c r="A597">
        <v>601</v>
      </c>
      <c r="B597" s="1"/>
      <c r="C597">
        <v>0</v>
      </c>
      <c r="D597" s="1"/>
      <c r="E597" s="1"/>
      <c r="F597" s="1" t="s">
        <v>30</v>
      </c>
      <c r="G597" s="1" t="s">
        <v>2170</v>
      </c>
      <c r="H597" s="1" t="s">
        <v>2171</v>
      </c>
      <c r="I597" s="1"/>
      <c r="J597" s="1" t="s">
        <v>2467</v>
      </c>
      <c r="K597" s="1"/>
      <c r="L597" s="1"/>
      <c r="M597" s="1" t="s">
        <v>197</v>
      </c>
      <c r="N597" s="1" t="s">
        <v>341</v>
      </c>
      <c r="O597" s="1" t="s">
        <v>62</v>
      </c>
      <c r="P597" s="1" t="s">
        <v>278</v>
      </c>
      <c r="Q597" s="1"/>
      <c r="R597" s="2">
        <v>44020</v>
      </c>
      <c r="S597" s="1"/>
      <c r="W597" s="1" t="s">
        <v>38</v>
      </c>
      <c r="X597" s="2">
        <v>44046</v>
      </c>
      <c r="Y597" s="2">
        <v>44088</v>
      </c>
      <c r="Z597" s="2">
        <v>44085</v>
      </c>
      <c r="AA597" s="2">
        <v>44020</v>
      </c>
      <c r="AB597" s="2">
        <v>44020</v>
      </c>
      <c r="AC597" s="1"/>
      <c r="AD597">
        <v>65</v>
      </c>
      <c r="AE597">
        <v>204</v>
      </c>
      <c r="AG5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65</v>
      </c>
    </row>
    <row r="598" spans="1:33" x14ac:dyDescent="0.35">
      <c r="A598">
        <v>602</v>
      </c>
      <c r="B598" s="1"/>
      <c r="C598">
        <v>0</v>
      </c>
      <c r="D598" s="1"/>
      <c r="E598" s="1"/>
      <c r="F598" s="1" t="s">
        <v>30</v>
      </c>
      <c r="G598" s="1" t="s">
        <v>2172</v>
      </c>
      <c r="H598" s="1" t="s">
        <v>2173</v>
      </c>
      <c r="I598" s="1" t="s">
        <v>2174</v>
      </c>
      <c r="J598" s="1" t="s">
        <v>2210</v>
      </c>
      <c r="K598" s="1"/>
      <c r="L598" s="1"/>
      <c r="M598" s="1" t="s">
        <v>34</v>
      </c>
      <c r="N598" s="1" t="s">
        <v>437</v>
      </c>
      <c r="O598" s="1" t="s">
        <v>44</v>
      </c>
      <c r="P598" s="1" t="s">
        <v>2191</v>
      </c>
      <c r="Q598" s="1" t="s">
        <v>436</v>
      </c>
      <c r="R598" s="2">
        <v>44042</v>
      </c>
      <c r="S598" s="1"/>
      <c r="W598" s="1" t="s">
        <v>38</v>
      </c>
      <c r="X598" s="2">
        <v>44027</v>
      </c>
      <c r="Y598" s="2">
        <v>44056</v>
      </c>
      <c r="Z598" s="2">
        <v>44042</v>
      </c>
      <c r="AA598" s="2">
        <v>44035</v>
      </c>
      <c r="AB598" s="2">
        <v>44021</v>
      </c>
      <c r="AC598" s="1"/>
      <c r="AD598">
        <v>21</v>
      </c>
      <c r="AE598">
        <v>203</v>
      </c>
      <c r="AG5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99" spans="1:33" x14ac:dyDescent="0.35">
      <c r="A599">
        <v>603</v>
      </c>
      <c r="B599" s="1"/>
      <c r="C599">
        <v>0</v>
      </c>
      <c r="D599" s="1"/>
      <c r="E599" s="1"/>
      <c r="F599" s="1" t="s">
        <v>30</v>
      </c>
      <c r="G599" s="1" t="s">
        <v>2175</v>
      </c>
      <c r="H599" s="1" t="s">
        <v>2176</v>
      </c>
      <c r="I599" s="1"/>
      <c r="J599" s="1" t="s">
        <v>2404</v>
      </c>
      <c r="K599" s="1"/>
      <c r="L599" s="1"/>
      <c r="M599" s="1" t="s">
        <v>34</v>
      </c>
      <c r="N599" s="1" t="s">
        <v>378</v>
      </c>
      <c r="O599" s="1" t="s">
        <v>147</v>
      </c>
      <c r="P599" s="1" t="s">
        <v>99</v>
      </c>
      <c r="Q599" s="1"/>
      <c r="R599" s="2">
        <v>44021</v>
      </c>
      <c r="S599" s="1"/>
      <c r="W599" s="1" t="s">
        <v>38</v>
      </c>
      <c r="X599" s="2">
        <v>44028</v>
      </c>
      <c r="Y599" s="2">
        <v>44069</v>
      </c>
      <c r="Z599" s="2">
        <v>44068</v>
      </c>
      <c r="AA599" s="2">
        <v>44026</v>
      </c>
      <c r="AB599" s="2">
        <v>44021</v>
      </c>
      <c r="AC599" s="1"/>
      <c r="AD599">
        <v>47</v>
      </c>
      <c r="AE599">
        <v>203</v>
      </c>
      <c r="AG5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47</v>
      </c>
    </row>
    <row r="600" spans="1:33" x14ac:dyDescent="0.35">
      <c r="A600">
        <v>604</v>
      </c>
      <c r="B600" s="1"/>
      <c r="C600">
        <v>0</v>
      </c>
      <c r="D600" s="1"/>
      <c r="E600" s="1"/>
      <c r="F600" s="1" t="s">
        <v>30</v>
      </c>
      <c r="G600" s="1" t="s">
        <v>2177</v>
      </c>
      <c r="H600" s="1" t="s">
        <v>2178</v>
      </c>
      <c r="I600" s="1"/>
      <c r="J600" s="1" t="s">
        <v>2211</v>
      </c>
      <c r="K600" s="1"/>
      <c r="L600" s="1"/>
      <c r="M600" s="1" t="s">
        <v>197</v>
      </c>
      <c r="N600" s="1" t="s">
        <v>43</v>
      </c>
      <c r="O600" s="1" t="s">
        <v>44</v>
      </c>
      <c r="P600" s="1" t="s">
        <v>37</v>
      </c>
      <c r="Q600" s="1"/>
      <c r="R600" s="2">
        <v>44021</v>
      </c>
      <c r="S600" s="1"/>
      <c r="W600" s="1" t="s">
        <v>38</v>
      </c>
      <c r="X600" s="2">
        <v>44024</v>
      </c>
      <c r="Y600" s="2">
        <v>44025</v>
      </c>
      <c r="Z600" s="2">
        <v>44025</v>
      </c>
      <c r="AA600" s="2"/>
      <c r="AB600" s="2">
        <v>44021</v>
      </c>
      <c r="AC600" s="1"/>
      <c r="AD600">
        <v>4</v>
      </c>
      <c r="AE600">
        <v>203</v>
      </c>
      <c r="AG6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601" spans="1:33" x14ac:dyDescent="0.35">
      <c r="A601">
        <v>605</v>
      </c>
      <c r="B601" s="1"/>
      <c r="C601">
        <v>0</v>
      </c>
      <c r="D601" s="1"/>
      <c r="E601" s="1" t="s">
        <v>2179</v>
      </c>
      <c r="F601" s="1" t="s">
        <v>30</v>
      </c>
      <c r="G601" s="1" t="s">
        <v>2180</v>
      </c>
      <c r="H601" s="1" t="s">
        <v>2181</v>
      </c>
      <c r="I601" s="1"/>
      <c r="J601" s="1" t="s">
        <v>2212</v>
      </c>
      <c r="K601" s="1"/>
      <c r="L601" s="1"/>
      <c r="M601" s="1" t="s">
        <v>197</v>
      </c>
      <c r="N601" s="1" t="s">
        <v>43</v>
      </c>
      <c r="O601" s="1" t="s">
        <v>44</v>
      </c>
      <c r="P601" s="1" t="s">
        <v>63</v>
      </c>
      <c r="Q601" s="1"/>
      <c r="R601" s="2">
        <v>44021</v>
      </c>
      <c r="S601" s="1"/>
      <c r="W601" s="1" t="s">
        <v>38</v>
      </c>
      <c r="X601" s="2">
        <v>44024</v>
      </c>
      <c r="Y601" s="2">
        <v>44022</v>
      </c>
      <c r="Z601" s="2">
        <v>44021</v>
      </c>
      <c r="AA601" s="2"/>
      <c r="AB601" s="2">
        <v>44021</v>
      </c>
      <c r="AC601" s="1"/>
      <c r="AD601">
        <v>0</v>
      </c>
      <c r="AE601">
        <v>203</v>
      </c>
      <c r="AG6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02" spans="1:33" x14ac:dyDescent="0.35">
      <c r="A602">
        <v>606</v>
      </c>
      <c r="B602" s="1"/>
      <c r="C602">
        <v>0</v>
      </c>
      <c r="D602" s="1"/>
      <c r="E602" s="1"/>
      <c r="F602" s="1" t="s">
        <v>30</v>
      </c>
      <c r="G602" s="1" t="s">
        <v>2213</v>
      </c>
      <c r="H602" s="1" t="s">
        <v>2214</v>
      </c>
      <c r="I602" s="1"/>
      <c r="J602" s="1" t="s">
        <v>2215</v>
      </c>
      <c r="K602" s="1"/>
      <c r="L602" s="1"/>
      <c r="M602" s="1" t="s">
        <v>34</v>
      </c>
      <c r="N602" s="1" t="s">
        <v>483</v>
      </c>
      <c r="O602" s="1" t="s">
        <v>484</v>
      </c>
      <c r="P602" s="1" t="s">
        <v>37</v>
      </c>
      <c r="Q602" s="1"/>
      <c r="R602" s="2">
        <v>44022</v>
      </c>
      <c r="S602" s="1"/>
      <c r="W602" s="1" t="s">
        <v>38</v>
      </c>
      <c r="X602" s="2">
        <v>44029</v>
      </c>
      <c r="Y602" s="2">
        <v>44027</v>
      </c>
      <c r="Z602" s="2">
        <v>44027</v>
      </c>
      <c r="AA602" s="2">
        <v>44025</v>
      </c>
      <c r="AB602" s="2">
        <v>44022</v>
      </c>
      <c r="AC602" s="1"/>
      <c r="AD602">
        <v>5</v>
      </c>
      <c r="AE602">
        <v>202</v>
      </c>
      <c r="AG6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603" spans="1:33" x14ac:dyDescent="0.35">
      <c r="A603">
        <v>607</v>
      </c>
      <c r="B603" s="1"/>
      <c r="C603">
        <v>0</v>
      </c>
      <c r="D603" s="1"/>
      <c r="E603" s="1"/>
      <c r="F603" s="1" t="s">
        <v>30</v>
      </c>
      <c r="G603" s="1" t="s">
        <v>2216</v>
      </c>
      <c r="H603" s="1" t="s">
        <v>2217</v>
      </c>
      <c r="I603" s="1"/>
      <c r="J603" s="1" t="s">
        <v>2218</v>
      </c>
      <c r="K603" s="1"/>
      <c r="L603" s="1"/>
      <c r="M603" s="1" t="s">
        <v>34</v>
      </c>
      <c r="N603" s="1" t="s">
        <v>276</v>
      </c>
      <c r="O603" s="1" t="s">
        <v>277</v>
      </c>
      <c r="P603" s="1" t="s">
        <v>278</v>
      </c>
      <c r="Q603" s="1"/>
      <c r="R603" s="2">
        <v>44022</v>
      </c>
      <c r="S603" s="1"/>
      <c r="W603" s="1" t="s">
        <v>38</v>
      </c>
      <c r="X603" s="2">
        <v>44029</v>
      </c>
      <c r="Y603" s="2">
        <v>44035</v>
      </c>
      <c r="Z603" s="2">
        <v>44029</v>
      </c>
      <c r="AA603" s="2">
        <v>44028</v>
      </c>
      <c r="AB603" s="2">
        <v>44022</v>
      </c>
      <c r="AC603" s="1"/>
      <c r="AD603">
        <v>7</v>
      </c>
      <c r="AE603">
        <v>202</v>
      </c>
      <c r="AG6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04" spans="1:33" x14ac:dyDescent="0.35">
      <c r="A604">
        <v>608</v>
      </c>
      <c r="B604" s="1"/>
      <c r="C604">
        <v>0</v>
      </c>
      <c r="D604" s="1"/>
      <c r="E604" s="1"/>
      <c r="F604" s="1" t="s">
        <v>30</v>
      </c>
      <c r="G604" s="1" t="s">
        <v>2219</v>
      </c>
      <c r="H604" s="1" t="s">
        <v>2220</v>
      </c>
      <c r="I604" s="1"/>
      <c r="J604" s="1" t="s">
        <v>2221</v>
      </c>
      <c r="K604" s="1"/>
      <c r="L604" s="1"/>
      <c r="M604" s="1" t="s">
        <v>197</v>
      </c>
      <c r="N604" s="1" t="s">
        <v>2222</v>
      </c>
      <c r="O604" s="1" t="s">
        <v>44</v>
      </c>
      <c r="P604" s="1" t="s">
        <v>37</v>
      </c>
      <c r="Q604" s="1"/>
      <c r="R604" s="2">
        <v>44022</v>
      </c>
      <c r="S604" s="1"/>
      <c r="W604" s="1" t="s">
        <v>38</v>
      </c>
      <c r="X604" s="2">
        <v>44028</v>
      </c>
      <c r="Y604" s="2">
        <v>44032</v>
      </c>
      <c r="Z604" s="2">
        <v>44029</v>
      </c>
      <c r="AA604" s="2"/>
      <c r="AB604" s="2">
        <v>44022</v>
      </c>
      <c r="AC604" s="1"/>
      <c r="AD604">
        <v>7</v>
      </c>
      <c r="AE604">
        <v>202</v>
      </c>
      <c r="AG6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05" spans="1:33" x14ac:dyDescent="0.35">
      <c r="A605">
        <v>609</v>
      </c>
      <c r="B605" s="1"/>
      <c r="C605">
        <v>0</v>
      </c>
      <c r="D605" s="1"/>
      <c r="E605" s="1"/>
      <c r="F605" s="1" t="s">
        <v>30</v>
      </c>
      <c r="G605" s="1" t="s">
        <v>2223</v>
      </c>
      <c r="H605" s="1" t="s">
        <v>2224</v>
      </c>
      <c r="I605" s="1"/>
      <c r="J605" s="1" t="s">
        <v>2225</v>
      </c>
      <c r="K605" s="1"/>
      <c r="L605" s="1"/>
      <c r="M605" s="1" t="s">
        <v>34</v>
      </c>
      <c r="N605" s="1" t="s">
        <v>341</v>
      </c>
      <c r="O605" s="1" t="s">
        <v>62</v>
      </c>
      <c r="P605" s="1" t="s">
        <v>37</v>
      </c>
      <c r="Q605" s="1"/>
      <c r="R605" s="2">
        <v>44025</v>
      </c>
      <c r="S605" s="1"/>
      <c r="W605" s="1" t="s">
        <v>38</v>
      </c>
      <c r="X605" s="2">
        <v>44032</v>
      </c>
      <c r="Y605" s="2">
        <v>44040</v>
      </c>
      <c r="Z605" s="2">
        <v>44039</v>
      </c>
      <c r="AA605" s="2">
        <v>44025</v>
      </c>
      <c r="AB605" s="2">
        <v>44025</v>
      </c>
      <c r="AC605" s="1"/>
      <c r="AD605">
        <v>14</v>
      </c>
      <c r="AE605">
        <v>199</v>
      </c>
      <c r="AG6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06" spans="1:33" x14ac:dyDescent="0.35">
      <c r="A606">
        <v>610</v>
      </c>
      <c r="B606" s="1"/>
      <c r="C606">
        <v>0</v>
      </c>
      <c r="D606" s="1"/>
      <c r="E606" s="1"/>
      <c r="F606" s="1" t="s">
        <v>30</v>
      </c>
      <c r="G606" s="1" t="s">
        <v>2226</v>
      </c>
      <c r="H606" s="1" t="s">
        <v>2227</v>
      </c>
      <c r="I606" s="1"/>
      <c r="J606" s="1" t="s">
        <v>2228</v>
      </c>
      <c r="K606" s="1"/>
      <c r="L606" s="1"/>
      <c r="M606" s="1" t="s">
        <v>197</v>
      </c>
      <c r="N606" s="1" t="s">
        <v>314</v>
      </c>
      <c r="O606" s="1" t="s">
        <v>315</v>
      </c>
      <c r="P606" s="1" t="s">
        <v>37</v>
      </c>
      <c r="Q606" s="1"/>
      <c r="R606" s="2">
        <v>44026</v>
      </c>
      <c r="S606" s="1"/>
      <c r="W606" s="1" t="s">
        <v>38</v>
      </c>
      <c r="X606" s="2">
        <v>44030</v>
      </c>
      <c r="Y606" s="2">
        <v>44041</v>
      </c>
      <c r="Z606" s="2">
        <v>44040</v>
      </c>
      <c r="AA606" s="2">
        <v>44026</v>
      </c>
      <c r="AB606" s="2">
        <v>44026</v>
      </c>
      <c r="AC606" s="1"/>
      <c r="AD606">
        <v>14</v>
      </c>
      <c r="AE606">
        <v>198</v>
      </c>
      <c r="AG6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07" spans="1:33" x14ac:dyDescent="0.35">
      <c r="A607">
        <v>611</v>
      </c>
      <c r="B607" s="1"/>
      <c r="C607">
        <v>0</v>
      </c>
      <c r="D607" s="1"/>
      <c r="E607" s="1"/>
      <c r="F607" s="1" t="s">
        <v>30</v>
      </c>
      <c r="G607" s="1" t="s">
        <v>2229</v>
      </c>
      <c r="H607" s="1" t="s">
        <v>2230</v>
      </c>
      <c r="I607" s="1"/>
      <c r="J607" s="1" t="s">
        <v>2468</v>
      </c>
      <c r="K607" s="1"/>
      <c r="L607" s="1"/>
      <c r="M607" s="1" t="s">
        <v>34</v>
      </c>
      <c r="N607" s="1" t="s">
        <v>2231</v>
      </c>
      <c r="O607" s="1" t="s">
        <v>394</v>
      </c>
      <c r="P607" s="1" t="s">
        <v>116</v>
      </c>
      <c r="Q607" s="1"/>
      <c r="R607" s="2">
        <v>44026</v>
      </c>
      <c r="S607" s="1"/>
      <c r="W607" s="1" t="s">
        <v>38</v>
      </c>
      <c r="X607" s="2">
        <v>44033</v>
      </c>
      <c r="Y607" s="2">
        <v>44145</v>
      </c>
      <c r="Z607" s="2">
        <v>44133</v>
      </c>
      <c r="AA607" s="2">
        <v>44098</v>
      </c>
      <c r="AB607" s="2">
        <v>44026</v>
      </c>
      <c r="AC607" s="1"/>
      <c r="AD607">
        <v>107</v>
      </c>
      <c r="AE607">
        <v>198</v>
      </c>
      <c r="AG6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107</v>
      </c>
    </row>
    <row r="608" spans="1:33" x14ac:dyDescent="0.35">
      <c r="A608">
        <v>612</v>
      </c>
      <c r="B608" s="1"/>
      <c r="C608">
        <v>0</v>
      </c>
      <c r="D608" s="1"/>
      <c r="E608" s="1"/>
      <c r="F608" s="1" t="s">
        <v>30</v>
      </c>
      <c r="G608" s="1" t="s">
        <v>2232</v>
      </c>
      <c r="H608" s="1" t="s">
        <v>2233</v>
      </c>
      <c r="I608" s="1"/>
      <c r="J608" s="1" t="s">
        <v>2469</v>
      </c>
      <c r="K608" s="1"/>
      <c r="L608" s="1"/>
      <c r="M608" s="1" t="s">
        <v>34</v>
      </c>
      <c r="N608" s="1" t="s">
        <v>2231</v>
      </c>
      <c r="O608" s="1" t="s">
        <v>394</v>
      </c>
      <c r="P608" s="1" t="s">
        <v>116</v>
      </c>
      <c r="Q608" s="1"/>
      <c r="R608" s="2">
        <v>44026</v>
      </c>
      <c r="S608" s="1"/>
      <c r="W608" s="1" t="s">
        <v>38</v>
      </c>
      <c r="X608" s="2">
        <v>44033</v>
      </c>
      <c r="Y608" s="2">
        <v>44082</v>
      </c>
      <c r="Z608" s="2">
        <v>44077</v>
      </c>
      <c r="AA608" s="2">
        <v>44028</v>
      </c>
      <c r="AB608" s="2">
        <v>44026</v>
      </c>
      <c r="AC608" s="1"/>
      <c r="AD608">
        <v>51</v>
      </c>
      <c r="AE608">
        <v>198</v>
      </c>
      <c r="AG6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51</v>
      </c>
    </row>
    <row r="609" spans="1:33" x14ac:dyDescent="0.35">
      <c r="A609">
        <v>613</v>
      </c>
      <c r="B609" s="1"/>
      <c r="C609">
        <v>0</v>
      </c>
      <c r="D609" s="1" t="s">
        <v>2234</v>
      </c>
      <c r="E609" s="1"/>
      <c r="F609" s="1" t="s">
        <v>30</v>
      </c>
      <c r="G609" s="1" t="s">
        <v>2235</v>
      </c>
      <c r="H609" s="1" t="s">
        <v>2236</v>
      </c>
      <c r="I609" s="1" t="s">
        <v>2237</v>
      </c>
      <c r="J609" s="1" t="s">
        <v>2238</v>
      </c>
      <c r="K609" s="1"/>
      <c r="L609" s="1"/>
      <c r="M609" s="1" t="s">
        <v>34</v>
      </c>
      <c r="N609" s="1" t="s">
        <v>97</v>
      </c>
      <c r="O609" s="1" t="s">
        <v>98</v>
      </c>
      <c r="P609" s="1" t="s">
        <v>164</v>
      </c>
      <c r="Q609" s="1"/>
      <c r="R609" s="2">
        <v>44026</v>
      </c>
      <c r="S609" s="1"/>
      <c r="W609" s="1" t="s">
        <v>38</v>
      </c>
      <c r="X609" s="2">
        <v>44033</v>
      </c>
      <c r="Y609" s="2">
        <v>44028</v>
      </c>
      <c r="Z609" s="2">
        <v>44027</v>
      </c>
      <c r="AA609" s="2"/>
      <c r="AB609" s="2">
        <v>44026</v>
      </c>
      <c r="AC609" s="1"/>
      <c r="AD609">
        <v>1</v>
      </c>
      <c r="AE609">
        <v>198</v>
      </c>
      <c r="AG6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0" spans="1:33" x14ac:dyDescent="0.35">
      <c r="A610">
        <v>614</v>
      </c>
      <c r="B610" s="1"/>
      <c r="C610">
        <v>0</v>
      </c>
      <c r="D610" s="1" t="s">
        <v>2239</v>
      </c>
      <c r="E610" s="1" t="s">
        <v>2240</v>
      </c>
      <c r="F610" s="1" t="s">
        <v>30</v>
      </c>
      <c r="G610" s="1" t="s">
        <v>2241</v>
      </c>
      <c r="H610" s="1" t="s">
        <v>2242</v>
      </c>
      <c r="I610" s="1"/>
      <c r="J610" s="1" t="s">
        <v>2243</v>
      </c>
      <c r="K610" s="1"/>
      <c r="L610" s="1"/>
      <c r="M610" s="1" t="s">
        <v>34</v>
      </c>
      <c r="N610" s="1" t="s">
        <v>378</v>
      </c>
      <c r="O610" s="1" t="s">
        <v>147</v>
      </c>
      <c r="P610" s="1" t="s">
        <v>379</v>
      </c>
      <c r="Q610" s="1"/>
      <c r="R610" s="2">
        <v>44027</v>
      </c>
      <c r="S610" s="1"/>
      <c r="W610" s="1" t="s">
        <v>38</v>
      </c>
      <c r="X610" s="2">
        <v>44034</v>
      </c>
      <c r="Y610" s="2">
        <v>44034</v>
      </c>
      <c r="Z610" s="2">
        <v>44034</v>
      </c>
      <c r="AA610" s="2">
        <v>44027</v>
      </c>
      <c r="AB610" s="2">
        <v>44027</v>
      </c>
      <c r="AC610" s="1"/>
      <c r="AD610">
        <v>7</v>
      </c>
      <c r="AE610">
        <v>197</v>
      </c>
      <c r="AG6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11" spans="1:33" x14ac:dyDescent="0.35">
      <c r="A611">
        <v>615</v>
      </c>
      <c r="B611" s="1"/>
      <c r="C611">
        <v>0</v>
      </c>
      <c r="D611" s="1"/>
      <c r="E611" s="1"/>
      <c r="F611" s="1" t="s">
        <v>30</v>
      </c>
      <c r="G611" s="1" t="s">
        <v>2244</v>
      </c>
      <c r="H611" s="1" t="s">
        <v>2245</v>
      </c>
      <c r="I611" s="1"/>
      <c r="J611" s="1" t="s">
        <v>2309</v>
      </c>
      <c r="K611" s="1"/>
      <c r="L611" s="1"/>
      <c r="M611" s="1" t="s">
        <v>197</v>
      </c>
      <c r="N611" s="1" t="s">
        <v>43</v>
      </c>
      <c r="O611" s="1" t="s">
        <v>44</v>
      </c>
      <c r="P611" s="1" t="s">
        <v>37</v>
      </c>
      <c r="Q611" s="1"/>
      <c r="R611" s="2">
        <v>44034</v>
      </c>
      <c r="S611" s="1"/>
      <c r="W611" s="1" t="s">
        <v>38</v>
      </c>
      <c r="X611" s="2">
        <v>44037</v>
      </c>
      <c r="Y611" s="2">
        <v>44054</v>
      </c>
      <c r="Z611" s="2">
        <v>44054</v>
      </c>
      <c r="AA611" s="2"/>
      <c r="AB611" s="2">
        <v>44034</v>
      </c>
      <c r="AC611" s="1"/>
      <c r="AD611">
        <v>20</v>
      </c>
      <c r="AE611">
        <v>190</v>
      </c>
      <c r="AG6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612" spans="1:33" x14ac:dyDescent="0.35">
      <c r="A612">
        <v>616</v>
      </c>
      <c r="B612" s="1"/>
      <c r="C612">
        <v>0</v>
      </c>
      <c r="D612" s="1"/>
      <c r="E612" s="1"/>
      <c r="F612" s="1" t="s">
        <v>30</v>
      </c>
      <c r="G612" s="1" t="s">
        <v>2246</v>
      </c>
      <c r="H612" s="1" t="s">
        <v>2247</v>
      </c>
      <c r="I612" s="1"/>
      <c r="J612" s="1" t="s">
        <v>2248</v>
      </c>
      <c r="K612" s="1"/>
      <c r="L612" s="1"/>
      <c r="M612" s="1" t="s">
        <v>197</v>
      </c>
      <c r="N612" s="1" t="s">
        <v>341</v>
      </c>
      <c r="O612" s="1" t="s">
        <v>62</v>
      </c>
      <c r="P612" s="1" t="s">
        <v>63</v>
      </c>
      <c r="Q612" s="1"/>
      <c r="R612" s="2">
        <v>44034</v>
      </c>
      <c r="S612" s="1"/>
      <c r="W612" s="1" t="s">
        <v>38</v>
      </c>
      <c r="X612" s="2">
        <v>44039</v>
      </c>
      <c r="Y612" s="2">
        <v>44035</v>
      </c>
      <c r="Z612" s="2">
        <v>44035</v>
      </c>
      <c r="AA612" s="2"/>
      <c r="AB612" s="2">
        <v>44034</v>
      </c>
      <c r="AC612" s="1"/>
      <c r="AD612">
        <v>1</v>
      </c>
      <c r="AE612">
        <v>190</v>
      </c>
      <c r="AG6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3" spans="1:33" x14ac:dyDescent="0.35">
      <c r="A613">
        <v>617</v>
      </c>
      <c r="B613" s="1"/>
      <c r="C613">
        <v>0</v>
      </c>
      <c r="D613" s="1"/>
      <c r="E613" s="1"/>
      <c r="F613" s="1" t="s">
        <v>30</v>
      </c>
      <c r="G613" s="1" t="s">
        <v>2249</v>
      </c>
      <c r="H613" s="1" t="s">
        <v>2250</v>
      </c>
      <c r="I613" s="1"/>
      <c r="J613" s="1" t="s">
        <v>2310</v>
      </c>
      <c r="K613" s="1"/>
      <c r="L613" s="1"/>
      <c r="M613" s="1" t="s">
        <v>197</v>
      </c>
      <c r="N613" s="1" t="s">
        <v>359</v>
      </c>
      <c r="O613" s="1" t="s">
        <v>360</v>
      </c>
      <c r="P613" s="1" t="s">
        <v>37</v>
      </c>
      <c r="Q613" s="1"/>
      <c r="R613" s="2">
        <v>44035</v>
      </c>
      <c r="S613" s="1"/>
      <c r="W613" s="1" t="s">
        <v>38</v>
      </c>
      <c r="X613" s="2">
        <v>44043</v>
      </c>
      <c r="Y613" s="2">
        <v>44056</v>
      </c>
      <c r="Z613" s="2">
        <v>44054</v>
      </c>
      <c r="AA613" s="2">
        <v>44035</v>
      </c>
      <c r="AB613" s="2">
        <v>44035</v>
      </c>
      <c r="AC613" s="1"/>
      <c r="AD613">
        <v>19</v>
      </c>
      <c r="AE613">
        <v>189</v>
      </c>
      <c r="AG6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614" spans="1:33" x14ac:dyDescent="0.35">
      <c r="A614">
        <v>618</v>
      </c>
      <c r="B614" s="1"/>
      <c r="C614">
        <v>0</v>
      </c>
      <c r="D614" s="1"/>
      <c r="E614" s="1"/>
      <c r="F614" s="1" t="s">
        <v>30</v>
      </c>
      <c r="G614" s="1" t="s">
        <v>2251</v>
      </c>
      <c r="H614" s="1" t="s">
        <v>2252</v>
      </c>
      <c r="I614" s="1"/>
      <c r="J614" s="1" t="s">
        <v>2253</v>
      </c>
      <c r="K614" s="1"/>
      <c r="L614" s="1"/>
      <c r="M614" s="1" t="s">
        <v>34</v>
      </c>
      <c r="N614" s="1" t="s">
        <v>245</v>
      </c>
      <c r="O614" s="1" t="s">
        <v>147</v>
      </c>
      <c r="P614" s="1" t="s">
        <v>2254</v>
      </c>
      <c r="Q614" s="1" t="s">
        <v>37</v>
      </c>
      <c r="R614" s="2">
        <v>44039</v>
      </c>
      <c r="S614" s="1"/>
      <c r="W614" s="1" t="s">
        <v>38</v>
      </c>
      <c r="X614" s="2">
        <v>44046</v>
      </c>
      <c r="Y614" s="2">
        <v>44040</v>
      </c>
      <c r="Z614" s="2">
        <v>44039</v>
      </c>
      <c r="AA614" s="2">
        <v>44039</v>
      </c>
      <c r="AB614" s="2">
        <v>44039</v>
      </c>
      <c r="AC614" s="1"/>
      <c r="AD614">
        <v>0</v>
      </c>
      <c r="AE614">
        <v>185</v>
      </c>
      <c r="AG6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5" spans="1:33" x14ac:dyDescent="0.35">
      <c r="A615">
        <v>619</v>
      </c>
      <c r="B615" s="1"/>
      <c r="C615">
        <v>0</v>
      </c>
      <c r="D615" s="1"/>
      <c r="E615" s="1"/>
      <c r="F615" s="1" t="s">
        <v>30</v>
      </c>
      <c r="G615" s="1" t="s">
        <v>2255</v>
      </c>
      <c r="H615" s="1" t="s">
        <v>2256</v>
      </c>
      <c r="I615" s="1"/>
      <c r="J615" s="1" t="s">
        <v>2311</v>
      </c>
      <c r="K615" s="1"/>
      <c r="L615" s="1"/>
      <c r="M615" s="1" t="s">
        <v>34</v>
      </c>
      <c r="N615" s="1" t="s">
        <v>2257</v>
      </c>
      <c r="O615" s="1" t="s">
        <v>586</v>
      </c>
      <c r="P615" s="1" t="s">
        <v>278</v>
      </c>
      <c r="Q615" s="1"/>
      <c r="R615" s="2">
        <v>44040</v>
      </c>
      <c r="S615" s="1"/>
      <c r="W615" s="1" t="s">
        <v>38</v>
      </c>
      <c r="X615" s="2">
        <v>44047</v>
      </c>
      <c r="Y615" s="2">
        <v>44061</v>
      </c>
      <c r="Z615" s="2">
        <v>44054</v>
      </c>
      <c r="AA615" s="2">
        <v>44040</v>
      </c>
      <c r="AB615" s="2">
        <v>44040</v>
      </c>
      <c r="AC615" s="1"/>
      <c r="AD615">
        <v>14</v>
      </c>
      <c r="AE615">
        <v>184</v>
      </c>
      <c r="AG6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16" spans="1:33" x14ac:dyDescent="0.35">
      <c r="A616">
        <v>620</v>
      </c>
      <c r="B616" s="1"/>
      <c r="C616">
        <v>0</v>
      </c>
      <c r="D616" s="1"/>
      <c r="E616" s="1"/>
      <c r="F616" s="1" t="s">
        <v>30</v>
      </c>
      <c r="G616" s="1" t="s">
        <v>2258</v>
      </c>
      <c r="H616" s="1" t="s">
        <v>2259</v>
      </c>
      <c r="I616" s="1"/>
      <c r="J616" s="1" t="s">
        <v>2470</v>
      </c>
      <c r="K616" s="1"/>
      <c r="L616" s="1"/>
      <c r="M616" s="1" t="s">
        <v>34</v>
      </c>
      <c r="N616" s="1" t="s">
        <v>2257</v>
      </c>
      <c r="O616" s="1" t="s">
        <v>586</v>
      </c>
      <c r="P616" s="1" t="s">
        <v>278</v>
      </c>
      <c r="Q616" s="1"/>
      <c r="R616" s="2">
        <v>44040</v>
      </c>
      <c r="S616" s="1"/>
      <c r="W616" s="1" t="s">
        <v>38</v>
      </c>
      <c r="X616" s="2">
        <v>44047</v>
      </c>
      <c r="Y616" s="2">
        <v>44105</v>
      </c>
      <c r="Z616" s="2">
        <v>44096</v>
      </c>
      <c r="AA616" s="2">
        <v>44096</v>
      </c>
      <c r="AB616" s="2">
        <v>44040</v>
      </c>
      <c r="AC616" s="1"/>
      <c r="AD616">
        <v>56</v>
      </c>
      <c r="AE616">
        <v>184</v>
      </c>
      <c r="AG6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617" spans="1:33" x14ac:dyDescent="0.35">
      <c r="A617">
        <v>621</v>
      </c>
      <c r="B617" s="1"/>
      <c r="C617">
        <v>0</v>
      </c>
      <c r="D617" s="1"/>
      <c r="E617" s="1"/>
      <c r="F617" s="1" t="s">
        <v>30</v>
      </c>
      <c r="G617" s="1" t="s">
        <v>2260</v>
      </c>
      <c r="H617" s="1" t="s">
        <v>2261</v>
      </c>
      <c r="I617" s="1" t="s">
        <v>2262</v>
      </c>
      <c r="J617" s="1" t="s">
        <v>2312</v>
      </c>
      <c r="K617" s="1"/>
      <c r="L617" s="1"/>
      <c r="M617" s="1" t="s">
        <v>197</v>
      </c>
      <c r="N617" s="1" t="s">
        <v>245</v>
      </c>
      <c r="O617" s="1" t="s">
        <v>147</v>
      </c>
      <c r="P617" s="1" t="s">
        <v>37</v>
      </c>
      <c r="Q617" s="1"/>
      <c r="R617" s="2">
        <v>44042</v>
      </c>
      <c r="S617" s="1"/>
      <c r="W617" s="1" t="s">
        <v>38</v>
      </c>
      <c r="X617" s="2">
        <v>44046</v>
      </c>
      <c r="Y617" s="2">
        <v>44055</v>
      </c>
      <c r="Z617" s="2">
        <v>44054</v>
      </c>
      <c r="AA617" s="2">
        <v>44043</v>
      </c>
      <c r="AB617" s="2">
        <v>44042</v>
      </c>
      <c r="AC617" s="1"/>
      <c r="AD617">
        <v>12</v>
      </c>
      <c r="AE617">
        <v>182</v>
      </c>
      <c r="AG6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618" spans="1:33" x14ac:dyDescent="0.35">
      <c r="A618">
        <v>622</v>
      </c>
      <c r="B618" s="1"/>
      <c r="C618">
        <v>0</v>
      </c>
      <c r="D618" s="1"/>
      <c r="E618" s="1"/>
      <c r="F618" s="1" t="s">
        <v>30</v>
      </c>
      <c r="G618" s="1" t="s">
        <v>1850</v>
      </c>
      <c r="H618" s="1" t="s">
        <v>2263</v>
      </c>
      <c r="I618" s="1"/>
      <c r="J618" s="1" t="s">
        <v>2264</v>
      </c>
      <c r="K618" s="1"/>
      <c r="L618" s="1"/>
      <c r="M618" s="1" t="s">
        <v>34</v>
      </c>
      <c r="N618" s="1" t="s">
        <v>245</v>
      </c>
      <c r="O618" s="1" t="s">
        <v>147</v>
      </c>
      <c r="P618" s="1" t="s">
        <v>63</v>
      </c>
      <c r="Q618" s="1"/>
      <c r="R618" s="2">
        <v>44042</v>
      </c>
      <c r="S618" s="1"/>
      <c r="W618" s="1" t="s">
        <v>38</v>
      </c>
      <c r="X618" s="2">
        <v>44049</v>
      </c>
      <c r="Y618" s="2">
        <v>44053</v>
      </c>
      <c r="Z618" s="2">
        <v>44049</v>
      </c>
      <c r="AA618" s="2">
        <v>44043</v>
      </c>
      <c r="AB618" s="2">
        <v>44042</v>
      </c>
      <c r="AC618" s="1"/>
      <c r="AD618">
        <v>7</v>
      </c>
      <c r="AE618">
        <v>182</v>
      </c>
      <c r="AG6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19" spans="1:33" x14ac:dyDescent="0.35">
      <c r="A619">
        <v>623</v>
      </c>
      <c r="B619" s="1"/>
      <c r="C619">
        <v>0</v>
      </c>
      <c r="D619" s="1"/>
      <c r="E619" s="1"/>
      <c r="F619" s="1" t="s">
        <v>30</v>
      </c>
      <c r="G619" s="1" t="s">
        <v>2265</v>
      </c>
      <c r="H619" s="1" t="s">
        <v>2266</v>
      </c>
      <c r="I619" s="1"/>
      <c r="J619" s="1" t="s">
        <v>2267</v>
      </c>
      <c r="K619" s="1"/>
      <c r="L619" s="1"/>
      <c r="M619" s="1" t="s">
        <v>197</v>
      </c>
      <c r="N619" s="1" t="s">
        <v>43</v>
      </c>
      <c r="O619" s="1" t="s">
        <v>44</v>
      </c>
      <c r="P619" s="1" t="s">
        <v>63</v>
      </c>
      <c r="Q619" s="1"/>
      <c r="R619" s="2">
        <v>44048</v>
      </c>
      <c r="S619" s="1"/>
      <c r="W619" s="1" t="s">
        <v>38</v>
      </c>
      <c r="X619" s="2">
        <v>44046</v>
      </c>
      <c r="Y619" s="2">
        <v>44053</v>
      </c>
      <c r="Z619" s="2">
        <v>44049</v>
      </c>
      <c r="AA619" s="2"/>
      <c r="AB619" s="2">
        <v>44043</v>
      </c>
      <c r="AC619" s="1"/>
      <c r="AD619">
        <v>6</v>
      </c>
      <c r="AE619">
        <v>181</v>
      </c>
      <c r="AG6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620" spans="1:33" x14ac:dyDescent="0.35">
      <c r="A620">
        <v>624</v>
      </c>
      <c r="B620" s="1"/>
      <c r="C620">
        <v>0</v>
      </c>
      <c r="D620" s="1"/>
      <c r="E620" s="1"/>
      <c r="F620" s="1" t="s">
        <v>30</v>
      </c>
      <c r="G620" s="1" t="s">
        <v>2268</v>
      </c>
      <c r="H620" s="1" t="s">
        <v>2269</v>
      </c>
      <c r="I620" s="1"/>
      <c r="J620" s="1" t="s">
        <v>2313</v>
      </c>
      <c r="K620" s="1"/>
      <c r="L620" s="1"/>
      <c r="M620" s="1" t="s">
        <v>34</v>
      </c>
      <c r="N620" s="1" t="s">
        <v>43</v>
      </c>
      <c r="O620" s="1" t="s">
        <v>44</v>
      </c>
      <c r="P620" s="1" t="s">
        <v>37</v>
      </c>
      <c r="Q620" s="1"/>
      <c r="R620" s="2">
        <v>44048</v>
      </c>
      <c r="S620" s="1"/>
      <c r="W620" s="1" t="s">
        <v>38</v>
      </c>
      <c r="X620" s="2">
        <v>44050</v>
      </c>
      <c r="Y620" s="2">
        <v>44054</v>
      </c>
      <c r="Z620" s="2">
        <v>44054</v>
      </c>
      <c r="AA620" s="2">
        <v>44053</v>
      </c>
      <c r="AB620" s="2">
        <v>44043</v>
      </c>
      <c r="AC620" s="1"/>
      <c r="AD620">
        <v>11</v>
      </c>
      <c r="AE620">
        <v>181</v>
      </c>
      <c r="AG6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621" spans="1:33" x14ac:dyDescent="0.35">
      <c r="A621">
        <v>625</v>
      </c>
      <c r="B621" s="1"/>
      <c r="C621">
        <v>0</v>
      </c>
      <c r="D621" s="1"/>
      <c r="E621" s="1" t="s">
        <v>2022</v>
      </c>
      <c r="F621" s="1" t="s">
        <v>30</v>
      </c>
      <c r="G621" s="1" t="s">
        <v>2270</v>
      </c>
      <c r="H621" s="1" t="s">
        <v>2271</v>
      </c>
      <c r="I621" s="1" t="s">
        <v>2272</v>
      </c>
      <c r="J621" s="1" t="s">
        <v>2471</v>
      </c>
      <c r="K621" s="1"/>
      <c r="L621" s="1"/>
      <c r="M621" s="1" t="s">
        <v>34</v>
      </c>
      <c r="N621" s="1" t="s">
        <v>437</v>
      </c>
      <c r="O621" s="1" t="s">
        <v>44</v>
      </c>
      <c r="P621" s="1" t="s">
        <v>278</v>
      </c>
      <c r="Q621" s="1"/>
      <c r="R621" s="2">
        <v>44084</v>
      </c>
      <c r="S621" s="1"/>
      <c r="W621" s="1" t="s">
        <v>38</v>
      </c>
      <c r="X621" s="2">
        <v>44050</v>
      </c>
      <c r="Y621" s="2">
        <v>44096</v>
      </c>
      <c r="Z621" s="2">
        <v>44084</v>
      </c>
      <c r="AA621" s="2">
        <v>44043</v>
      </c>
      <c r="AB621" s="2">
        <v>44043</v>
      </c>
      <c r="AC621" s="1"/>
      <c r="AD621">
        <v>41</v>
      </c>
      <c r="AE621">
        <v>181</v>
      </c>
      <c r="AG6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622" spans="1:33" x14ac:dyDescent="0.35">
      <c r="A622">
        <v>626</v>
      </c>
      <c r="B622" s="1"/>
      <c r="C622">
        <v>0</v>
      </c>
      <c r="D622" s="1"/>
      <c r="E622" s="1"/>
      <c r="F622" s="1" t="s">
        <v>30</v>
      </c>
      <c r="G622" s="1" t="s">
        <v>2273</v>
      </c>
      <c r="H622" s="1" t="s">
        <v>2274</v>
      </c>
      <c r="I622" s="1"/>
      <c r="J622" s="1" t="s">
        <v>2275</v>
      </c>
      <c r="K622" s="1"/>
      <c r="L622" s="1"/>
      <c r="M622" s="1" t="s">
        <v>34</v>
      </c>
      <c r="N622" s="1" t="s">
        <v>437</v>
      </c>
      <c r="O622" s="1" t="s">
        <v>44</v>
      </c>
      <c r="P622" s="1" t="s">
        <v>200</v>
      </c>
      <c r="Q622" s="1"/>
      <c r="R622" s="2">
        <v>44043</v>
      </c>
      <c r="S622" s="1"/>
      <c r="W622" s="1" t="s">
        <v>38</v>
      </c>
      <c r="X622" s="2">
        <v>44050</v>
      </c>
      <c r="Y622" s="2">
        <v>44056</v>
      </c>
      <c r="Z622" s="2">
        <v>44048</v>
      </c>
      <c r="AA622" s="2">
        <v>44043</v>
      </c>
      <c r="AB622" s="2">
        <v>44043</v>
      </c>
      <c r="AC622" s="1"/>
      <c r="AD622">
        <v>5</v>
      </c>
      <c r="AE622">
        <v>181</v>
      </c>
      <c r="AG6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623" spans="1:33" x14ac:dyDescent="0.35">
      <c r="A623">
        <v>627</v>
      </c>
      <c r="B623" s="1"/>
      <c r="C623">
        <v>0</v>
      </c>
      <c r="D623" s="1"/>
      <c r="E623" s="1" t="s">
        <v>2276</v>
      </c>
      <c r="F623" s="1" t="s">
        <v>30</v>
      </c>
      <c r="G623" s="1" t="s">
        <v>2277</v>
      </c>
      <c r="H623" s="1" t="s">
        <v>2278</v>
      </c>
      <c r="I623" s="1"/>
      <c r="J623" s="1" t="s">
        <v>2472</v>
      </c>
      <c r="K623" s="1"/>
      <c r="L623" s="1"/>
      <c r="M623" s="1" t="s">
        <v>197</v>
      </c>
      <c r="N623" s="1" t="s">
        <v>483</v>
      </c>
      <c r="O623" s="1" t="s">
        <v>484</v>
      </c>
      <c r="P623" s="1" t="s">
        <v>116</v>
      </c>
      <c r="Q623" s="1"/>
      <c r="R623" s="2">
        <v>44043</v>
      </c>
      <c r="S623" s="1"/>
      <c r="W623" s="1" t="s">
        <v>38</v>
      </c>
      <c r="X623" s="2">
        <v>44059</v>
      </c>
      <c r="Y623" s="2">
        <v>44167</v>
      </c>
      <c r="Z623" s="2">
        <v>44133</v>
      </c>
      <c r="AA623" s="2">
        <v>44055</v>
      </c>
      <c r="AB623" s="2">
        <v>44043</v>
      </c>
      <c r="AC623" s="1"/>
      <c r="AD623">
        <v>90</v>
      </c>
      <c r="AE623">
        <v>181</v>
      </c>
      <c r="AG6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90</v>
      </c>
    </row>
    <row r="624" spans="1:33" x14ac:dyDescent="0.35">
      <c r="A624">
        <v>628</v>
      </c>
      <c r="B624" s="1"/>
      <c r="C624">
        <v>0</v>
      </c>
      <c r="D624" s="1"/>
      <c r="E624" s="1"/>
      <c r="F624" s="1" t="s">
        <v>30</v>
      </c>
      <c r="G624" s="1" t="s">
        <v>2279</v>
      </c>
      <c r="H624" s="1" t="s">
        <v>2280</v>
      </c>
      <c r="I624" s="1"/>
      <c r="J624" s="1" t="s">
        <v>2369</v>
      </c>
      <c r="K624" s="1"/>
      <c r="L624" s="1"/>
      <c r="M624" s="1" t="s">
        <v>34</v>
      </c>
      <c r="N624" s="1" t="s">
        <v>437</v>
      </c>
      <c r="O624" s="1" t="s">
        <v>44</v>
      </c>
      <c r="P624" s="1" t="s">
        <v>278</v>
      </c>
      <c r="Q624" s="1"/>
      <c r="R624" s="2">
        <v>44043</v>
      </c>
      <c r="S624" s="1"/>
      <c r="W624" s="1" t="s">
        <v>38</v>
      </c>
      <c r="X624" s="2">
        <v>44050</v>
      </c>
      <c r="Y624" s="2">
        <v>44056</v>
      </c>
      <c r="Z624" s="2">
        <v>44056</v>
      </c>
      <c r="AA624" s="2">
        <v>44055</v>
      </c>
      <c r="AB624" s="2">
        <v>44043</v>
      </c>
      <c r="AC624" s="1"/>
      <c r="AD624">
        <v>13</v>
      </c>
      <c r="AE624">
        <v>181</v>
      </c>
      <c r="AG6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625" spans="1:33" x14ac:dyDescent="0.35">
      <c r="A625">
        <v>629</v>
      </c>
      <c r="B625" s="1"/>
      <c r="C625">
        <v>0</v>
      </c>
      <c r="D625" s="1"/>
      <c r="E625" s="1"/>
      <c r="F625" s="1" t="s">
        <v>30</v>
      </c>
      <c r="G625" s="1" t="s">
        <v>2281</v>
      </c>
      <c r="H625" s="1" t="s">
        <v>2282</v>
      </c>
      <c r="I625" s="1"/>
      <c r="J625" s="1" t="s">
        <v>2314</v>
      </c>
      <c r="K625" s="1"/>
      <c r="L625" s="1"/>
      <c r="M625" s="1" t="s">
        <v>34</v>
      </c>
      <c r="N625" s="1" t="s">
        <v>880</v>
      </c>
      <c r="O625" s="1" t="s">
        <v>44</v>
      </c>
      <c r="P625" s="1" t="s">
        <v>37</v>
      </c>
      <c r="Q625" s="1"/>
      <c r="R625" s="2">
        <v>44043</v>
      </c>
      <c r="S625" s="1"/>
      <c r="W625" s="1" t="s">
        <v>38</v>
      </c>
      <c r="X625" s="2">
        <v>44050</v>
      </c>
      <c r="Y625" s="2">
        <v>44056</v>
      </c>
      <c r="Z625" s="2">
        <v>44054</v>
      </c>
      <c r="AA625" s="2">
        <v>44046</v>
      </c>
      <c r="AB625" s="2">
        <v>44043</v>
      </c>
      <c r="AC625" s="1"/>
      <c r="AD625">
        <v>11</v>
      </c>
      <c r="AE625">
        <v>181</v>
      </c>
      <c r="AG6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626" spans="1:33" x14ac:dyDescent="0.35">
      <c r="A626">
        <v>630</v>
      </c>
      <c r="B626" s="1"/>
      <c r="C626">
        <v>0</v>
      </c>
      <c r="D626" s="1"/>
      <c r="E626" s="1"/>
      <c r="F626" s="1" t="s">
        <v>30</v>
      </c>
      <c r="G626" s="1" t="s">
        <v>2283</v>
      </c>
      <c r="H626" s="1" t="s">
        <v>2284</v>
      </c>
      <c r="I626" s="1"/>
      <c r="J626" s="1" t="s">
        <v>2370</v>
      </c>
      <c r="K626" s="1"/>
      <c r="L626" s="1"/>
      <c r="M626" s="1" t="s">
        <v>34</v>
      </c>
      <c r="N626" s="1" t="s">
        <v>437</v>
      </c>
      <c r="O626" s="1" t="s">
        <v>44</v>
      </c>
      <c r="P626" s="1" t="s">
        <v>200</v>
      </c>
      <c r="Q626" s="1"/>
      <c r="R626" s="2">
        <v>44046</v>
      </c>
      <c r="S626" s="1"/>
      <c r="W626" s="1" t="s">
        <v>38</v>
      </c>
      <c r="X626" s="2">
        <v>44053</v>
      </c>
      <c r="Y626" s="2">
        <v>44056</v>
      </c>
      <c r="Z626" s="2">
        <v>44056</v>
      </c>
      <c r="AA626" s="2">
        <v>44055</v>
      </c>
      <c r="AB626" s="2">
        <v>44046</v>
      </c>
      <c r="AC626" s="1"/>
      <c r="AD626">
        <v>10</v>
      </c>
      <c r="AE626">
        <v>178</v>
      </c>
      <c r="AG626">
        <f>IF(AND(Rfi[[#This Row],[State]] = "Closed",  ISBLANK(Rfi[[#This Row],[Responded On]])), 0, IF((Rfi[[#This Row],[Time to Answer]]) = "",Rfi[[#This Row],[Time Since Created]],Rfi[[#This Row],[Time to Answer]]))</f>
        <v>10</v>
      </c>
    </row>
    <row r="627" spans="1:33" x14ac:dyDescent="0.35">
      <c r="A627">
        <v>631</v>
      </c>
      <c r="B627" s="1"/>
      <c r="C627">
        <v>0</v>
      </c>
      <c r="D627" s="1"/>
      <c r="E627" s="1"/>
      <c r="F627" s="1" t="s">
        <v>30</v>
      </c>
      <c r="G627" s="1" t="s">
        <v>2285</v>
      </c>
      <c r="H627" s="1" t="s">
        <v>2286</v>
      </c>
      <c r="I627" s="1"/>
      <c r="J627" s="1" t="s">
        <v>2405</v>
      </c>
      <c r="K627" s="1"/>
      <c r="L627" s="1"/>
      <c r="M627" s="1" t="s">
        <v>34</v>
      </c>
      <c r="N627" s="1" t="s">
        <v>483</v>
      </c>
      <c r="O627" s="1" t="s">
        <v>484</v>
      </c>
      <c r="P627" s="1" t="s">
        <v>37</v>
      </c>
      <c r="Q627" s="1"/>
      <c r="R627" s="2">
        <v>44046</v>
      </c>
      <c r="S627" s="1"/>
      <c r="W627" s="1" t="s">
        <v>38</v>
      </c>
      <c r="X627" s="2">
        <v>44053</v>
      </c>
      <c r="Y627" s="2">
        <v>44063</v>
      </c>
      <c r="Z627" s="2">
        <v>44063</v>
      </c>
      <c r="AA627" s="2">
        <v>44047</v>
      </c>
      <c r="AB627" s="2">
        <v>44046</v>
      </c>
      <c r="AC627" s="1"/>
      <c r="AD627">
        <v>17</v>
      </c>
      <c r="AE627">
        <v>178</v>
      </c>
      <c r="AG627">
        <f>IF(AND(Rfi[[#This Row],[State]] = "Closed",  ISBLANK(Rfi[[#This Row],[Responded On]])), 0, IF((Rfi[[#This Row],[Time to Answer]]) = "",Rfi[[#This Row],[Time Since Created]],Rfi[[#This Row],[Time to Answer]]))</f>
        <v>17</v>
      </c>
    </row>
    <row r="628" spans="1:33" x14ac:dyDescent="0.35">
      <c r="A628">
        <v>632</v>
      </c>
      <c r="B628" s="1"/>
      <c r="C628">
        <v>0</v>
      </c>
      <c r="D628" s="1"/>
      <c r="E628" s="1" t="s">
        <v>2287</v>
      </c>
      <c r="F628" s="1" t="s">
        <v>30</v>
      </c>
      <c r="G628" s="1" t="s">
        <v>2288</v>
      </c>
      <c r="H628" s="1" t="s">
        <v>2289</v>
      </c>
      <c r="I628" s="1"/>
      <c r="J628" s="1" t="s">
        <v>2406</v>
      </c>
      <c r="K628" s="1"/>
      <c r="L628" s="1"/>
      <c r="M628" s="1" t="s">
        <v>197</v>
      </c>
      <c r="N628" s="1" t="s">
        <v>880</v>
      </c>
      <c r="O628" s="1" t="s">
        <v>44</v>
      </c>
      <c r="P628" s="1" t="s">
        <v>37</v>
      </c>
      <c r="Q628" s="1"/>
      <c r="R628" s="2">
        <v>44047</v>
      </c>
      <c r="S628" s="1"/>
      <c r="W628" s="1" t="s">
        <v>38</v>
      </c>
      <c r="X628" s="2">
        <v>44047</v>
      </c>
      <c r="Y628" s="2">
        <v>44063</v>
      </c>
      <c r="Z628" s="2">
        <v>44063</v>
      </c>
      <c r="AA628" s="2"/>
      <c r="AB628" s="2">
        <v>44047</v>
      </c>
      <c r="AC628" s="1"/>
      <c r="AD628">
        <v>16</v>
      </c>
      <c r="AE628">
        <v>177</v>
      </c>
      <c r="AG628">
        <f>IF(AND(Rfi[[#This Row],[State]] = "Closed",  ISBLANK(Rfi[[#This Row],[Responded On]])), 0, IF((Rfi[[#This Row],[Time to Answer]]) = "",Rfi[[#This Row],[Time Since Created]],Rfi[[#This Row],[Time to Answer]]))</f>
        <v>16</v>
      </c>
    </row>
    <row r="629" spans="1:33" x14ac:dyDescent="0.35">
      <c r="A629">
        <v>633</v>
      </c>
      <c r="B629" s="1"/>
      <c r="C629">
        <v>0</v>
      </c>
      <c r="D629" s="1"/>
      <c r="E629" s="1"/>
      <c r="F629" s="1" t="s">
        <v>30</v>
      </c>
      <c r="G629" s="1" t="s">
        <v>2290</v>
      </c>
      <c r="H629" s="1" t="s">
        <v>2473</v>
      </c>
      <c r="I629" s="1"/>
      <c r="J629" s="1" t="s">
        <v>2363</v>
      </c>
      <c r="K629" s="1"/>
      <c r="L629" s="1"/>
      <c r="M629" s="1" t="s">
        <v>197</v>
      </c>
      <c r="N629" s="1" t="s">
        <v>483</v>
      </c>
      <c r="O629" s="1" t="s">
        <v>484</v>
      </c>
      <c r="P629" s="1" t="s">
        <v>116</v>
      </c>
      <c r="Q629" s="1"/>
      <c r="R629" s="2">
        <v>44168</v>
      </c>
      <c r="S629" s="1"/>
      <c r="W629" s="1" t="s">
        <v>38</v>
      </c>
      <c r="X629" s="2">
        <v>44171</v>
      </c>
      <c r="Y629" s="2">
        <v>44209</v>
      </c>
      <c r="Z629" s="2">
        <v>44055</v>
      </c>
      <c r="AA629" s="2">
        <v>44049</v>
      </c>
      <c r="AB629" s="2">
        <v>44047</v>
      </c>
      <c r="AC629" s="1"/>
      <c r="AD629">
        <v>8</v>
      </c>
      <c r="AE629">
        <v>177</v>
      </c>
      <c r="AG629">
        <f>IF(AND(Rfi[[#This Row],[State]] = "Closed",  ISBLANK(Rfi[[#This Row],[Responded On]])), 0, IF((Rfi[[#This Row],[Time to Answer]]) = "",Rfi[[#This Row],[Time Since Created]],Rfi[[#This Row],[Time to Answer]]))</f>
        <v>8</v>
      </c>
    </row>
    <row r="630" spans="1:33" x14ac:dyDescent="0.35">
      <c r="A630">
        <v>634</v>
      </c>
      <c r="B630" s="1"/>
      <c r="C630">
        <v>0</v>
      </c>
      <c r="D630" s="1"/>
      <c r="E630" s="1"/>
      <c r="F630" s="1" t="s">
        <v>30</v>
      </c>
      <c r="G630" s="1" t="s">
        <v>2291</v>
      </c>
      <c r="H630" s="1" t="s">
        <v>2292</v>
      </c>
      <c r="I630" s="1"/>
      <c r="J630" s="1" t="s">
        <v>2293</v>
      </c>
      <c r="K630" s="1"/>
      <c r="L630" s="1"/>
      <c r="M630" s="1" t="s">
        <v>34</v>
      </c>
      <c r="N630" s="1" t="s">
        <v>192</v>
      </c>
      <c r="O630" s="1" t="s">
        <v>193</v>
      </c>
      <c r="P630" s="1" t="s">
        <v>63</v>
      </c>
      <c r="Q630" s="1"/>
      <c r="R630" s="2">
        <v>44048</v>
      </c>
      <c r="S630" s="1"/>
      <c r="W630" s="1" t="s">
        <v>38</v>
      </c>
      <c r="X630" s="2">
        <v>44055</v>
      </c>
      <c r="Y630" s="2">
        <v>44053</v>
      </c>
      <c r="Z630" s="2">
        <v>44049</v>
      </c>
      <c r="AA630" s="2">
        <v>44048</v>
      </c>
      <c r="AB630" s="2">
        <v>44048</v>
      </c>
      <c r="AC630" s="1"/>
      <c r="AD630">
        <v>1</v>
      </c>
      <c r="AE630">
        <v>176</v>
      </c>
      <c r="AG630">
        <f>IF(AND(Rfi[[#This Row],[State]] = "Closed",  ISBLANK(Rfi[[#This Row],[Responded On]])), 0, IF((Rfi[[#This Row],[Time to Answer]]) = "",Rfi[[#This Row],[Time Since Created]],Rfi[[#This Row],[Time to Answer]]))</f>
        <v>1</v>
      </c>
    </row>
    <row r="631" spans="1:33" x14ac:dyDescent="0.35">
      <c r="A631">
        <v>635</v>
      </c>
      <c r="B631" s="1"/>
      <c r="C631">
        <v>0</v>
      </c>
      <c r="D631" s="1"/>
      <c r="E631" s="1"/>
      <c r="F631" s="1" t="s">
        <v>30</v>
      </c>
      <c r="G631" s="1" t="s">
        <v>2294</v>
      </c>
      <c r="H631" s="1" t="s">
        <v>2295</v>
      </c>
      <c r="I631" s="1"/>
      <c r="J631" s="1" t="s">
        <v>2474</v>
      </c>
      <c r="K631" s="1"/>
      <c r="L631" s="1"/>
      <c r="M631" s="1" t="s">
        <v>34</v>
      </c>
      <c r="N631" s="1" t="s">
        <v>245</v>
      </c>
      <c r="O631" s="1" t="s">
        <v>147</v>
      </c>
      <c r="P631" s="1" t="s">
        <v>379</v>
      </c>
      <c r="Q631" s="1"/>
      <c r="R631" s="2">
        <v>44049</v>
      </c>
      <c r="S631" s="1"/>
      <c r="W631" s="1" t="s">
        <v>38</v>
      </c>
      <c r="X631" s="2">
        <v>44056</v>
      </c>
      <c r="Y631" s="2">
        <v>44096</v>
      </c>
      <c r="Z631" s="2">
        <v>44090</v>
      </c>
      <c r="AA631" s="2">
        <v>44061</v>
      </c>
      <c r="AB631" s="2">
        <v>44049</v>
      </c>
      <c r="AC631" s="1"/>
      <c r="AD631">
        <v>41</v>
      </c>
      <c r="AE631">
        <v>175</v>
      </c>
      <c r="AG631">
        <f>IF(AND(Rfi[[#This Row],[State]] = "Closed",  ISBLANK(Rfi[[#This Row],[Responded On]])), 0, IF((Rfi[[#This Row],[Time to Answer]]) = "",Rfi[[#This Row],[Time Since Created]],Rfi[[#This Row],[Time to Answer]]))</f>
        <v>41</v>
      </c>
    </row>
    <row r="632" spans="1:33" x14ac:dyDescent="0.35">
      <c r="A632">
        <v>636</v>
      </c>
      <c r="B632" s="1"/>
      <c r="C632">
        <v>0</v>
      </c>
      <c r="D632" s="1"/>
      <c r="E632" s="1"/>
      <c r="F632" s="1" t="s">
        <v>30</v>
      </c>
      <c r="G632" s="1" t="s">
        <v>2296</v>
      </c>
      <c r="H632" s="1" t="s">
        <v>2297</v>
      </c>
      <c r="I632" s="1"/>
      <c r="J632" s="1" t="s">
        <v>2475</v>
      </c>
      <c r="K632" s="1"/>
      <c r="L632" s="1"/>
      <c r="M632" s="1" t="s">
        <v>34</v>
      </c>
      <c r="N632" s="1" t="s">
        <v>245</v>
      </c>
      <c r="O632" s="1" t="s">
        <v>147</v>
      </c>
      <c r="P632" s="1" t="s">
        <v>379</v>
      </c>
      <c r="Q632" s="1"/>
      <c r="R632" s="2">
        <v>44049</v>
      </c>
      <c r="S632" s="1"/>
      <c r="W632" s="1" t="s">
        <v>38</v>
      </c>
      <c r="X632" s="2">
        <v>44056</v>
      </c>
      <c r="Y632" s="2">
        <v>44082</v>
      </c>
      <c r="Z632" s="2">
        <v>44075</v>
      </c>
      <c r="AA632" s="2">
        <v>44050</v>
      </c>
      <c r="AB632" s="2">
        <v>44049</v>
      </c>
      <c r="AC632" s="1"/>
      <c r="AD632">
        <v>26</v>
      </c>
      <c r="AE632">
        <v>175</v>
      </c>
      <c r="AG632">
        <f>IF(AND(Rfi[[#This Row],[State]] = "Closed",  ISBLANK(Rfi[[#This Row],[Responded On]])), 0, IF((Rfi[[#This Row],[Time to Answer]]) = "",Rfi[[#This Row],[Time Since Created]],Rfi[[#This Row],[Time to Answer]]))</f>
        <v>26</v>
      </c>
    </row>
    <row r="633" spans="1:33" x14ac:dyDescent="0.35">
      <c r="A633">
        <v>637</v>
      </c>
      <c r="B633" s="1"/>
      <c r="C633">
        <v>0</v>
      </c>
      <c r="D633" s="1"/>
      <c r="E633" s="1"/>
      <c r="F633" s="1" t="s">
        <v>30</v>
      </c>
      <c r="G633" s="1" t="s">
        <v>2298</v>
      </c>
      <c r="H633" s="1" t="s">
        <v>2299</v>
      </c>
      <c r="I633" s="1"/>
      <c r="J633" s="1"/>
      <c r="K633" s="1"/>
      <c r="L633" s="1"/>
      <c r="M633" s="1" t="s">
        <v>34</v>
      </c>
      <c r="N633" s="1" t="s">
        <v>266</v>
      </c>
      <c r="O633" s="1" t="s">
        <v>267</v>
      </c>
      <c r="P633" s="1" t="s">
        <v>164</v>
      </c>
      <c r="Q633" s="1"/>
      <c r="R633" s="2">
        <v>44049</v>
      </c>
      <c r="S633" s="1"/>
      <c r="W633" s="1" t="s">
        <v>38</v>
      </c>
      <c r="X633" s="2">
        <v>44056</v>
      </c>
      <c r="Y633" s="2">
        <v>44053</v>
      </c>
      <c r="Z633" s="2">
        <v>44053</v>
      </c>
      <c r="AA633" s="2"/>
      <c r="AB633" s="2">
        <v>44049</v>
      </c>
      <c r="AC633" s="1"/>
      <c r="AD633">
        <v>4</v>
      </c>
      <c r="AE633">
        <v>175</v>
      </c>
      <c r="AG633">
        <f>IF(AND(Rfi[[#This Row],[State]] = "Closed",  ISBLANK(Rfi[[#This Row],[Responded On]])), 0, IF((Rfi[[#This Row],[Time to Answer]]) = "",Rfi[[#This Row],[Time Since Created]],Rfi[[#This Row],[Time to Answer]]))</f>
        <v>4</v>
      </c>
    </row>
    <row r="634" spans="1:33" x14ac:dyDescent="0.35">
      <c r="A634">
        <v>638</v>
      </c>
      <c r="B634" s="1"/>
      <c r="C634">
        <v>0</v>
      </c>
      <c r="D634" s="1"/>
      <c r="E634" s="1"/>
      <c r="F634" s="1" t="s">
        <v>30</v>
      </c>
      <c r="G634" s="1" t="s">
        <v>2300</v>
      </c>
      <c r="H634" s="1" t="s">
        <v>2301</v>
      </c>
      <c r="I634" s="1" t="s">
        <v>2315</v>
      </c>
      <c r="J634" s="1" t="s">
        <v>2316</v>
      </c>
      <c r="K634" s="1"/>
      <c r="L634" s="1"/>
      <c r="M634" s="1" t="s">
        <v>34</v>
      </c>
      <c r="N634" s="1" t="s">
        <v>266</v>
      </c>
      <c r="O634" s="1" t="s">
        <v>267</v>
      </c>
      <c r="P634" s="1" t="s">
        <v>37</v>
      </c>
      <c r="Q634" s="1"/>
      <c r="R634" s="2">
        <v>44049</v>
      </c>
      <c r="S634" s="1"/>
      <c r="W634" s="1" t="s">
        <v>38</v>
      </c>
      <c r="X634" s="2">
        <v>44056</v>
      </c>
      <c r="Y634" s="2">
        <v>44054</v>
      </c>
      <c r="Z634" s="2">
        <v>44054</v>
      </c>
      <c r="AA634" s="2">
        <v>44053</v>
      </c>
      <c r="AB634" s="2">
        <v>44049</v>
      </c>
      <c r="AC634" s="1"/>
      <c r="AD634">
        <v>5</v>
      </c>
      <c r="AE634">
        <v>175</v>
      </c>
      <c r="AG634">
        <f>IF(AND(Rfi[[#This Row],[State]] = "Closed",  ISBLANK(Rfi[[#This Row],[Responded On]])), 0, IF((Rfi[[#This Row],[Time to Answer]]) = "",Rfi[[#This Row],[Time Since Created]],Rfi[[#This Row],[Time to Answer]]))</f>
        <v>5</v>
      </c>
    </row>
    <row r="635" spans="1:33" x14ac:dyDescent="0.35">
      <c r="A635">
        <v>639</v>
      </c>
      <c r="B635" s="1"/>
      <c r="C635">
        <v>0</v>
      </c>
      <c r="D635" s="1"/>
      <c r="E635" s="1"/>
      <c r="F635" s="1" t="s">
        <v>30</v>
      </c>
      <c r="G635" s="1" t="s">
        <v>2317</v>
      </c>
      <c r="H635" s="1" t="s">
        <v>2318</v>
      </c>
      <c r="I635" s="1"/>
      <c r="J635" s="1" t="s">
        <v>2407</v>
      </c>
      <c r="K635" s="1"/>
      <c r="L635" s="1"/>
      <c r="M635" s="1" t="s">
        <v>34</v>
      </c>
      <c r="N635" s="1" t="s">
        <v>437</v>
      </c>
      <c r="O635" s="1" t="s">
        <v>44</v>
      </c>
      <c r="P635" s="1" t="s">
        <v>200</v>
      </c>
      <c r="Q635" s="1"/>
      <c r="R635" s="2">
        <v>44050</v>
      </c>
      <c r="S635" s="1"/>
      <c r="W635" s="1" t="s">
        <v>38</v>
      </c>
      <c r="X635" s="2">
        <v>44057</v>
      </c>
      <c r="Y635" s="2">
        <v>44096</v>
      </c>
      <c r="Z635" s="2">
        <v>44069</v>
      </c>
      <c r="AA635" s="2">
        <v>44053</v>
      </c>
      <c r="AB635" s="2">
        <v>44050</v>
      </c>
      <c r="AC635" s="1"/>
      <c r="AD635">
        <v>19</v>
      </c>
      <c r="AE635">
        <v>174</v>
      </c>
      <c r="AG635">
        <f>IF(AND(Rfi[[#This Row],[State]] = "Closed",  ISBLANK(Rfi[[#This Row],[Responded On]])), 0, IF((Rfi[[#This Row],[Time to Answer]]) = "",Rfi[[#This Row],[Time Since Created]],Rfi[[#This Row],[Time to Answer]]))</f>
        <v>19</v>
      </c>
    </row>
    <row r="636" spans="1:33" x14ac:dyDescent="0.35">
      <c r="A636">
        <v>640</v>
      </c>
      <c r="B636" s="1"/>
      <c r="C636">
        <v>0</v>
      </c>
      <c r="D636" s="1"/>
      <c r="E636" s="1"/>
      <c r="F636" s="1" t="s">
        <v>30</v>
      </c>
      <c r="G636" s="1" t="s">
        <v>2319</v>
      </c>
      <c r="H636" s="1" t="s">
        <v>2320</v>
      </c>
      <c r="I636" s="1"/>
      <c r="J636" s="1" t="s">
        <v>2371</v>
      </c>
      <c r="K636" s="1"/>
      <c r="L636" s="1"/>
      <c r="M636" s="1" t="s">
        <v>34</v>
      </c>
      <c r="N636" s="1" t="s">
        <v>437</v>
      </c>
      <c r="O636" s="1" t="s">
        <v>44</v>
      </c>
      <c r="P636" s="1" t="s">
        <v>200</v>
      </c>
      <c r="Q636" s="1"/>
      <c r="R636" s="2">
        <v>44050</v>
      </c>
      <c r="S636" s="1"/>
      <c r="W636" s="1" t="s">
        <v>38</v>
      </c>
      <c r="X636" s="2">
        <v>44057</v>
      </c>
      <c r="Y636" s="2">
        <v>44056</v>
      </c>
      <c r="Z636" s="2">
        <v>44056</v>
      </c>
      <c r="AA636" s="2">
        <v>44053</v>
      </c>
      <c r="AB636" s="2">
        <v>44050</v>
      </c>
      <c r="AC636" s="1"/>
      <c r="AD636">
        <v>6</v>
      </c>
      <c r="AE636">
        <v>174</v>
      </c>
      <c r="AG636">
        <f>IF(AND(Rfi[[#This Row],[State]] = "Closed",  ISBLANK(Rfi[[#This Row],[Responded On]])), 0, IF((Rfi[[#This Row],[Time to Answer]]) = "",Rfi[[#This Row],[Time Since Created]],Rfi[[#This Row],[Time to Answer]]))</f>
        <v>6</v>
      </c>
    </row>
    <row r="637" spans="1:33" x14ac:dyDescent="0.35">
      <c r="A637">
        <v>641</v>
      </c>
      <c r="B637" s="1"/>
      <c r="C637">
        <v>0</v>
      </c>
      <c r="D637" s="1"/>
      <c r="E637" s="1"/>
      <c r="F637" s="1" t="s">
        <v>30</v>
      </c>
      <c r="G637" s="1" t="s">
        <v>2321</v>
      </c>
      <c r="H637" s="1" t="s">
        <v>2322</v>
      </c>
      <c r="I637" s="1"/>
      <c r="J637" s="1" t="s">
        <v>2476</v>
      </c>
      <c r="K637" s="1"/>
      <c r="L637" s="1"/>
      <c r="M637" s="1" t="s">
        <v>34</v>
      </c>
      <c r="N637" s="1" t="s">
        <v>192</v>
      </c>
      <c r="O637" s="1" t="s">
        <v>193</v>
      </c>
      <c r="P637" s="1" t="s">
        <v>37</v>
      </c>
      <c r="Q637" s="1"/>
      <c r="R637" s="2">
        <v>44147</v>
      </c>
      <c r="S637" s="1"/>
      <c r="W637" s="1" t="s">
        <v>38</v>
      </c>
      <c r="X637" s="2">
        <v>44057</v>
      </c>
      <c r="Y637" s="2">
        <v>44151</v>
      </c>
      <c r="Z637" s="2">
        <v>44148</v>
      </c>
      <c r="AA637" s="2">
        <v>44053</v>
      </c>
      <c r="AB637" s="2">
        <v>44050</v>
      </c>
      <c r="AC637" s="1"/>
      <c r="AD637">
        <v>98</v>
      </c>
      <c r="AE637">
        <v>174</v>
      </c>
      <c r="AG637">
        <f>IF(AND(Rfi[[#This Row],[State]] = "Closed",  ISBLANK(Rfi[[#This Row],[Responded On]])), 0, IF((Rfi[[#This Row],[Time to Answer]]) = "",Rfi[[#This Row],[Time Since Created]],Rfi[[#This Row],[Time to Answer]]))</f>
        <v>98</v>
      </c>
    </row>
    <row r="638" spans="1:33" x14ac:dyDescent="0.35">
      <c r="A638">
        <v>642</v>
      </c>
      <c r="B638" s="1"/>
      <c r="C638">
        <v>0</v>
      </c>
      <c r="D638" s="1"/>
      <c r="E638" s="1"/>
      <c r="F638" s="1" t="s">
        <v>30</v>
      </c>
      <c r="G638" s="1" t="s">
        <v>2323</v>
      </c>
      <c r="H638" s="1" t="s">
        <v>2324</v>
      </c>
      <c r="I638" s="1"/>
      <c r="J638" s="1" t="s">
        <v>2408</v>
      </c>
      <c r="K638" s="1"/>
      <c r="L638" s="1"/>
      <c r="M638" s="1" t="s">
        <v>197</v>
      </c>
      <c r="N638" s="1" t="s">
        <v>437</v>
      </c>
      <c r="O638" s="1" t="s">
        <v>44</v>
      </c>
      <c r="P638" s="1" t="s">
        <v>200</v>
      </c>
      <c r="Q638" s="1"/>
      <c r="R638" s="2">
        <v>44051</v>
      </c>
      <c r="S638" s="1"/>
      <c r="W638" s="1" t="s">
        <v>38</v>
      </c>
      <c r="X638" s="2">
        <v>44059</v>
      </c>
      <c r="Y638" s="2">
        <v>44096</v>
      </c>
      <c r="Z638" s="2">
        <v>44065</v>
      </c>
      <c r="AA638" s="2">
        <v>44053</v>
      </c>
      <c r="AB638" s="2">
        <v>44051</v>
      </c>
      <c r="AC638" s="1"/>
      <c r="AD638">
        <v>14</v>
      </c>
      <c r="AE638">
        <v>173</v>
      </c>
      <c r="AG638">
        <f>IF(AND(Rfi[[#This Row],[State]] = "Closed",  ISBLANK(Rfi[[#This Row],[Responded On]])), 0, IF((Rfi[[#This Row],[Time to Answer]]) = "",Rfi[[#This Row],[Time Since Created]],Rfi[[#This Row],[Time to Answer]]))</f>
        <v>14</v>
      </c>
    </row>
    <row r="639" spans="1:33" x14ac:dyDescent="0.35">
      <c r="A639">
        <v>643</v>
      </c>
      <c r="B639" s="1"/>
      <c r="C639">
        <v>0</v>
      </c>
      <c r="D639" s="1"/>
      <c r="E639" s="1"/>
      <c r="F639" s="1" t="s">
        <v>30</v>
      </c>
      <c r="G639" s="1" t="s">
        <v>2325</v>
      </c>
      <c r="H639" s="1" t="s">
        <v>2326</v>
      </c>
      <c r="I639" s="1"/>
      <c r="J639" s="1" t="s">
        <v>2327</v>
      </c>
      <c r="K639" s="1"/>
      <c r="L639" s="1"/>
      <c r="M639" s="1" t="s">
        <v>197</v>
      </c>
      <c r="N639" s="1" t="s">
        <v>341</v>
      </c>
      <c r="O639" s="1" t="s">
        <v>62</v>
      </c>
      <c r="P639" s="1" t="s">
        <v>63</v>
      </c>
      <c r="Q639" s="1"/>
      <c r="R639" s="2">
        <v>44053</v>
      </c>
      <c r="S639" s="1"/>
      <c r="W639" s="1" t="s">
        <v>38</v>
      </c>
      <c r="X639" s="2">
        <v>44056</v>
      </c>
      <c r="Y639" s="2">
        <v>44054</v>
      </c>
      <c r="Z639" s="2">
        <v>44054</v>
      </c>
      <c r="AA639" s="2">
        <v>44053</v>
      </c>
      <c r="AB639" s="2">
        <v>44053</v>
      </c>
      <c r="AC639" s="1"/>
      <c r="AD639">
        <v>1</v>
      </c>
      <c r="AE639">
        <v>171</v>
      </c>
      <c r="AG639">
        <f>IF(AND(Rfi[[#This Row],[State]] = "Closed",  ISBLANK(Rfi[[#This Row],[Responded On]])), 0, IF((Rfi[[#This Row],[Time to Answer]]) = "",Rfi[[#This Row],[Time Since Created]],Rfi[[#This Row],[Time to Answer]]))</f>
        <v>1</v>
      </c>
    </row>
    <row r="640" spans="1:33" x14ac:dyDescent="0.35">
      <c r="A640">
        <v>644</v>
      </c>
      <c r="B640" s="1"/>
      <c r="C640">
        <v>0</v>
      </c>
      <c r="D640" s="1"/>
      <c r="E640" s="1"/>
      <c r="F640" s="1" t="s">
        <v>30</v>
      </c>
      <c r="G640" s="1" t="s">
        <v>2328</v>
      </c>
      <c r="H640" s="1" t="s">
        <v>2329</v>
      </c>
      <c r="I640" s="1"/>
      <c r="J640" s="1" t="s">
        <v>2477</v>
      </c>
      <c r="K640" s="1"/>
      <c r="L640" s="1"/>
      <c r="M640" s="1" t="s">
        <v>197</v>
      </c>
      <c r="N640" s="1" t="s">
        <v>192</v>
      </c>
      <c r="O640" s="1" t="s">
        <v>193</v>
      </c>
      <c r="P640" s="1" t="s">
        <v>116</v>
      </c>
      <c r="Q640" s="1"/>
      <c r="R640" s="2">
        <v>44054</v>
      </c>
      <c r="S640" s="1"/>
      <c r="W640" s="1" t="s">
        <v>38</v>
      </c>
      <c r="X640" s="2">
        <v>44072</v>
      </c>
      <c r="Y640" s="2">
        <v>44105</v>
      </c>
      <c r="Z640" s="2">
        <v>44082</v>
      </c>
      <c r="AA640" s="2">
        <v>44054</v>
      </c>
      <c r="AB640" s="2">
        <v>44054</v>
      </c>
      <c r="AC640" s="1"/>
      <c r="AD640">
        <v>28</v>
      </c>
      <c r="AE640">
        <v>170</v>
      </c>
      <c r="AG640">
        <f>IF(AND(Rfi[[#This Row],[State]] = "Closed",  ISBLANK(Rfi[[#This Row],[Responded On]])), 0, IF((Rfi[[#This Row],[Time to Answer]]) = "",Rfi[[#This Row],[Time Since Created]],Rfi[[#This Row],[Time to Answer]]))</f>
        <v>28</v>
      </c>
    </row>
    <row r="641" spans="1:33" x14ac:dyDescent="0.35">
      <c r="A641">
        <v>645</v>
      </c>
      <c r="B641" s="1"/>
      <c r="C641">
        <v>0</v>
      </c>
      <c r="D641" s="1"/>
      <c r="E641" s="1"/>
      <c r="F641" s="1" t="s">
        <v>30</v>
      </c>
      <c r="G641" s="1" t="s">
        <v>2330</v>
      </c>
      <c r="H641" s="1" t="s">
        <v>2331</v>
      </c>
      <c r="I641" s="1"/>
      <c r="J641" s="1" t="s">
        <v>2478</v>
      </c>
      <c r="K641" s="1"/>
      <c r="L641" s="1"/>
      <c r="M641" s="1" t="s">
        <v>197</v>
      </c>
      <c r="N641" s="1" t="s">
        <v>192</v>
      </c>
      <c r="O641" s="1" t="s">
        <v>193</v>
      </c>
      <c r="P641" s="1" t="s">
        <v>37</v>
      </c>
      <c r="Q641" s="1"/>
      <c r="R641" s="2">
        <v>44054</v>
      </c>
      <c r="S641" s="1"/>
      <c r="W641" s="1" t="s">
        <v>38</v>
      </c>
      <c r="X641" s="2">
        <v>44063</v>
      </c>
      <c r="Y641" s="2">
        <v>44068</v>
      </c>
      <c r="Z641" s="2">
        <v>44067</v>
      </c>
      <c r="AA641" s="2">
        <v>44060</v>
      </c>
      <c r="AB641" s="2">
        <v>44054</v>
      </c>
      <c r="AC641" s="1"/>
      <c r="AD641">
        <v>13</v>
      </c>
      <c r="AE641">
        <v>170</v>
      </c>
      <c r="AG641">
        <f>IF(AND(Rfi[[#This Row],[State]] = "Closed",  ISBLANK(Rfi[[#This Row],[Responded On]])), 0, IF((Rfi[[#This Row],[Time to Answer]]) = "",Rfi[[#This Row],[Time Since Created]],Rfi[[#This Row],[Time to Answer]]))</f>
        <v>13</v>
      </c>
    </row>
    <row r="642" spans="1:33" x14ac:dyDescent="0.35">
      <c r="A642">
        <v>646</v>
      </c>
      <c r="B642" s="1"/>
      <c r="C642">
        <v>0</v>
      </c>
      <c r="D642" s="1"/>
      <c r="E642" s="1"/>
      <c r="F642" s="1" t="s">
        <v>30</v>
      </c>
      <c r="G642" s="1" t="s">
        <v>2332</v>
      </c>
      <c r="H642" s="1" t="s">
        <v>2333</v>
      </c>
      <c r="I642" s="1"/>
      <c r="J642" s="1" t="s">
        <v>2334</v>
      </c>
      <c r="K642" s="1"/>
      <c r="L642" s="1"/>
      <c r="M642" s="1" t="s">
        <v>197</v>
      </c>
      <c r="N642" s="1" t="s">
        <v>43</v>
      </c>
      <c r="O642" s="1" t="s">
        <v>44</v>
      </c>
      <c r="P642" s="1" t="s">
        <v>379</v>
      </c>
      <c r="Q642" s="1"/>
      <c r="R642" s="2">
        <v>44054</v>
      </c>
      <c r="S642" s="1"/>
      <c r="W642" s="1" t="s">
        <v>38</v>
      </c>
      <c r="X642" s="2">
        <v>44057</v>
      </c>
      <c r="Y642" s="2">
        <v>44055</v>
      </c>
      <c r="Z642" s="2">
        <v>44055</v>
      </c>
      <c r="AA642" s="2">
        <v>44054</v>
      </c>
      <c r="AB642" s="2">
        <v>44054</v>
      </c>
      <c r="AC642" s="1"/>
      <c r="AD642">
        <v>1</v>
      </c>
      <c r="AE642">
        <v>170</v>
      </c>
      <c r="AG642">
        <f>IF(AND(Rfi[[#This Row],[State]] = "Closed",  ISBLANK(Rfi[[#This Row],[Responded On]])), 0, IF((Rfi[[#This Row],[Time to Answer]]) = "",Rfi[[#This Row],[Time Since Created]],Rfi[[#This Row],[Time to Answer]]))</f>
        <v>1</v>
      </c>
    </row>
    <row r="643" spans="1:33" x14ac:dyDescent="0.35">
      <c r="A643">
        <v>647</v>
      </c>
      <c r="B643" s="1"/>
      <c r="C643">
        <v>0</v>
      </c>
      <c r="D643" s="1" t="s">
        <v>206</v>
      </c>
      <c r="E643" s="1" t="s">
        <v>217</v>
      </c>
      <c r="F643" s="1" t="s">
        <v>30</v>
      </c>
      <c r="G643" s="1" t="s">
        <v>2335</v>
      </c>
      <c r="H643" s="1" t="s">
        <v>2336</v>
      </c>
      <c r="I643" s="1" t="s">
        <v>2337</v>
      </c>
      <c r="J643" s="1" t="s">
        <v>2409</v>
      </c>
      <c r="K643" s="1"/>
      <c r="L643" s="1"/>
      <c r="M643" s="1" t="s">
        <v>34</v>
      </c>
      <c r="N643" s="1" t="s">
        <v>97</v>
      </c>
      <c r="O643" s="1" t="s">
        <v>98</v>
      </c>
      <c r="P643" s="1" t="s">
        <v>99</v>
      </c>
      <c r="Q643" s="1"/>
      <c r="R643" s="2">
        <v>44054</v>
      </c>
      <c r="S643" s="1"/>
      <c r="W643" s="1" t="s">
        <v>38</v>
      </c>
      <c r="X643" s="2">
        <v>44061</v>
      </c>
      <c r="Y643" s="2">
        <v>44069</v>
      </c>
      <c r="Z643" s="2">
        <v>44069</v>
      </c>
      <c r="AA643" s="2">
        <v>44054</v>
      </c>
      <c r="AB643" s="2">
        <v>44054</v>
      </c>
      <c r="AC643" s="1"/>
      <c r="AD643">
        <v>15</v>
      </c>
      <c r="AE643">
        <v>170</v>
      </c>
      <c r="AG643">
        <f>IF(AND(Rfi[[#This Row],[State]] = "Closed",  ISBLANK(Rfi[[#This Row],[Responded On]])), 0, IF((Rfi[[#This Row],[Time to Answer]]) = "",Rfi[[#This Row],[Time Since Created]],Rfi[[#This Row],[Time to Answer]]))</f>
        <v>15</v>
      </c>
    </row>
    <row r="644" spans="1:33" x14ac:dyDescent="0.35">
      <c r="A644">
        <v>648</v>
      </c>
      <c r="B644" s="1"/>
      <c r="C644">
        <v>0</v>
      </c>
      <c r="D644" s="1" t="s">
        <v>206</v>
      </c>
      <c r="E644" s="1" t="s">
        <v>2338</v>
      </c>
      <c r="F644" s="1" t="s">
        <v>30</v>
      </c>
      <c r="G644" s="1" t="s">
        <v>2339</v>
      </c>
      <c r="H644" s="1" t="s">
        <v>2340</v>
      </c>
      <c r="I644" s="1" t="s">
        <v>2341</v>
      </c>
      <c r="J644" s="1" t="s">
        <v>2479</v>
      </c>
      <c r="K644" s="1"/>
      <c r="L644" s="1"/>
      <c r="M644" s="1" t="s">
        <v>34</v>
      </c>
      <c r="N644" s="1" t="s">
        <v>97</v>
      </c>
      <c r="O644" s="1" t="s">
        <v>98</v>
      </c>
      <c r="P644" s="1" t="s">
        <v>99</v>
      </c>
      <c r="Q644" s="1"/>
      <c r="R644" s="2">
        <v>44054</v>
      </c>
      <c r="S644" s="1"/>
      <c r="W644" s="1" t="s">
        <v>38</v>
      </c>
      <c r="X644" s="2">
        <v>44061</v>
      </c>
      <c r="Y644" s="2">
        <v>44096</v>
      </c>
      <c r="Z644" s="2">
        <v>44082</v>
      </c>
      <c r="AA644" s="2">
        <v>44054</v>
      </c>
      <c r="AB644" s="2">
        <v>44054</v>
      </c>
      <c r="AC644" s="1"/>
      <c r="AD644">
        <v>28</v>
      </c>
      <c r="AE644">
        <v>170</v>
      </c>
      <c r="AG644">
        <f>IF(AND(Rfi[[#This Row],[State]] = "Closed",  ISBLANK(Rfi[[#This Row],[Responded On]])), 0, IF((Rfi[[#This Row],[Time to Answer]]) = "",Rfi[[#This Row],[Time Since Created]],Rfi[[#This Row],[Time to Answer]]))</f>
        <v>28</v>
      </c>
    </row>
    <row r="645" spans="1:33" x14ac:dyDescent="0.35">
      <c r="A645">
        <v>649</v>
      </c>
      <c r="B645" s="1"/>
      <c r="C645">
        <v>0</v>
      </c>
      <c r="D645" s="1"/>
      <c r="E645" s="1"/>
      <c r="F645" s="1" t="s">
        <v>30</v>
      </c>
      <c r="G645" s="1" t="s">
        <v>2342</v>
      </c>
      <c r="H645" s="1" t="s">
        <v>2343</v>
      </c>
      <c r="I645" s="1"/>
      <c r="J645" s="1" t="s">
        <v>2344</v>
      </c>
      <c r="K645" s="1"/>
      <c r="L645" s="1"/>
      <c r="M645" s="1" t="s">
        <v>197</v>
      </c>
      <c r="N645" s="1" t="s">
        <v>43</v>
      </c>
      <c r="O645" s="1" t="s">
        <v>44</v>
      </c>
      <c r="P645" s="1" t="s">
        <v>37</v>
      </c>
      <c r="Q645" s="1"/>
      <c r="R645" s="2">
        <v>44055</v>
      </c>
      <c r="S645" s="1"/>
      <c r="W645" s="1" t="s">
        <v>38</v>
      </c>
      <c r="X645" s="2">
        <v>44057</v>
      </c>
      <c r="Y645" s="2">
        <v>44055</v>
      </c>
      <c r="Z645" s="2">
        <v>44055</v>
      </c>
      <c r="AA645" s="2"/>
      <c r="AB645" s="2">
        <v>44055</v>
      </c>
      <c r="AC645" s="1"/>
      <c r="AD645">
        <v>0</v>
      </c>
      <c r="AE645">
        <v>169</v>
      </c>
      <c r="AG645">
        <f>IF(AND(Rfi[[#This Row],[State]] = "Closed",  ISBLANK(Rfi[[#This Row],[Responded On]])), 0, IF((Rfi[[#This Row],[Time to Answer]]) = "",Rfi[[#This Row],[Time Since Created]],Rfi[[#This Row],[Time to Answer]]))</f>
        <v>0</v>
      </c>
    </row>
    <row r="646" spans="1:33" x14ac:dyDescent="0.35">
      <c r="A646">
        <v>650</v>
      </c>
      <c r="B646" s="1"/>
      <c r="C646">
        <v>0</v>
      </c>
      <c r="D646" s="1"/>
      <c r="E646" s="1"/>
      <c r="F646" s="1" t="s">
        <v>30</v>
      </c>
      <c r="G646" s="1" t="s">
        <v>2345</v>
      </c>
      <c r="H646" s="1" t="s">
        <v>2346</v>
      </c>
      <c r="I646" s="1"/>
      <c r="J646" s="1" t="s">
        <v>2410</v>
      </c>
      <c r="K646" s="1"/>
      <c r="L646" s="1"/>
      <c r="M646" s="1" t="s">
        <v>34</v>
      </c>
      <c r="N646" s="1" t="s">
        <v>192</v>
      </c>
      <c r="O646" s="1" t="s">
        <v>193</v>
      </c>
      <c r="P646" s="1" t="s">
        <v>37</v>
      </c>
      <c r="Q646" s="1"/>
      <c r="R646" s="2">
        <v>44055</v>
      </c>
      <c r="S646" s="1"/>
      <c r="W646" s="1" t="s">
        <v>38</v>
      </c>
      <c r="X646" s="2">
        <v>44061</v>
      </c>
      <c r="Y646" s="2">
        <v>44068</v>
      </c>
      <c r="Z646" s="2">
        <v>44067</v>
      </c>
      <c r="AA646" s="2">
        <v>44055</v>
      </c>
      <c r="AB646" s="2">
        <v>44055</v>
      </c>
      <c r="AC646" s="1"/>
      <c r="AD646">
        <v>12</v>
      </c>
      <c r="AE646">
        <v>169</v>
      </c>
      <c r="AG646">
        <f>IF(AND(Rfi[[#This Row],[State]] = "Closed",  ISBLANK(Rfi[[#This Row],[Responded On]])), 0, IF((Rfi[[#This Row],[Time to Answer]]) = "",Rfi[[#This Row],[Time Since Created]],Rfi[[#This Row],[Time to Answer]]))</f>
        <v>12</v>
      </c>
    </row>
    <row r="647" spans="1:33" x14ac:dyDescent="0.35">
      <c r="A647">
        <v>651</v>
      </c>
      <c r="B647" s="1"/>
      <c r="C647">
        <v>0</v>
      </c>
      <c r="D647" s="1"/>
      <c r="E647" s="1"/>
      <c r="F647" s="1" t="s">
        <v>30</v>
      </c>
      <c r="G647" s="1" t="s">
        <v>2347</v>
      </c>
      <c r="H647" s="1" t="s">
        <v>2348</v>
      </c>
      <c r="I647" s="1"/>
      <c r="J647" s="1" t="s">
        <v>2480</v>
      </c>
      <c r="K647" s="1"/>
      <c r="L647" s="1"/>
      <c r="M647" s="1" t="s">
        <v>34</v>
      </c>
      <c r="N647" s="1" t="s">
        <v>245</v>
      </c>
      <c r="O647" s="1" t="s">
        <v>147</v>
      </c>
      <c r="P647" s="1" t="s">
        <v>379</v>
      </c>
      <c r="Q647" s="1"/>
      <c r="R647" s="2">
        <v>44055</v>
      </c>
      <c r="S647" s="1"/>
      <c r="W647" s="1" t="s">
        <v>38</v>
      </c>
      <c r="X647" s="2">
        <v>44062</v>
      </c>
      <c r="Y647" s="2">
        <v>44075</v>
      </c>
      <c r="Z647" s="2">
        <v>44075</v>
      </c>
      <c r="AA647" s="2">
        <v>44055</v>
      </c>
      <c r="AB647" s="2">
        <v>44055</v>
      </c>
      <c r="AC647" s="1"/>
      <c r="AD647">
        <v>20</v>
      </c>
      <c r="AE647">
        <v>169</v>
      </c>
      <c r="AG647">
        <f>IF(AND(Rfi[[#This Row],[State]] = "Closed",  ISBLANK(Rfi[[#This Row],[Responded On]])), 0, IF((Rfi[[#This Row],[Time to Answer]]) = "",Rfi[[#This Row],[Time Since Created]],Rfi[[#This Row],[Time to Answer]]))</f>
        <v>20</v>
      </c>
    </row>
    <row r="648" spans="1:33" x14ac:dyDescent="0.35">
      <c r="A648">
        <v>652</v>
      </c>
      <c r="B648" s="1"/>
      <c r="C648">
        <v>0</v>
      </c>
      <c r="D648" s="1"/>
      <c r="E648" s="1" t="s">
        <v>2349</v>
      </c>
      <c r="F648" s="1" t="s">
        <v>30</v>
      </c>
      <c r="G648" s="1" t="s">
        <v>2350</v>
      </c>
      <c r="H648" s="1" t="s">
        <v>2351</v>
      </c>
      <c r="I648" s="1" t="s">
        <v>2352</v>
      </c>
      <c r="J648" s="1" t="s">
        <v>2372</v>
      </c>
      <c r="K648" s="1"/>
      <c r="L648" s="1"/>
      <c r="M648" s="1" t="s">
        <v>34</v>
      </c>
      <c r="N648" s="1" t="s">
        <v>43</v>
      </c>
      <c r="O648" s="1" t="s">
        <v>44</v>
      </c>
      <c r="P648" s="1" t="s">
        <v>63</v>
      </c>
      <c r="Q648" s="1"/>
      <c r="R648" s="2">
        <v>44055</v>
      </c>
      <c r="S648" s="1"/>
      <c r="W648" s="1" t="s">
        <v>38</v>
      </c>
      <c r="X648" s="2">
        <v>44062</v>
      </c>
      <c r="Y648" s="2">
        <v>44061</v>
      </c>
      <c r="Z648" s="2">
        <v>44060</v>
      </c>
      <c r="AA648" s="2">
        <v>44055</v>
      </c>
      <c r="AB648" s="2">
        <v>44055</v>
      </c>
      <c r="AC648" s="1"/>
      <c r="AD648">
        <v>5</v>
      </c>
      <c r="AE648">
        <v>169</v>
      </c>
      <c r="AG648">
        <f>IF(AND(Rfi[[#This Row],[State]] = "Closed",  ISBLANK(Rfi[[#This Row],[Responded On]])), 0, IF((Rfi[[#This Row],[Time to Answer]]) = "",Rfi[[#This Row],[Time Since Created]],Rfi[[#This Row],[Time to Answer]]))</f>
        <v>5</v>
      </c>
    </row>
    <row r="649" spans="1:33" x14ac:dyDescent="0.35">
      <c r="A649">
        <v>653</v>
      </c>
      <c r="B649" s="1"/>
      <c r="C649">
        <v>0</v>
      </c>
      <c r="D649" s="1"/>
      <c r="E649" s="1" t="s">
        <v>2353</v>
      </c>
      <c r="F649" s="1" t="s">
        <v>30</v>
      </c>
      <c r="G649" s="1" t="s">
        <v>2354</v>
      </c>
      <c r="H649" s="1" t="s">
        <v>2355</v>
      </c>
      <c r="I649" s="1" t="s">
        <v>2356</v>
      </c>
      <c r="J649" s="1" t="s">
        <v>2411</v>
      </c>
      <c r="K649" s="1"/>
      <c r="L649" s="1"/>
      <c r="M649" s="1" t="s">
        <v>34</v>
      </c>
      <c r="N649" s="1" t="s">
        <v>43</v>
      </c>
      <c r="O649" s="1" t="s">
        <v>44</v>
      </c>
      <c r="P649" s="1" t="s">
        <v>1910</v>
      </c>
      <c r="Q649" s="1" t="s">
        <v>1911</v>
      </c>
      <c r="R649" s="2">
        <v>44055</v>
      </c>
      <c r="S649" s="1"/>
      <c r="W649" s="1" t="s">
        <v>38</v>
      </c>
      <c r="X649" s="2">
        <v>44062</v>
      </c>
      <c r="Y649" s="2">
        <v>44063</v>
      </c>
      <c r="Z649" s="2">
        <v>44063</v>
      </c>
      <c r="AA649" s="2">
        <v>44062</v>
      </c>
      <c r="AB649" s="2">
        <v>44055</v>
      </c>
      <c r="AC649" s="1"/>
      <c r="AD649">
        <v>8</v>
      </c>
      <c r="AE649">
        <v>169</v>
      </c>
      <c r="AG649">
        <f>IF(AND(Rfi[[#This Row],[State]] = "Closed",  ISBLANK(Rfi[[#This Row],[Responded On]])), 0, IF((Rfi[[#This Row],[Time to Answer]]) = "",Rfi[[#This Row],[Time Since Created]],Rfi[[#This Row],[Time to Answer]]))</f>
        <v>8</v>
      </c>
    </row>
    <row r="650" spans="1:33" x14ac:dyDescent="0.35">
      <c r="A650">
        <v>654</v>
      </c>
      <c r="B650" s="1"/>
      <c r="C650">
        <v>0</v>
      </c>
      <c r="D650" s="1"/>
      <c r="E650" s="1"/>
      <c r="F650" s="1" t="s">
        <v>30</v>
      </c>
      <c r="G650" s="1" t="s">
        <v>2373</v>
      </c>
      <c r="H650" s="1" t="s">
        <v>2374</v>
      </c>
      <c r="I650" s="1" t="s">
        <v>1614</v>
      </c>
      <c r="J650" s="1" t="s">
        <v>2375</v>
      </c>
      <c r="K650" s="1"/>
      <c r="L650" s="1"/>
      <c r="M650" s="1" t="s">
        <v>197</v>
      </c>
      <c r="N650" s="1" t="s">
        <v>43</v>
      </c>
      <c r="O650" s="1" t="s">
        <v>44</v>
      </c>
      <c r="P650" s="1" t="s">
        <v>63</v>
      </c>
      <c r="Q650" s="1"/>
      <c r="R650" s="2">
        <v>44056</v>
      </c>
      <c r="S650" s="1"/>
      <c r="W650" s="1" t="s">
        <v>38</v>
      </c>
      <c r="X650" s="2">
        <v>44059</v>
      </c>
      <c r="Y650" s="2">
        <v>44061</v>
      </c>
      <c r="Z650" s="2">
        <v>44060</v>
      </c>
      <c r="AA650" s="2"/>
      <c r="AB650" s="2">
        <v>44056</v>
      </c>
      <c r="AC650" s="1"/>
      <c r="AD650">
        <v>4</v>
      </c>
      <c r="AE650">
        <v>168</v>
      </c>
      <c r="AG650">
        <f>IF(AND(Rfi[[#This Row],[State]] = "Closed",  ISBLANK(Rfi[[#This Row],[Responded On]])), 0, IF((Rfi[[#This Row],[Time to Answer]]) = "",Rfi[[#This Row],[Time Since Created]],Rfi[[#This Row],[Time to Answer]]))</f>
        <v>4</v>
      </c>
    </row>
    <row r="651" spans="1:33" x14ac:dyDescent="0.35">
      <c r="A651">
        <v>655</v>
      </c>
      <c r="B651" s="1"/>
      <c r="C651">
        <v>0</v>
      </c>
      <c r="D651" s="1"/>
      <c r="E651" s="1"/>
      <c r="F651" s="1" t="s">
        <v>30</v>
      </c>
      <c r="G651" s="1" t="s">
        <v>2376</v>
      </c>
      <c r="H651" s="1" t="s">
        <v>2377</v>
      </c>
      <c r="I651" s="1"/>
      <c r="J651" s="1" t="s">
        <v>2481</v>
      </c>
      <c r="K651" s="1"/>
      <c r="L651" s="1"/>
      <c r="M651" s="1" t="s">
        <v>34</v>
      </c>
      <c r="N651" s="1" t="s">
        <v>310</v>
      </c>
      <c r="O651" s="1" t="s">
        <v>44</v>
      </c>
      <c r="P651" s="1" t="s">
        <v>37</v>
      </c>
      <c r="Q651" s="1"/>
      <c r="R651" s="2">
        <v>44056</v>
      </c>
      <c r="S651" s="1" t="s">
        <v>2378</v>
      </c>
      <c r="W651" s="1" t="s">
        <v>38</v>
      </c>
      <c r="X651" s="2">
        <v>44063</v>
      </c>
      <c r="Y651" s="2">
        <v>44075</v>
      </c>
      <c r="Z651" s="2">
        <v>44073</v>
      </c>
      <c r="AA651" s="2"/>
      <c r="AB651" s="2">
        <v>44056</v>
      </c>
      <c r="AC651" s="1"/>
      <c r="AD651">
        <v>17</v>
      </c>
      <c r="AE651">
        <v>168</v>
      </c>
      <c r="AG651">
        <f>IF(AND(Rfi[[#This Row],[State]] = "Closed",  ISBLANK(Rfi[[#This Row],[Responded On]])), 0, IF((Rfi[[#This Row],[Time to Answer]]) = "",Rfi[[#This Row],[Time Since Created]],Rfi[[#This Row],[Time to Answer]]))</f>
        <v>17</v>
      </c>
    </row>
    <row r="652" spans="1:33" x14ac:dyDescent="0.35">
      <c r="A652">
        <v>656</v>
      </c>
      <c r="B652" s="1"/>
      <c r="C652">
        <v>0</v>
      </c>
      <c r="D652" s="1"/>
      <c r="E652" s="1" t="s">
        <v>2379</v>
      </c>
      <c r="F652" s="1" t="s">
        <v>30</v>
      </c>
      <c r="G652" s="1" t="s">
        <v>2380</v>
      </c>
      <c r="H652" s="1" t="s">
        <v>2381</v>
      </c>
      <c r="I652" s="1"/>
      <c r="J652" s="1" t="s">
        <v>2412</v>
      </c>
      <c r="K652" s="1"/>
      <c r="L652" s="1"/>
      <c r="M652" s="1" t="s">
        <v>197</v>
      </c>
      <c r="N652" s="1" t="s">
        <v>43</v>
      </c>
      <c r="O652" s="1" t="s">
        <v>44</v>
      </c>
      <c r="P652" s="1" t="s">
        <v>63</v>
      </c>
      <c r="Q652" s="1"/>
      <c r="R652" s="2">
        <v>44057</v>
      </c>
      <c r="S652" s="1"/>
      <c r="W652" s="1" t="s">
        <v>38</v>
      </c>
      <c r="X652" s="2">
        <v>44060</v>
      </c>
      <c r="Y652" s="2">
        <v>44070</v>
      </c>
      <c r="Z652" s="2">
        <v>44063</v>
      </c>
      <c r="AA652" s="2">
        <v>44057</v>
      </c>
      <c r="AB652" s="2">
        <v>44057</v>
      </c>
      <c r="AC652" s="1"/>
      <c r="AD652">
        <v>6</v>
      </c>
      <c r="AE652">
        <v>167</v>
      </c>
      <c r="AG652">
        <f>IF(AND(Rfi[[#This Row],[State]] = "Closed",  ISBLANK(Rfi[[#This Row],[Responded On]])), 0, IF((Rfi[[#This Row],[Time to Answer]]) = "",Rfi[[#This Row],[Time Since Created]],Rfi[[#This Row],[Time to Answer]]))</f>
        <v>6</v>
      </c>
    </row>
    <row r="653" spans="1:33" x14ac:dyDescent="0.35">
      <c r="A653">
        <v>657</v>
      </c>
      <c r="B653" s="1"/>
      <c r="C653">
        <v>0</v>
      </c>
      <c r="D653" s="1"/>
      <c r="E653" s="1"/>
      <c r="F653" s="1" t="s">
        <v>30</v>
      </c>
      <c r="G653" s="1" t="s">
        <v>2382</v>
      </c>
      <c r="H653" s="1" t="s">
        <v>2383</v>
      </c>
      <c r="I653" s="1"/>
      <c r="J653" s="1" t="s">
        <v>2384</v>
      </c>
      <c r="K653" s="1"/>
      <c r="L653" s="1"/>
      <c r="M653" s="1" t="s">
        <v>197</v>
      </c>
      <c r="N653" s="1" t="s">
        <v>341</v>
      </c>
      <c r="O653" s="1" t="s">
        <v>62</v>
      </c>
      <c r="P653" s="1" t="s">
        <v>63</v>
      </c>
      <c r="Q653" s="1"/>
      <c r="R653" s="2">
        <v>44057</v>
      </c>
      <c r="S653" s="1"/>
      <c r="W653" s="1" t="s">
        <v>38</v>
      </c>
      <c r="X653" s="2">
        <v>44063</v>
      </c>
      <c r="Y653" s="2">
        <v>44060</v>
      </c>
      <c r="Z653" s="2">
        <v>44060</v>
      </c>
      <c r="AA653" s="2">
        <v>44060</v>
      </c>
      <c r="AB653" s="2">
        <v>44057</v>
      </c>
      <c r="AC653" s="1"/>
      <c r="AD653">
        <v>3</v>
      </c>
      <c r="AE653">
        <v>167</v>
      </c>
      <c r="AG653">
        <f>IF(AND(Rfi[[#This Row],[State]] = "Closed",  ISBLANK(Rfi[[#This Row],[Responded On]])), 0, IF((Rfi[[#This Row],[Time to Answer]]) = "",Rfi[[#This Row],[Time Since Created]],Rfi[[#This Row],[Time to Answer]]))</f>
        <v>3</v>
      </c>
    </row>
    <row r="654" spans="1:33" x14ac:dyDescent="0.35">
      <c r="A654">
        <v>658</v>
      </c>
      <c r="B654" s="1"/>
      <c r="C654">
        <v>0</v>
      </c>
      <c r="D654" s="1"/>
      <c r="E654" s="1"/>
      <c r="F654" s="1" t="s">
        <v>30</v>
      </c>
      <c r="G654" s="1" t="s">
        <v>2385</v>
      </c>
      <c r="H654" s="1" t="s">
        <v>2386</v>
      </c>
      <c r="I654" s="1"/>
      <c r="J654" s="1" t="s">
        <v>2413</v>
      </c>
      <c r="K654" s="1"/>
      <c r="L654" s="1"/>
      <c r="M654" s="1" t="s">
        <v>34</v>
      </c>
      <c r="N654" s="1" t="s">
        <v>245</v>
      </c>
      <c r="O654" s="1" t="s">
        <v>147</v>
      </c>
      <c r="P654" s="1" t="s">
        <v>37</v>
      </c>
      <c r="Q654" s="1"/>
      <c r="R654" s="2">
        <v>44060</v>
      </c>
      <c r="S654" s="1"/>
      <c r="W654" s="1" t="s">
        <v>38</v>
      </c>
      <c r="X654" s="2">
        <v>44067</v>
      </c>
      <c r="Y654" s="2">
        <v>44067</v>
      </c>
      <c r="Z654" s="2">
        <v>44064</v>
      </c>
      <c r="AA654" s="2">
        <v>44063</v>
      </c>
      <c r="AB654" s="2">
        <v>44060</v>
      </c>
      <c r="AC654" s="1"/>
      <c r="AD654">
        <v>4</v>
      </c>
      <c r="AE654">
        <v>164</v>
      </c>
      <c r="AG654">
        <f>IF(AND(Rfi[[#This Row],[State]] = "Closed",  ISBLANK(Rfi[[#This Row],[Responded On]])), 0, IF((Rfi[[#This Row],[Time to Answer]]) = "",Rfi[[#This Row],[Time Since Created]],Rfi[[#This Row],[Time to Answer]]))</f>
        <v>4</v>
      </c>
    </row>
    <row r="655" spans="1:33" x14ac:dyDescent="0.35">
      <c r="A655">
        <v>659</v>
      </c>
      <c r="B655" s="1"/>
      <c r="C655">
        <v>0</v>
      </c>
      <c r="D655" s="1"/>
      <c r="E655" s="1"/>
      <c r="F655" s="1" t="s">
        <v>30</v>
      </c>
      <c r="G655" s="1" t="s">
        <v>2387</v>
      </c>
      <c r="H655" s="1" t="s">
        <v>2388</v>
      </c>
      <c r="I655" s="1" t="s">
        <v>2389</v>
      </c>
      <c r="J655" s="1" t="s">
        <v>2414</v>
      </c>
      <c r="K655" s="1"/>
      <c r="L655" s="1"/>
      <c r="M655" s="1" t="s">
        <v>197</v>
      </c>
      <c r="N655" s="1" t="s">
        <v>43</v>
      </c>
      <c r="O655" s="1" t="s">
        <v>44</v>
      </c>
      <c r="P655" s="1" t="s">
        <v>37</v>
      </c>
      <c r="Q655" s="1"/>
      <c r="R655" s="2">
        <v>44061</v>
      </c>
      <c r="S655" s="1"/>
      <c r="W655" s="1" t="s">
        <v>38</v>
      </c>
      <c r="X655" s="2">
        <v>44064</v>
      </c>
      <c r="Y655" s="2">
        <v>44063</v>
      </c>
      <c r="Z655" s="2">
        <v>44063</v>
      </c>
      <c r="AA655" s="2">
        <v>44061</v>
      </c>
      <c r="AB655" s="2">
        <v>44061</v>
      </c>
      <c r="AC655" s="1"/>
      <c r="AD655">
        <v>2</v>
      </c>
      <c r="AE655">
        <v>163</v>
      </c>
      <c r="AG655">
        <f>IF(AND(Rfi[[#This Row],[State]] = "Closed",  ISBLANK(Rfi[[#This Row],[Responded On]])), 0, IF((Rfi[[#This Row],[Time to Answer]]) = "",Rfi[[#This Row],[Time Since Created]],Rfi[[#This Row],[Time to Answer]]))</f>
        <v>2</v>
      </c>
    </row>
    <row r="656" spans="1:33" x14ac:dyDescent="0.35">
      <c r="A656">
        <v>660</v>
      </c>
      <c r="B656" s="1"/>
      <c r="C656">
        <v>0</v>
      </c>
      <c r="D656" s="1"/>
      <c r="E656" s="1"/>
      <c r="F656" s="1" t="s">
        <v>30</v>
      </c>
      <c r="G656" s="1" t="s">
        <v>2390</v>
      </c>
      <c r="H656" s="1" t="s">
        <v>2391</v>
      </c>
      <c r="I656" s="1"/>
      <c r="J656" s="1" t="s">
        <v>2482</v>
      </c>
      <c r="K656" s="1"/>
      <c r="L656" s="1"/>
      <c r="M656" s="1" t="s">
        <v>34</v>
      </c>
      <c r="N656" s="1" t="s">
        <v>341</v>
      </c>
      <c r="O656" s="1" t="s">
        <v>62</v>
      </c>
      <c r="P656" s="1" t="s">
        <v>63</v>
      </c>
      <c r="Q656" s="1"/>
      <c r="R656" s="2">
        <v>44088</v>
      </c>
      <c r="S656" s="1"/>
      <c r="W656" s="1" t="s">
        <v>38</v>
      </c>
      <c r="X656" s="2">
        <v>44068</v>
      </c>
      <c r="Y656" s="2">
        <v>44089</v>
      </c>
      <c r="Z656" s="2">
        <v>44089</v>
      </c>
      <c r="AA656" s="2">
        <v>44062</v>
      </c>
      <c r="AB656" s="2">
        <v>44061</v>
      </c>
      <c r="AC656" s="1"/>
      <c r="AD656">
        <v>28</v>
      </c>
      <c r="AE656">
        <v>163</v>
      </c>
      <c r="AG656">
        <f>IF(AND(Rfi[[#This Row],[State]] = "Closed",  ISBLANK(Rfi[[#This Row],[Responded On]])), 0, IF((Rfi[[#This Row],[Time to Answer]]) = "",Rfi[[#This Row],[Time Since Created]],Rfi[[#This Row],[Time to Answer]]))</f>
        <v>28</v>
      </c>
    </row>
    <row r="657" spans="1:33" x14ac:dyDescent="0.35">
      <c r="A657">
        <v>661</v>
      </c>
      <c r="B657" s="1"/>
      <c r="C657">
        <v>0</v>
      </c>
      <c r="D657" s="1"/>
      <c r="E657" s="1"/>
      <c r="F657" s="1" t="s">
        <v>30</v>
      </c>
      <c r="G657" s="1" t="s">
        <v>2392</v>
      </c>
      <c r="H657" s="1" t="s">
        <v>2393</v>
      </c>
      <c r="I657" s="1"/>
      <c r="J657" s="1" t="s">
        <v>2415</v>
      </c>
      <c r="K657" s="1"/>
      <c r="L657" s="1"/>
      <c r="M657" s="1" t="s">
        <v>197</v>
      </c>
      <c r="N657" s="1" t="s">
        <v>43</v>
      </c>
      <c r="O657" s="1" t="s">
        <v>44</v>
      </c>
      <c r="P657" s="1" t="s">
        <v>37</v>
      </c>
      <c r="Q657" s="1"/>
      <c r="R657" s="2">
        <v>44062</v>
      </c>
      <c r="S657" s="1"/>
      <c r="U657">
        <v>500</v>
      </c>
      <c r="W657" s="1" t="s">
        <v>38</v>
      </c>
      <c r="X657" s="2">
        <v>44065</v>
      </c>
      <c r="Y657" s="2">
        <v>44063</v>
      </c>
      <c r="Z657" s="2">
        <v>44063</v>
      </c>
      <c r="AA657" s="2">
        <v>44063</v>
      </c>
      <c r="AB657" s="2">
        <v>44062</v>
      </c>
      <c r="AC657" s="1"/>
      <c r="AD657">
        <v>1</v>
      </c>
      <c r="AE657">
        <v>162</v>
      </c>
      <c r="AG657">
        <f>IF(AND(Rfi[[#This Row],[State]] = "Closed",  ISBLANK(Rfi[[#This Row],[Responded On]])), 0, IF((Rfi[[#This Row],[Time to Answer]]) = "",Rfi[[#This Row],[Time Since Created]],Rfi[[#This Row],[Time to Answer]]))</f>
        <v>1</v>
      </c>
    </row>
    <row r="658" spans="1:33" x14ac:dyDescent="0.35">
      <c r="A658">
        <v>662</v>
      </c>
      <c r="B658" s="1"/>
      <c r="C658">
        <v>0</v>
      </c>
      <c r="D658" s="1"/>
      <c r="E658" s="1"/>
      <c r="F658" s="1" t="s">
        <v>30</v>
      </c>
      <c r="G658" s="1" t="s">
        <v>2394</v>
      </c>
      <c r="H658" s="1" t="s">
        <v>2395</v>
      </c>
      <c r="I658" s="1"/>
      <c r="J658" s="1" t="s">
        <v>2416</v>
      </c>
      <c r="K658" s="1"/>
      <c r="L658" s="1"/>
      <c r="M658" s="1" t="s">
        <v>197</v>
      </c>
      <c r="N658" s="1" t="s">
        <v>43</v>
      </c>
      <c r="O658" s="1" t="s">
        <v>44</v>
      </c>
      <c r="P658" s="1" t="s">
        <v>37</v>
      </c>
      <c r="Q658" s="1"/>
      <c r="R658" s="2">
        <v>44062</v>
      </c>
      <c r="S658" s="1"/>
      <c r="U658">
        <v>2500</v>
      </c>
      <c r="W658" s="1" t="s">
        <v>38</v>
      </c>
      <c r="X658" s="2">
        <v>44065</v>
      </c>
      <c r="Y658" s="2">
        <v>44063</v>
      </c>
      <c r="Z658" s="2">
        <v>44063</v>
      </c>
      <c r="AA658" s="2">
        <v>44062</v>
      </c>
      <c r="AB658" s="2">
        <v>44062</v>
      </c>
      <c r="AC658" s="1"/>
      <c r="AD658">
        <v>1</v>
      </c>
      <c r="AE658">
        <v>162</v>
      </c>
      <c r="AG658">
        <f>IF(AND(Rfi[[#This Row],[State]] = "Closed",  ISBLANK(Rfi[[#This Row],[Responded On]])), 0, IF((Rfi[[#This Row],[Time to Answer]]) = "",Rfi[[#This Row],[Time Since Created]],Rfi[[#This Row],[Time to Answer]]))</f>
        <v>1</v>
      </c>
    </row>
    <row r="659" spans="1:33" x14ac:dyDescent="0.35">
      <c r="A659">
        <v>663</v>
      </c>
      <c r="B659" s="1"/>
      <c r="C659">
        <v>0</v>
      </c>
      <c r="D659" s="1"/>
      <c r="E659" s="1" t="s">
        <v>2417</v>
      </c>
      <c r="F659" s="1" t="s">
        <v>30</v>
      </c>
      <c r="G659" s="1" t="s">
        <v>2418</v>
      </c>
      <c r="H659" s="1" t="s">
        <v>2419</v>
      </c>
      <c r="I659" s="1" t="s">
        <v>2420</v>
      </c>
      <c r="J659" s="1" t="s">
        <v>2421</v>
      </c>
      <c r="K659" s="1"/>
      <c r="L659" s="1"/>
      <c r="M659" s="1" t="s">
        <v>197</v>
      </c>
      <c r="N659" s="1" t="s">
        <v>43</v>
      </c>
      <c r="O659" s="1" t="s">
        <v>44</v>
      </c>
      <c r="P659" s="1" t="s">
        <v>37</v>
      </c>
      <c r="Q659" s="1"/>
      <c r="R659" s="2">
        <v>44063</v>
      </c>
      <c r="S659" s="1"/>
      <c r="W659" s="1" t="s">
        <v>38</v>
      </c>
      <c r="X659" s="2">
        <v>44066</v>
      </c>
      <c r="Y659" s="2">
        <v>44068</v>
      </c>
      <c r="Z659" s="2">
        <v>44067</v>
      </c>
      <c r="AA659" s="2"/>
      <c r="AB659" s="2">
        <v>44063</v>
      </c>
      <c r="AC659" s="1"/>
      <c r="AD659">
        <v>4</v>
      </c>
      <c r="AE659">
        <v>161</v>
      </c>
      <c r="AG659">
        <f>IF(AND(Rfi[[#This Row],[State]] = "Closed",  ISBLANK(Rfi[[#This Row],[Responded On]])), 0, IF((Rfi[[#This Row],[Time to Answer]]) = "",Rfi[[#This Row],[Time Since Created]],Rfi[[#This Row],[Time to Answer]]))</f>
        <v>4</v>
      </c>
    </row>
    <row r="660" spans="1:33" x14ac:dyDescent="0.35">
      <c r="A660">
        <v>664</v>
      </c>
      <c r="B660" s="1"/>
      <c r="C660">
        <v>0</v>
      </c>
      <c r="D660" s="1"/>
      <c r="E660" s="1"/>
      <c r="F660" s="1" t="s">
        <v>30</v>
      </c>
      <c r="G660" s="1" t="s">
        <v>2422</v>
      </c>
      <c r="H660" s="1" t="s">
        <v>2423</v>
      </c>
      <c r="I660" s="1"/>
      <c r="J660" s="1" t="s">
        <v>2424</v>
      </c>
      <c r="K660" s="1"/>
      <c r="L660" s="1"/>
      <c r="M660" s="1" t="s">
        <v>34</v>
      </c>
      <c r="N660" s="1" t="s">
        <v>437</v>
      </c>
      <c r="O660" s="1" t="s">
        <v>44</v>
      </c>
      <c r="P660" s="1" t="s">
        <v>278</v>
      </c>
      <c r="Q660" s="1"/>
      <c r="R660" s="2">
        <v>44063</v>
      </c>
      <c r="S660" s="1"/>
      <c r="W660" s="1" t="s">
        <v>38</v>
      </c>
      <c r="X660" s="2">
        <v>44070</v>
      </c>
      <c r="Y660" s="2">
        <v>44096</v>
      </c>
      <c r="Z660" s="2">
        <v>44063</v>
      </c>
      <c r="AA660" s="2">
        <v>44063</v>
      </c>
      <c r="AB660" s="2">
        <v>44063</v>
      </c>
      <c r="AC660" s="1"/>
      <c r="AD660">
        <v>0</v>
      </c>
      <c r="AE660">
        <v>161</v>
      </c>
      <c r="AG660">
        <f>IF(AND(Rfi[[#This Row],[State]] = "Closed",  ISBLANK(Rfi[[#This Row],[Responded On]])), 0, IF((Rfi[[#This Row],[Time to Answer]]) = "",Rfi[[#This Row],[Time Since Created]],Rfi[[#This Row],[Time to Answer]]))</f>
        <v>0</v>
      </c>
    </row>
    <row r="661" spans="1:33" x14ac:dyDescent="0.35">
      <c r="A661">
        <v>665</v>
      </c>
      <c r="B661" s="1"/>
      <c r="C661">
        <v>0</v>
      </c>
      <c r="D661" s="1"/>
      <c r="E661" s="1"/>
      <c r="F661" s="1" t="s">
        <v>30</v>
      </c>
      <c r="G661" s="1" t="s">
        <v>2425</v>
      </c>
      <c r="H661" s="1" t="s">
        <v>2426</v>
      </c>
      <c r="I661" s="1"/>
      <c r="J661" s="1" t="s">
        <v>2427</v>
      </c>
      <c r="K661" s="1"/>
      <c r="L661" s="1"/>
      <c r="M661" s="1" t="s">
        <v>34</v>
      </c>
      <c r="N661" s="1" t="s">
        <v>341</v>
      </c>
      <c r="O661" s="1" t="s">
        <v>62</v>
      </c>
      <c r="P661" s="1" t="s">
        <v>63</v>
      </c>
      <c r="Q661" s="1"/>
      <c r="R661" s="2">
        <v>44067</v>
      </c>
      <c r="S661" s="1"/>
      <c r="W661" s="1" t="s">
        <v>38</v>
      </c>
      <c r="X661" s="2">
        <v>44074</v>
      </c>
      <c r="Y661" s="2">
        <v>44068</v>
      </c>
      <c r="Z661" s="2">
        <v>44068</v>
      </c>
      <c r="AA661" s="2">
        <v>44068</v>
      </c>
      <c r="AB661" s="2">
        <v>44067</v>
      </c>
      <c r="AC661" s="1"/>
      <c r="AD661">
        <v>1</v>
      </c>
      <c r="AE661">
        <v>157</v>
      </c>
      <c r="AG661">
        <f>IF(AND(Rfi[[#This Row],[State]] = "Closed",  ISBLANK(Rfi[[#This Row],[Responded On]])), 0, IF((Rfi[[#This Row],[Time to Answer]]) = "",Rfi[[#This Row],[Time Since Created]],Rfi[[#This Row],[Time to Answer]]))</f>
        <v>1</v>
      </c>
    </row>
    <row r="662" spans="1:33" x14ac:dyDescent="0.35">
      <c r="A662">
        <v>666</v>
      </c>
      <c r="B662" s="1"/>
      <c r="C662">
        <v>0</v>
      </c>
      <c r="D662" s="1" t="s">
        <v>206</v>
      </c>
      <c r="E662" s="1" t="s">
        <v>1591</v>
      </c>
      <c r="F662" s="1" t="s">
        <v>30</v>
      </c>
      <c r="G662" s="1" t="s">
        <v>2428</v>
      </c>
      <c r="H662" s="1" t="s">
        <v>2429</v>
      </c>
      <c r="I662" s="1" t="s">
        <v>2430</v>
      </c>
      <c r="J662" s="1" t="s">
        <v>2483</v>
      </c>
      <c r="K662" s="1"/>
      <c r="L662" s="1"/>
      <c r="M662" s="1" t="s">
        <v>34</v>
      </c>
      <c r="N662" s="1" t="s">
        <v>97</v>
      </c>
      <c r="O662" s="1" t="s">
        <v>98</v>
      </c>
      <c r="P662" s="1" t="s">
        <v>99</v>
      </c>
      <c r="Q662" s="1"/>
      <c r="R662" s="2">
        <v>44067</v>
      </c>
      <c r="S662" s="1"/>
      <c r="W662" s="1" t="s">
        <v>38</v>
      </c>
      <c r="X662" s="2">
        <v>44074</v>
      </c>
      <c r="Y662" s="2">
        <v>44105</v>
      </c>
      <c r="Z662" s="2">
        <v>44096</v>
      </c>
      <c r="AA662" s="2">
        <v>44074</v>
      </c>
      <c r="AB662" s="2">
        <v>44067</v>
      </c>
      <c r="AC662" s="1"/>
      <c r="AD662">
        <v>29</v>
      </c>
      <c r="AE662">
        <v>157</v>
      </c>
      <c r="AG662">
        <f>IF(AND(Rfi[[#This Row],[State]] = "Closed",  ISBLANK(Rfi[[#This Row],[Responded On]])), 0, IF((Rfi[[#This Row],[Time to Answer]]) = "",Rfi[[#This Row],[Time Since Created]],Rfi[[#This Row],[Time to Answer]]))</f>
        <v>29</v>
      </c>
    </row>
    <row r="663" spans="1:33" x14ac:dyDescent="0.35">
      <c r="A663">
        <v>667</v>
      </c>
      <c r="B663" s="1"/>
      <c r="C663">
        <v>0</v>
      </c>
      <c r="D663" s="1"/>
      <c r="E663" s="1"/>
      <c r="F663" s="1" t="s">
        <v>30</v>
      </c>
      <c r="G663" s="1" t="s">
        <v>2431</v>
      </c>
      <c r="H663" s="1" t="s">
        <v>2432</v>
      </c>
      <c r="I663" s="1"/>
      <c r="J663" s="1" t="s">
        <v>2484</v>
      </c>
      <c r="K663" s="1"/>
      <c r="L663" s="1"/>
      <c r="M663" s="1" t="s">
        <v>34</v>
      </c>
      <c r="N663" s="1" t="s">
        <v>378</v>
      </c>
      <c r="O663" s="1" t="s">
        <v>147</v>
      </c>
      <c r="P663" s="1" t="s">
        <v>379</v>
      </c>
      <c r="Q663" s="1"/>
      <c r="R663" s="2">
        <v>44067</v>
      </c>
      <c r="S663" s="1"/>
      <c r="W663" s="1" t="s">
        <v>38</v>
      </c>
      <c r="X663" s="2">
        <v>44074</v>
      </c>
      <c r="Y663" s="2">
        <v>44089</v>
      </c>
      <c r="Z663" s="2">
        <v>44088</v>
      </c>
      <c r="AA663" s="2">
        <v>44068</v>
      </c>
      <c r="AB663" s="2">
        <v>44067</v>
      </c>
      <c r="AC663" s="1"/>
      <c r="AD663">
        <v>21</v>
      </c>
      <c r="AE663">
        <v>157</v>
      </c>
      <c r="AG663">
        <f>IF(AND(Rfi[[#This Row],[State]] = "Closed",  ISBLANK(Rfi[[#This Row],[Responded On]])), 0, IF((Rfi[[#This Row],[Time to Answer]]) = "",Rfi[[#This Row],[Time Since Created]],Rfi[[#This Row],[Time to Answer]]))</f>
        <v>21</v>
      </c>
    </row>
    <row r="664" spans="1:33" x14ac:dyDescent="0.35">
      <c r="A664">
        <v>668</v>
      </c>
      <c r="B664" s="1"/>
      <c r="C664">
        <v>0</v>
      </c>
      <c r="D664" s="1"/>
      <c r="E664" s="1"/>
      <c r="F664" s="1" t="s">
        <v>30</v>
      </c>
      <c r="G664" s="1" t="s">
        <v>2433</v>
      </c>
      <c r="H664" s="1" t="s">
        <v>2434</v>
      </c>
      <c r="I664" s="1" t="s">
        <v>2435</v>
      </c>
      <c r="J664" s="1" t="s">
        <v>2436</v>
      </c>
      <c r="K664" s="1"/>
      <c r="L664" s="1"/>
      <c r="M664" s="1" t="s">
        <v>197</v>
      </c>
      <c r="N664" s="1" t="s">
        <v>43</v>
      </c>
      <c r="O664" s="1" t="s">
        <v>44</v>
      </c>
      <c r="P664" s="1" t="s">
        <v>63</v>
      </c>
      <c r="Q664" s="1"/>
      <c r="R664" s="2">
        <v>44068</v>
      </c>
      <c r="S664" s="1"/>
      <c r="W664" s="1" t="s">
        <v>38</v>
      </c>
      <c r="X664" s="2">
        <v>44071</v>
      </c>
      <c r="Y664" s="2">
        <v>44068</v>
      </c>
      <c r="Z664" s="2">
        <v>44068</v>
      </c>
      <c r="AA664" s="2">
        <v>44068</v>
      </c>
      <c r="AB664" s="2">
        <v>44068</v>
      </c>
      <c r="AC664" s="1"/>
      <c r="AD664">
        <v>0</v>
      </c>
      <c r="AE664">
        <v>156</v>
      </c>
      <c r="AG664">
        <f>IF(AND(Rfi[[#This Row],[State]] = "Closed",  ISBLANK(Rfi[[#This Row],[Responded On]])), 0, IF((Rfi[[#This Row],[Time to Answer]]) = "",Rfi[[#This Row],[Time Since Created]],Rfi[[#This Row],[Time to Answer]]))</f>
        <v>0</v>
      </c>
    </row>
    <row r="665" spans="1:33" x14ac:dyDescent="0.35">
      <c r="A665">
        <v>669</v>
      </c>
      <c r="B665" s="1"/>
      <c r="C665">
        <v>0</v>
      </c>
      <c r="D665" s="1"/>
      <c r="E665" s="1"/>
      <c r="F665" s="1" t="s">
        <v>30</v>
      </c>
      <c r="G665" s="1" t="s">
        <v>2437</v>
      </c>
      <c r="H665" s="1" t="s">
        <v>2438</v>
      </c>
      <c r="I665" s="1"/>
      <c r="J665" s="1" t="s">
        <v>2439</v>
      </c>
      <c r="K665" s="1"/>
      <c r="L665" s="1"/>
      <c r="M665" s="1" t="s">
        <v>34</v>
      </c>
      <c r="N665" s="1" t="s">
        <v>43</v>
      </c>
      <c r="O665" s="1" t="s">
        <v>44</v>
      </c>
      <c r="P665" s="1" t="s">
        <v>63</v>
      </c>
      <c r="Q665" s="1"/>
      <c r="R665" s="2">
        <v>44068</v>
      </c>
      <c r="S665" s="1"/>
      <c r="W665" s="1" t="s">
        <v>38</v>
      </c>
      <c r="X665" s="2">
        <v>44075</v>
      </c>
      <c r="Y665" s="2">
        <v>44068</v>
      </c>
      <c r="Z665" s="2">
        <v>44068</v>
      </c>
      <c r="AA665" s="2">
        <v>44068</v>
      </c>
      <c r="AB665" s="2">
        <v>44068</v>
      </c>
      <c r="AC665" s="1"/>
      <c r="AD665">
        <v>0</v>
      </c>
      <c r="AE665">
        <v>156</v>
      </c>
      <c r="AG665">
        <f>IF(AND(Rfi[[#This Row],[State]] = "Closed",  ISBLANK(Rfi[[#This Row],[Responded On]])), 0, IF((Rfi[[#This Row],[Time to Answer]]) = "",Rfi[[#This Row],[Time Since Created]],Rfi[[#This Row],[Time to Answer]]))</f>
        <v>0</v>
      </c>
    </row>
    <row r="666" spans="1:33" x14ac:dyDescent="0.35">
      <c r="A666">
        <v>670</v>
      </c>
      <c r="B666" s="1"/>
      <c r="C666">
        <v>0</v>
      </c>
      <c r="D666" s="1"/>
      <c r="E666" s="1" t="s">
        <v>2440</v>
      </c>
      <c r="F666" s="1" t="s">
        <v>30</v>
      </c>
      <c r="G666" s="1" t="s">
        <v>2441</v>
      </c>
      <c r="H666" s="1" t="s">
        <v>2442</v>
      </c>
      <c r="I666" s="1"/>
      <c r="J666" s="1"/>
      <c r="K666" s="1"/>
      <c r="L666" s="1"/>
      <c r="M666" s="1" t="s">
        <v>197</v>
      </c>
      <c r="N666" s="1" t="s">
        <v>43</v>
      </c>
      <c r="O666" s="1" t="s">
        <v>44</v>
      </c>
      <c r="P666" s="1" t="s">
        <v>43</v>
      </c>
      <c r="Q666" s="1" t="s">
        <v>44</v>
      </c>
      <c r="R666" s="2">
        <v>44068</v>
      </c>
      <c r="S666" s="1"/>
      <c r="V666">
        <v>8000</v>
      </c>
      <c r="W666" s="1" t="s">
        <v>38</v>
      </c>
      <c r="X666" s="2">
        <v>44071</v>
      </c>
      <c r="Y666" s="2">
        <v>44091</v>
      </c>
      <c r="Z666" s="2"/>
      <c r="AA666" s="2">
        <v>44090</v>
      </c>
      <c r="AB666" s="2">
        <v>44068</v>
      </c>
      <c r="AC666" s="1"/>
      <c r="AE666">
        <v>156</v>
      </c>
      <c r="AG666">
        <f>IF(AND(Rfi[[#This Row],[State]] = "Closed",  ISBLANK(Rfi[[#This Row],[Responded On]])), 0, IF((Rfi[[#This Row],[Time to Answer]]) = "",Rfi[[#This Row],[Time Since Created]],Rfi[[#This Row],[Time to Answer]]))</f>
        <v>0</v>
      </c>
    </row>
    <row r="667" spans="1:33" x14ac:dyDescent="0.35">
      <c r="A667">
        <v>671</v>
      </c>
      <c r="B667" s="1"/>
      <c r="C667">
        <v>0</v>
      </c>
      <c r="D667" s="1"/>
      <c r="E667" s="1"/>
      <c r="F667" s="1" t="s">
        <v>30</v>
      </c>
      <c r="G667" s="1" t="s">
        <v>2443</v>
      </c>
      <c r="H667" s="1" t="s">
        <v>2444</v>
      </c>
      <c r="I667" s="1"/>
      <c r="J667" s="1" t="s">
        <v>2485</v>
      </c>
      <c r="K667" s="1"/>
      <c r="L667" s="1"/>
      <c r="M667" s="1" t="s">
        <v>197</v>
      </c>
      <c r="N667" s="1" t="s">
        <v>266</v>
      </c>
      <c r="O667" s="1" t="s">
        <v>267</v>
      </c>
      <c r="P667" s="1" t="s">
        <v>37</v>
      </c>
      <c r="Q667" s="1"/>
      <c r="R667" s="2">
        <v>44069</v>
      </c>
      <c r="S667" s="1"/>
      <c r="W667" s="1" t="s">
        <v>38</v>
      </c>
      <c r="X667" s="2">
        <v>44077</v>
      </c>
      <c r="Y667" s="2">
        <v>44076</v>
      </c>
      <c r="Z667" s="2">
        <v>44075</v>
      </c>
      <c r="AA667" s="2">
        <v>44069</v>
      </c>
      <c r="AB667" s="2">
        <v>44069</v>
      </c>
      <c r="AC667" s="1"/>
      <c r="AD667">
        <v>6</v>
      </c>
      <c r="AE667">
        <v>155</v>
      </c>
      <c r="AG667">
        <f>IF(AND(Rfi[[#This Row],[State]] = "Closed",  ISBLANK(Rfi[[#This Row],[Responded On]])), 0, IF((Rfi[[#This Row],[Time to Answer]]) = "",Rfi[[#This Row],[Time Since Created]],Rfi[[#This Row],[Time to Answer]]))</f>
        <v>6</v>
      </c>
    </row>
    <row r="668" spans="1:33" x14ac:dyDescent="0.35">
      <c r="A668">
        <v>672</v>
      </c>
      <c r="B668" s="1"/>
      <c r="C668">
        <v>0</v>
      </c>
      <c r="D668" s="1"/>
      <c r="E668" s="1"/>
      <c r="F668" s="1" t="s">
        <v>30</v>
      </c>
      <c r="G668" s="1" t="s">
        <v>2445</v>
      </c>
      <c r="H668" s="1" t="s">
        <v>2446</v>
      </c>
      <c r="I668" s="1"/>
      <c r="J668" s="1" t="s">
        <v>2486</v>
      </c>
      <c r="K668" s="1"/>
      <c r="L668" s="1"/>
      <c r="M668" s="1" t="s">
        <v>34</v>
      </c>
      <c r="N668" s="1" t="s">
        <v>378</v>
      </c>
      <c r="O668" s="1" t="s">
        <v>147</v>
      </c>
      <c r="P668" s="1" t="s">
        <v>379</v>
      </c>
      <c r="Q668" s="1"/>
      <c r="R668" s="2">
        <v>44069</v>
      </c>
      <c r="S668" s="1"/>
      <c r="W668" s="1" t="s">
        <v>38</v>
      </c>
      <c r="X668" s="2">
        <v>44076</v>
      </c>
      <c r="Y668" s="2">
        <v>44096</v>
      </c>
      <c r="Z668" s="2">
        <v>44091</v>
      </c>
      <c r="AA668" s="2">
        <v>44069</v>
      </c>
      <c r="AB668" s="2">
        <v>44069</v>
      </c>
      <c r="AC668" s="1"/>
      <c r="AD668">
        <v>22</v>
      </c>
      <c r="AE668">
        <v>155</v>
      </c>
      <c r="AG668">
        <f>IF(AND(Rfi[[#This Row],[State]] = "Closed",  ISBLANK(Rfi[[#This Row],[Responded On]])), 0, IF((Rfi[[#This Row],[Time to Answer]]) = "",Rfi[[#This Row],[Time Since Created]],Rfi[[#This Row],[Time to Answer]]))</f>
        <v>22</v>
      </c>
    </row>
    <row r="669" spans="1:33" x14ac:dyDescent="0.35">
      <c r="A669">
        <v>673</v>
      </c>
      <c r="B669" s="1"/>
      <c r="C669">
        <v>0</v>
      </c>
      <c r="D669" s="1"/>
      <c r="E669" s="1"/>
      <c r="F669" s="1" t="s">
        <v>30</v>
      </c>
      <c r="G669" s="1" t="s">
        <v>2447</v>
      </c>
      <c r="H669" s="1" t="s">
        <v>2448</v>
      </c>
      <c r="I669" s="1"/>
      <c r="J669" s="1" t="s">
        <v>2487</v>
      </c>
      <c r="K669" s="1"/>
      <c r="L669" s="1"/>
      <c r="M669" s="1" t="s">
        <v>197</v>
      </c>
      <c r="N669" s="1" t="s">
        <v>192</v>
      </c>
      <c r="O669" s="1" t="s">
        <v>193</v>
      </c>
      <c r="P669" s="1" t="s">
        <v>63</v>
      </c>
      <c r="Q669" s="1"/>
      <c r="R669" s="2">
        <v>44070</v>
      </c>
      <c r="S669" s="1"/>
      <c r="W669" s="1" t="s">
        <v>38</v>
      </c>
      <c r="X669" s="2">
        <v>44073</v>
      </c>
      <c r="Y669" s="2">
        <v>44105</v>
      </c>
      <c r="Z669" s="2">
        <v>44104</v>
      </c>
      <c r="AA669" s="2">
        <v>44070</v>
      </c>
      <c r="AB669" s="2">
        <v>44070</v>
      </c>
      <c r="AC669" s="1"/>
      <c r="AD669">
        <v>34</v>
      </c>
      <c r="AE669">
        <v>154</v>
      </c>
      <c r="AG669">
        <f>IF(AND(Rfi[[#This Row],[State]] = "Closed",  ISBLANK(Rfi[[#This Row],[Responded On]])), 0, IF((Rfi[[#This Row],[Time to Answer]]) = "",Rfi[[#This Row],[Time Since Created]],Rfi[[#This Row],[Time to Answer]]))</f>
        <v>34</v>
      </c>
    </row>
    <row r="670" spans="1:33" x14ac:dyDescent="0.35">
      <c r="A670">
        <v>674</v>
      </c>
      <c r="B670" s="1"/>
      <c r="C670">
        <v>0</v>
      </c>
      <c r="D670" s="1"/>
      <c r="E670" s="1" t="s">
        <v>2488</v>
      </c>
      <c r="F670" s="1" t="s">
        <v>30</v>
      </c>
      <c r="G670" s="1" t="s">
        <v>2489</v>
      </c>
      <c r="H670" s="1" t="s">
        <v>2490</v>
      </c>
      <c r="I670" s="1"/>
      <c r="J670" s="1" t="s">
        <v>2491</v>
      </c>
      <c r="K670" s="1"/>
      <c r="L670" s="1"/>
      <c r="M670" s="1" t="s">
        <v>34</v>
      </c>
      <c r="N670" s="1" t="s">
        <v>43</v>
      </c>
      <c r="O670" s="1" t="s">
        <v>44</v>
      </c>
      <c r="P670" s="1" t="s">
        <v>63</v>
      </c>
      <c r="Q670" s="1"/>
      <c r="R670" s="2">
        <v>44071</v>
      </c>
      <c r="S670" s="1"/>
      <c r="W670" s="1" t="s">
        <v>38</v>
      </c>
      <c r="X670" s="2">
        <v>44077</v>
      </c>
      <c r="Y670" s="2">
        <v>44075</v>
      </c>
      <c r="Z670" s="2">
        <v>44072</v>
      </c>
      <c r="AA670" s="2">
        <v>44071</v>
      </c>
      <c r="AB670" s="2">
        <v>44071</v>
      </c>
      <c r="AC670" s="1"/>
      <c r="AD670">
        <v>1</v>
      </c>
      <c r="AE670">
        <v>153</v>
      </c>
    </row>
    <row r="671" spans="1:33" x14ac:dyDescent="0.35">
      <c r="A671">
        <v>675</v>
      </c>
      <c r="B671" s="1"/>
      <c r="C671">
        <v>0</v>
      </c>
      <c r="D671" s="1"/>
      <c r="E671" s="1"/>
      <c r="F671" s="1" t="s">
        <v>30</v>
      </c>
      <c r="G671" s="1" t="s">
        <v>2492</v>
      </c>
      <c r="H671" s="1" t="s">
        <v>2493</v>
      </c>
      <c r="I671" s="1"/>
      <c r="J671" s="1" t="s">
        <v>2494</v>
      </c>
      <c r="K671" s="1"/>
      <c r="L671" s="1"/>
      <c r="M671" s="1" t="s">
        <v>197</v>
      </c>
      <c r="N671" s="1" t="s">
        <v>2495</v>
      </c>
      <c r="O671" s="1" t="s">
        <v>98</v>
      </c>
      <c r="P671" s="1" t="s">
        <v>99</v>
      </c>
      <c r="Q671" s="1"/>
      <c r="R671" s="2">
        <v>44071</v>
      </c>
      <c r="S671" s="1"/>
      <c r="W671" s="1" t="s">
        <v>38</v>
      </c>
      <c r="X671" s="2">
        <v>44074</v>
      </c>
      <c r="Y671" s="2">
        <v>44105</v>
      </c>
      <c r="Z671" s="2">
        <v>44086</v>
      </c>
      <c r="AA671" s="2">
        <v>44071</v>
      </c>
      <c r="AB671" s="2">
        <v>44071</v>
      </c>
      <c r="AC671" s="1"/>
      <c r="AD671">
        <v>15</v>
      </c>
      <c r="AE671">
        <v>153</v>
      </c>
    </row>
    <row r="672" spans="1:33" x14ac:dyDescent="0.35">
      <c r="A672">
        <v>676</v>
      </c>
      <c r="B672" s="1"/>
      <c r="C672">
        <v>0</v>
      </c>
      <c r="D672" s="1"/>
      <c r="E672" s="1"/>
      <c r="F672" s="1" t="s">
        <v>30</v>
      </c>
      <c r="G672" s="1" t="s">
        <v>2496</v>
      </c>
      <c r="H672" s="1" t="s">
        <v>2497</v>
      </c>
      <c r="I672" s="1"/>
      <c r="J672" s="1" t="s">
        <v>2498</v>
      </c>
      <c r="K672" s="1"/>
      <c r="L672" s="1"/>
      <c r="M672" s="1" t="s">
        <v>34</v>
      </c>
      <c r="N672" s="1" t="s">
        <v>43</v>
      </c>
      <c r="O672" s="1" t="s">
        <v>44</v>
      </c>
      <c r="P672" s="1" t="s">
        <v>37</v>
      </c>
      <c r="Q672" s="1"/>
      <c r="R672" s="2">
        <v>44071</v>
      </c>
      <c r="S672" s="1"/>
      <c r="W672" s="1" t="s">
        <v>38</v>
      </c>
      <c r="X672" s="2">
        <v>44078</v>
      </c>
      <c r="Y672" s="2">
        <v>44089</v>
      </c>
      <c r="Z672" s="2">
        <v>44082</v>
      </c>
      <c r="AA672" s="2">
        <v>44071</v>
      </c>
      <c r="AB672" s="2">
        <v>44071</v>
      </c>
      <c r="AC672" s="1"/>
      <c r="AD672">
        <v>11</v>
      </c>
      <c r="AE672">
        <v>153</v>
      </c>
    </row>
    <row r="673" spans="1:31" x14ac:dyDescent="0.35">
      <c r="A673">
        <v>677</v>
      </c>
      <c r="B673" s="1"/>
      <c r="C673">
        <v>0</v>
      </c>
      <c r="D673" s="1"/>
      <c r="E673" s="1"/>
      <c r="F673" s="1" t="s">
        <v>30</v>
      </c>
      <c r="G673" s="1" t="s">
        <v>2499</v>
      </c>
      <c r="H673" s="1" t="s">
        <v>2500</v>
      </c>
      <c r="I673" s="1"/>
      <c r="J673" s="1" t="s">
        <v>2501</v>
      </c>
      <c r="K673" s="1"/>
      <c r="L673" s="1"/>
      <c r="M673" s="1" t="s">
        <v>34</v>
      </c>
      <c r="N673" s="1" t="s">
        <v>880</v>
      </c>
      <c r="O673" s="1" t="s">
        <v>44</v>
      </c>
      <c r="P673" s="1" t="s">
        <v>37</v>
      </c>
      <c r="Q673" s="1"/>
      <c r="R673" s="2">
        <v>44071</v>
      </c>
      <c r="S673" s="1"/>
      <c r="W673" s="1" t="s">
        <v>38</v>
      </c>
      <c r="X673" s="2">
        <v>44078</v>
      </c>
      <c r="Y673" s="2">
        <v>44089</v>
      </c>
      <c r="Z673" s="2">
        <v>44082</v>
      </c>
      <c r="AA673" s="2">
        <v>44075</v>
      </c>
      <c r="AB673" s="2">
        <v>44071</v>
      </c>
      <c r="AC673" s="1"/>
      <c r="AD673">
        <v>11</v>
      </c>
      <c r="AE673">
        <v>153</v>
      </c>
    </row>
    <row r="674" spans="1:31" x14ac:dyDescent="0.35">
      <c r="A674">
        <v>678</v>
      </c>
      <c r="B674" s="1"/>
      <c r="C674">
        <v>0</v>
      </c>
      <c r="D674" s="1"/>
      <c r="E674" s="1" t="s">
        <v>2502</v>
      </c>
      <c r="F674" s="1" t="s">
        <v>30</v>
      </c>
      <c r="G674" s="1" t="s">
        <v>2503</v>
      </c>
      <c r="H674" s="1" t="s">
        <v>2504</v>
      </c>
      <c r="I674" s="1"/>
      <c r="J674" s="1" t="s">
        <v>2505</v>
      </c>
      <c r="K674" s="1"/>
      <c r="L674" s="1"/>
      <c r="M674" s="1" t="s">
        <v>34</v>
      </c>
      <c r="N674" s="1" t="s">
        <v>129</v>
      </c>
      <c r="O674" s="1" t="s">
        <v>44</v>
      </c>
      <c r="P674" s="1" t="s">
        <v>63</v>
      </c>
      <c r="Q674" s="1"/>
      <c r="R674" s="2">
        <v>44071</v>
      </c>
      <c r="S674" s="1"/>
      <c r="W674" s="1" t="s">
        <v>38</v>
      </c>
      <c r="X674" s="2">
        <v>44078</v>
      </c>
      <c r="Y674" s="2">
        <v>44092</v>
      </c>
      <c r="Z674" s="2">
        <v>44091</v>
      </c>
      <c r="AA674" s="2">
        <v>44083</v>
      </c>
      <c r="AB674" s="2">
        <v>44071</v>
      </c>
      <c r="AC674" s="1"/>
      <c r="AD674">
        <v>20</v>
      </c>
      <c r="AE674">
        <v>153</v>
      </c>
    </row>
    <row r="675" spans="1:31" x14ac:dyDescent="0.35">
      <c r="A675">
        <v>679</v>
      </c>
      <c r="B675" s="1"/>
      <c r="C675">
        <v>0</v>
      </c>
      <c r="D675" s="1"/>
      <c r="E675" s="1"/>
      <c r="F675" s="1" t="s">
        <v>30</v>
      </c>
      <c r="G675" s="1" t="s">
        <v>2506</v>
      </c>
      <c r="H675" s="1" t="s">
        <v>2507</v>
      </c>
      <c r="I675" s="1"/>
      <c r="J675" s="1" t="s">
        <v>2508</v>
      </c>
      <c r="K675" s="1"/>
      <c r="L675" s="1"/>
      <c r="M675" s="1" t="s">
        <v>34</v>
      </c>
      <c r="N675" s="1" t="s">
        <v>2509</v>
      </c>
      <c r="O675" s="1" t="s">
        <v>2510</v>
      </c>
      <c r="P675" s="1" t="s">
        <v>37</v>
      </c>
      <c r="Q675" s="1"/>
      <c r="R675" s="2">
        <v>44071</v>
      </c>
      <c r="S675" s="1"/>
      <c r="W675" s="1" t="s">
        <v>38</v>
      </c>
      <c r="X675" s="2">
        <v>44078</v>
      </c>
      <c r="Y675" s="2">
        <v>44089</v>
      </c>
      <c r="Z675" s="2">
        <v>44083</v>
      </c>
      <c r="AA675" s="2"/>
      <c r="AB675" s="2">
        <v>44071</v>
      </c>
      <c r="AC675" s="1"/>
      <c r="AD675">
        <v>12</v>
      </c>
      <c r="AE675">
        <v>153</v>
      </c>
    </row>
    <row r="676" spans="1:31" x14ac:dyDescent="0.35">
      <c r="A676">
        <v>680</v>
      </c>
      <c r="B676" s="1"/>
      <c r="C676">
        <v>0</v>
      </c>
      <c r="D676" s="1" t="s">
        <v>206</v>
      </c>
      <c r="E676" s="1" t="s">
        <v>404</v>
      </c>
      <c r="F676" s="1" t="s">
        <v>30</v>
      </c>
      <c r="G676" s="1" t="s">
        <v>2511</v>
      </c>
      <c r="H676" s="1" t="s">
        <v>2512</v>
      </c>
      <c r="I676" s="1" t="s">
        <v>2513</v>
      </c>
      <c r="J676" s="1" t="s">
        <v>2514</v>
      </c>
      <c r="K676" s="1"/>
      <c r="L676" s="1"/>
      <c r="M676" s="1" t="s">
        <v>34</v>
      </c>
      <c r="N676" s="1" t="s">
        <v>97</v>
      </c>
      <c r="O676" s="1" t="s">
        <v>98</v>
      </c>
      <c r="P676" s="1" t="s">
        <v>37</v>
      </c>
      <c r="Q676" s="1"/>
      <c r="R676" s="2">
        <v>44074</v>
      </c>
      <c r="S676" s="1"/>
      <c r="W676" s="1" t="s">
        <v>38</v>
      </c>
      <c r="X676" s="2">
        <v>44081</v>
      </c>
      <c r="Y676" s="2">
        <v>44089</v>
      </c>
      <c r="Z676" s="2">
        <v>44083</v>
      </c>
      <c r="AA676" s="2">
        <v>44075</v>
      </c>
      <c r="AB676" s="2">
        <v>44074</v>
      </c>
      <c r="AC676" s="1"/>
      <c r="AD676">
        <v>9</v>
      </c>
      <c r="AE676">
        <v>150</v>
      </c>
    </row>
    <row r="677" spans="1:31" x14ac:dyDescent="0.35">
      <c r="A677">
        <v>681</v>
      </c>
      <c r="B677" s="1"/>
      <c r="C677">
        <v>0</v>
      </c>
      <c r="D677" s="1"/>
      <c r="E677" s="1"/>
      <c r="F677" s="1" t="s">
        <v>30</v>
      </c>
      <c r="G677" s="1" t="s">
        <v>2515</v>
      </c>
      <c r="H677" s="1" t="s">
        <v>2516</v>
      </c>
      <c r="I677" s="1"/>
      <c r="J677" s="1" t="s">
        <v>2517</v>
      </c>
      <c r="K677" s="1"/>
      <c r="L677" s="1"/>
      <c r="M677" s="1" t="s">
        <v>34</v>
      </c>
      <c r="N677" s="1" t="s">
        <v>2518</v>
      </c>
      <c r="O677" s="1" t="s">
        <v>2519</v>
      </c>
      <c r="P677" s="1" t="s">
        <v>37</v>
      </c>
      <c r="Q677" s="1"/>
      <c r="R677" s="2">
        <v>44075</v>
      </c>
      <c r="S677" s="1"/>
      <c r="W677" s="1" t="s">
        <v>38</v>
      </c>
      <c r="X677" s="2">
        <v>44082</v>
      </c>
      <c r="Y677" s="2">
        <v>44096</v>
      </c>
      <c r="Z677" s="2">
        <v>44090</v>
      </c>
      <c r="AA677" s="2">
        <v>44075</v>
      </c>
      <c r="AB677" s="2">
        <v>44075</v>
      </c>
      <c r="AC677" s="1"/>
      <c r="AD677">
        <v>15</v>
      </c>
      <c r="AE677">
        <v>149</v>
      </c>
    </row>
    <row r="678" spans="1:31" x14ac:dyDescent="0.35">
      <c r="A678">
        <v>682</v>
      </c>
      <c r="B678" s="1"/>
      <c r="C678">
        <v>0</v>
      </c>
      <c r="D678" s="1"/>
      <c r="E678" s="1" t="s">
        <v>2520</v>
      </c>
      <c r="F678" s="1" t="s">
        <v>30</v>
      </c>
      <c r="G678" s="1" t="s">
        <v>2521</v>
      </c>
      <c r="H678" s="1" t="s">
        <v>2522</v>
      </c>
      <c r="I678" s="1" t="s">
        <v>2523</v>
      </c>
      <c r="J678" s="1" t="s">
        <v>2524</v>
      </c>
      <c r="K678" s="1"/>
      <c r="L678" s="1"/>
      <c r="M678" s="1" t="s">
        <v>34</v>
      </c>
      <c r="N678" s="1" t="s">
        <v>245</v>
      </c>
      <c r="O678" s="1" t="s">
        <v>147</v>
      </c>
      <c r="P678" s="1" t="s">
        <v>379</v>
      </c>
      <c r="Q678" s="1"/>
      <c r="R678" s="2">
        <v>44075</v>
      </c>
      <c r="S678" s="1"/>
      <c r="W678" s="1" t="s">
        <v>38</v>
      </c>
      <c r="X678" s="2">
        <v>44082</v>
      </c>
      <c r="Y678" s="2">
        <v>44096</v>
      </c>
      <c r="Z678" s="2">
        <v>44091</v>
      </c>
      <c r="AA678" s="2">
        <v>44076</v>
      </c>
      <c r="AB678" s="2">
        <v>44075</v>
      </c>
      <c r="AC678" s="1"/>
      <c r="AD678">
        <v>16</v>
      </c>
      <c r="AE678">
        <v>149</v>
      </c>
    </row>
    <row r="679" spans="1:31" x14ac:dyDescent="0.35">
      <c r="A679">
        <v>683</v>
      </c>
      <c r="B679" s="1"/>
      <c r="C679">
        <v>0</v>
      </c>
      <c r="D679" s="1"/>
      <c r="E679" s="1"/>
      <c r="F679" s="1" t="s">
        <v>30</v>
      </c>
      <c r="G679" s="1" t="s">
        <v>2525</v>
      </c>
      <c r="H679" s="1" t="s">
        <v>2526</v>
      </c>
      <c r="I679" s="1" t="s">
        <v>2527</v>
      </c>
      <c r="J679" s="1" t="s">
        <v>2528</v>
      </c>
      <c r="K679" s="1"/>
      <c r="L679" s="1"/>
      <c r="M679" s="1" t="s">
        <v>34</v>
      </c>
      <c r="N679" s="1" t="s">
        <v>245</v>
      </c>
      <c r="O679" s="1" t="s">
        <v>147</v>
      </c>
      <c r="P679" s="1" t="s">
        <v>164</v>
      </c>
      <c r="Q679" s="1"/>
      <c r="R679" s="2">
        <v>44075</v>
      </c>
      <c r="S679" s="1"/>
      <c r="W679" s="1" t="s">
        <v>38</v>
      </c>
      <c r="X679" s="2">
        <v>44082</v>
      </c>
      <c r="Y679" s="2">
        <v>44076</v>
      </c>
      <c r="Z679" s="2">
        <v>44076</v>
      </c>
      <c r="AA679" s="2"/>
      <c r="AB679" s="2">
        <v>44075</v>
      </c>
      <c r="AC679" s="1"/>
      <c r="AD679">
        <v>1</v>
      </c>
      <c r="AE679">
        <v>149</v>
      </c>
    </row>
    <row r="680" spans="1:31" x14ac:dyDescent="0.35">
      <c r="A680">
        <v>684</v>
      </c>
      <c r="B680" s="1"/>
      <c r="C680">
        <v>0</v>
      </c>
      <c r="D680" s="1"/>
      <c r="E680" s="1"/>
      <c r="F680" s="1" t="s">
        <v>30</v>
      </c>
      <c r="G680" s="1" t="s">
        <v>2529</v>
      </c>
      <c r="H680" s="1" t="s">
        <v>2530</v>
      </c>
      <c r="I680" s="1"/>
      <c r="J680" s="1" t="s">
        <v>2531</v>
      </c>
      <c r="K680" s="1"/>
      <c r="L680" s="1"/>
      <c r="M680" s="1" t="s">
        <v>34</v>
      </c>
      <c r="N680" s="1" t="s">
        <v>245</v>
      </c>
      <c r="O680" s="1" t="s">
        <v>147</v>
      </c>
      <c r="P680" s="1" t="s">
        <v>379</v>
      </c>
      <c r="Q680" s="1"/>
      <c r="R680" s="2">
        <v>44076</v>
      </c>
      <c r="S680" s="1"/>
      <c r="W680" s="1" t="s">
        <v>38</v>
      </c>
      <c r="X680" s="2">
        <v>44083</v>
      </c>
      <c r="Y680" s="2">
        <v>44096</v>
      </c>
      <c r="Z680" s="2">
        <v>44092</v>
      </c>
      <c r="AA680" s="2">
        <v>44078</v>
      </c>
      <c r="AB680" s="2">
        <v>44076</v>
      </c>
      <c r="AC680" s="1"/>
      <c r="AD680">
        <v>16</v>
      </c>
      <c r="AE680">
        <v>148</v>
      </c>
    </row>
    <row r="681" spans="1:31" x14ac:dyDescent="0.35">
      <c r="A681">
        <v>685</v>
      </c>
      <c r="B681" s="1"/>
      <c r="C681">
        <v>0</v>
      </c>
      <c r="D681" s="1"/>
      <c r="E681" s="1"/>
      <c r="F681" s="1" t="s">
        <v>30</v>
      </c>
      <c r="G681" s="1" t="s">
        <v>2532</v>
      </c>
      <c r="H681" s="1" t="s">
        <v>2533</v>
      </c>
      <c r="I681" s="1" t="s">
        <v>2534</v>
      </c>
      <c r="J681" s="1" t="s">
        <v>2535</v>
      </c>
      <c r="K681" s="1"/>
      <c r="L681" s="1"/>
      <c r="M681" s="1" t="s">
        <v>197</v>
      </c>
      <c r="N681" s="1" t="s">
        <v>43</v>
      </c>
      <c r="O681" s="1" t="s">
        <v>44</v>
      </c>
      <c r="P681" s="1" t="s">
        <v>63</v>
      </c>
      <c r="Q681" s="1"/>
      <c r="R681" s="2">
        <v>44078</v>
      </c>
      <c r="S681" s="1"/>
      <c r="W681" s="1" t="s">
        <v>38</v>
      </c>
      <c r="X681" s="2">
        <v>44079</v>
      </c>
      <c r="Y681" s="2">
        <v>44082</v>
      </c>
      <c r="Z681" s="2">
        <v>44082</v>
      </c>
      <c r="AA681" s="2">
        <v>44078</v>
      </c>
      <c r="AB681" s="2">
        <v>44076</v>
      </c>
      <c r="AC681" s="1"/>
      <c r="AD681">
        <v>6</v>
      </c>
      <c r="AE681">
        <v>148</v>
      </c>
    </row>
    <row r="682" spans="1:31" x14ac:dyDescent="0.35">
      <c r="A682">
        <v>686</v>
      </c>
      <c r="B682" s="1"/>
      <c r="C682">
        <v>0</v>
      </c>
      <c r="D682" s="1"/>
      <c r="E682" s="1"/>
      <c r="F682" s="1" t="s">
        <v>30</v>
      </c>
      <c r="G682" s="1" t="s">
        <v>2536</v>
      </c>
      <c r="H682" s="1" t="s">
        <v>2537</v>
      </c>
      <c r="I682" s="1" t="s">
        <v>2538</v>
      </c>
      <c r="J682" s="1" t="s">
        <v>2539</v>
      </c>
      <c r="K682" s="1"/>
      <c r="L682" s="1"/>
      <c r="M682" s="1" t="s">
        <v>34</v>
      </c>
      <c r="N682" s="1" t="s">
        <v>43</v>
      </c>
      <c r="O682" s="1" t="s">
        <v>44</v>
      </c>
      <c r="P682" s="1" t="s">
        <v>37</v>
      </c>
      <c r="Q682" s="1"/>
      <c r="R682" s="2">
        <v>44076</v>
      </c>
      <c r="S682" s="1"/>
      <c r="W682" s="1" t="s">
        <v>38</v>
      </c>
      <c r="X682" s="2">
        <v>44083</v>
      </c>
      <c r="Y682" s="2">
        <v>44085</v>
      </c>
      <c r="Z682" s="2">
        <v>44082</v>
      </c>
      <c r="AA682" s="2">
        <v>44077</v>
      </c>
      <c r="AB682" s="2">
        <v>44076</v>
      </c>
      <c r="AC682" s="1"/>
      <c r="AD682">
        <v>6</v>
      </c>
      <c r="AE682">
        <v>148</v>
      </c>
    </row>
    <row r="683" spans="1:31" x14ac:dyDescent="0.35">
      <c r="A683">
        <v>687</v>
      </c>
      <c r="B683" s="1"/>
      <c r="C683">
        <v>0</v>
      </c>
      <c r="D683" s="1"/>
      <c r="E683" s="1"/>
      <c r="F683" s="1" t="s">
        <v>30</v>
      </c>
      <c r="G683" s="1" t="s">
        <v>2540</v>
      </c>
      <c r="H683" s="1" t="s">
        <v>2541</v>
      </c>
      <c r="I683" s="1"/>
      <c r="J683" s="1" t="s">
        <v>2542</v>
      </c>
      <c r="K683" s="1"/>
      <c r="L683" s="1"/>
      <c r="M683" s="1" t="s">
        <v>197</v>
      </c>
      <c r="N683" s="1" t="s">
        <v>245</v>
      </c>
      <c r="O683" s="1" t="s">
        <v>147</v>
      </c>
      <c r="P683" s="1" t="s">
        <v>379</v>
      </c>
      <c r="Q683" s="1"/>
      <c r="R683" s="2">
        <v>44077</v>
      </c>
      <c r="S683" s="1"/>
      <c r="W683" s="1" t="s">
        <v>38</v>
      </c>
      <c r="X683" s="2">
        <v>44094</v>
      </c>
      <c r="Y683" s="2">
        <v>44091</v>
      </c>
      <c r="Z683" s="2">
        <v>44091</v>
      </c>
      <c r="AA683" s="2">
        <v>44077</v>
      </c>
      <c r="AB683" s="2">
        <v>44077</v>
      </c>
      <c r="AC683" s="1"/>
      <c r="AD683">
        <v>14</v>
      </c>
      <c r="AE683">
        <v>147</v>
      </c>
    </row>
    <row r="684" spans="1:31" x14ac:dyDescent="0.35">
      <c r="A684">
        <v>688</v>
      </c>
      <c r="B684" s="1"/>
      <c r="C684">
        <v>0</v>
      </c>
      <c r="D684" s="1"/>
      <c r="E684" s="1"/>
      <c r="F684" s="1" t="s">
        <v>30</v>
      </c>
      <c r="G684" s="1" t="s">
        <v>2543</v>
      </c>
      <c r="H684" s="1" t="s">
        <v>2544</v>
      </c>
      <c r="I684" s="1"/>
      <c r="J684" s="1" t="s">
        <v>2545</v>
      </c>
      <c r="K684" s="1"/>
      <c r="L684" s="1"/>
      <c r="M684" s="1" t="s">
        <v>34</v>
      </c>
      <c r="N684" s="1" t="s">
        <v>192</v>
      </c>
      <c r="O684" s="1" t="s">
        <v>193</v>
      </c>
      <c r="P684" s="1" t="s">
        <v>63</v>
      </c>
      <c r="Q684" s="1"/>
      <c r="R684" s="2">
        <v>44077</v>
      </c>
      <c r="S684" s="1"/>
      <c r="W684" s="1" t="s">
        <v>38</v>
      </c>
      <c r="X684" s="2">
        <v>44084</v>
      </c>
      <c r="Y684" s="2">
        <v>44089</v>
      </c>
      <c r="Z684" s="2">
        <v>44082</v>
      </c>
      <c r="AA684" s="2">
        <v>44082</v>
      </c>
      <c r="AB684" s="2">
        <v>44077</v>
      </c>
      <c r="AC684" s="1"/>
      <c r="AD684">
        <v>5</v>
      </c>
      <c r="AE684">
        <v>147</v>
      </c>
    </row>
    <row r="685" spans="1:31" x14ac:dyDescent="0.35">
      <c r="A685">
        <v>689</v>
      </c>
      <c r="B685" s="1"/>
      <c r="C685">
        <v>0</v>
      </c>
      <c r="D685" s="1"/>
      <c r="E685" s="1"/>
      <c r="F685" s="1" t="s">
        <v>30</v>
      </c>
      <c r="G685" s="1" t="s">
        <v>2546</v>
      </c>
      <c r="H685" s="1" t="s">
        <v>2547</v>
      </c>
      <c r="I685" s="1"/>
      <c r="J685" s="1" t="s">
        <v>2548</v>
      </c>
      <c r="K685" s="1"/>
      <c r="L685" s="1"/>
      <c r="M685" s="1" t="s">
        <v>34</v>
      </c>
      <c r="N685" s="1" t="s">
        <v>192</v>
      </c>
      <c r="O685" s="1" t="s">
        <v>193</v>
      </c>
      <c r="P685" s="1" t="s">
        <v>63</v>
      </c>
      <c r="Q685" s="1"/>
      <c r="R685" s="2">
        <v>44082</v>
      </c>
      <c r="S685" s="1"/>
      <c r="W685" s="1" t="s">
        <v>38</v>
      </c>
      <c r="X685" s="2">
        <v>44088</v>
      </c>
      <c r="Y685" s="2">
        <v>44089</v>
      </c>
      <c r="Z685" s="2">
        <v>44082</v>
      </c>
      <c r="AA685" s="2">
        <v>44082</v>
      </c>
      <c r="AB685" s="2">
        <v>44082</v>
      </c>
      <c r="AC685" s="1"/>
      <c r="AD685">
        <v>0</v>
      </c>
      <c r="AE685">
        <v>142</v>
      </c>
    </row>
    <row r="686" spans="1:31" x14ac:dyDescent="0.35">
      <c r="A686">
        <v>690</v>
      </c>
      <c r="B686" s="1"/>
      <c r="C686">
        <v>0</v>
      </c>
      <c r="D686" s="1" t="s">
        <v>206</v>
      </c>
      <c r="E686" s="1" t="s">
        <v>217</v>
      </c>
      <c r="F686" s="1" t="s">
        <v>30</v>
      </c>
      <c r="G686" s="1" t="s">
        <v>2549</v>
      </c>
      <c r="H686" s="1" t="s">
        <v>2550</v>
      </c>
      <c r="I686" s="1" t="s">
        <v>2551</v>
      </c>
      <c r="J686" s="1" t="s">
        <v>2552</v>
      </c>
      <c r="K686" s="1"/>
      <c r="L686" s="1"/>
      <c r="M686" s="1" t="s">
        <v>197</v>
      </c>
      <c r="N686" s="1" t="s">
        <v>97</v>
      </c>
      <c r="O686" s="1" t="s">
        <v>98</v>
      </c>
      <c r="P686" s="1" t="s">
        <v>99</v>
      </c>
      <c r="Q686" s="1"/>
      <c r="R686" s="2">
        <v>44083</v>
      </c>
      <c r="S686" s="1"/>
      <c r="W686" s="1" t="s">
        <v>38</v>
      </c>
      <c r="X686" s="2">
        <v>44087</v>
      </c>
      <c r="Y686" s="2">
        <v>44089</v>
      </c>
      <c r="Z686" s="2">
        <v>44089</v>
      </c>
      <c r="AA686" s="2">
        <v>44084</v>
      </c>
      <c r="AB686" s="2">
        <v>44083</v>
      </c>
      <c r="AC686" s="1"/>
      <c r="AD686">
        <v>6</v>
      </c>
      <c r="AE686">
        <v>141</v>
      </c>
    </row>
    <row r="687" spans="1:31" x14ac:dyDescent="0.35">
      <c r="A687">
        <v>691</v>
      </c>
      <c r="B687" s="1"/>
      <c r="C687">
        <v>0</v>
      </c>
      <c r="D687" s="1"/>
      <c r="E687" s="1" t="s">
        <v>2553</v>
      </c>
      <c r="F687" s="1" t="s">
        <v>30</v>
      </c>
      <c r="G687" s="1" t="s">
        <v>2554</v>
      </c>
      <c r="H687" s="1" t="s">
        <v>2555</v>
      </c>
      <c r="I687" s="1"/>
      <c r="J687" s="1" t="s">
        <v>2556</v>
      </c>
      <c r="K687" s="1"/>
      <c r="L687" s="1"/>
      <c r="M687" s="1" t="s">
        <v>34</v>
      </c>
      <c r="N687" s="1" t="s">
        <v>483</v>
      </c>
      <c r="O687" s="1" t="s">
        <v>484</v>
      </c>
      <c r="P687" s="1" t="s">
        <v>37</v>
      </c>
      <c r="Q687" s="1"/>
      <c r="R687" s="2">
        <v>44083</v>
      </c>
      <c r="S687" s="1"/>
      <c r="W687" s="1" t="s">
        <v>38</v>
      </c>
      <c r="X687" s="2">
        <v>44090</v>
      </c>
      <c r="Y687" s="2">
        <v>44144</v>
      </c>
      <c r="Z687" s="2">
        <v>44137</v>
      </c>
      <c r="AA687" s="2">
        <v>44084</v>
      </c>
      <c r="AB687" s="2">
        <v>44083</v>
      </c>
      <c r="AC687" s="1"/>
      <c r="AD687">
        <v>54</v>
      </c>
      <c r="AE687">
        <v>141</v>
      </c>
    </row>
    <row r="688" spans="1:31" x14ac:dyDescent="0.35">
      <c r="A688">
        <v>692</v>
      </c>
      <c r="B688" s="1"/>
      <c r="C688">
        <v>0</v>
      </c>
      <c r="D688" s="1"/>
      <c r="E688" s="1"/>
      <c r="F688" s="1" t="s">
        <v>30</v>
      </c>
      <c r="G688" s="1" t="s">
        <v>2557</v>
      </c>
      <c r="H688" s="1" t="s">
        <v>2558</v>
      </c>
      <c r="I688" s="1"/>
      <c r="J688" s="1" t="s">
        <v>2559</v>
      </c>
      <c r="K688" s="1"/>
      <c r="L688" s="1"/>
      <c r="M688" s="1" t="s">
        <v>34</v>
      </c>
      <c r="N688" s="1" t="s">
        <v>483</v>
      </c>
      <c r="O688" s="1" t="s">
        <v>484</v>
      </c>
      <c r="P688" s="1" t="s">
        <v>37</v>
      </c>
      <c r="Q688" s="1"/>
      <c r="R688" s="2">
        <v>44084</v>
      </c>
      <c r="S688" s="1"/>
      <c r="W688" s="1" t="s">
        <v>38</v>
      </c>
      <c r="X688" s="2">
        <v>44091</v>
      </c>
      <c r="Y688" s="2">
        <v>44182</v>
      </c>
      <c r="Z688" s="2">
        <v>44176</v>
      </c>
      <c r="AA688" s="2">
        <v>44084</v>
      </c>
      <c r="AB688" s="2">
        <v>44084</v>
      </c>
      <c r="AC688" s="1"/>
      <c r="AD688">
        <v>92</v>
      </c>
      <c r="AE688">
        <v>140</v>
      </c>
    </row>
    <row r="689" spans="1:31" x14ac:dyDescent="0.35">
      <c r="A689">
        <v>693</v>
      </c>
      <c r="B689" s="1"/>
      <c r="C689">
        <v>0</v>
      </c>
      <c r="D689" s="1"/>
      <c r="E689" s="1"/>
      <c r="F689" s="1" t="s">
        <v>30</v>
      </c>
      <c r="G689" s="1" t="s">
        <v>2560</v>
      </c>
      <c r="H689" s="1" t="s">
        <v>2561</v>
      </c>
      <c r="I689" s="1"/>
      <c r="J689" s="1" t="s">
        <v>2562</v>
      </c>
      <c r="K689" s="1"/>
      <c r="L689" s="1"/>
      <c r="M689" s="1" t="s">
        <v>34</v>
      </c>
      <c r="N689" s="1" t="s">
        <v>483</v>
      </c>
      <c r="O689" s="1" t="s">
        <v>484</v>
      </c>
      <c r="P689" s="1" t="s">
        <v>37</v>
      </c>
      <c r="Q689" s="1"/>
      <c r="R689" s="2">
        <v>44085</v>
      </c>
      <c r="S689" s="1"/>
      <c r="W689" s="1" t="s">
        <v>38</v>
      </c>
      <c r="X689" s="2">
        <v>44092</v>
      </c>
      <c r="Y689" s="2">
        <v>44175</v>
      </c>
      <c r="Z689" s="2">
        <v>44175</v>
      </c>
      <c r="AA689" s="2">
        <v>44088</v>
      </c>
      <c r="AB689" s="2">
        <v>44085</v>
      </c>
      <c r="AC689" s="1"/>
      <c r="AD689">
        <v>90</v>
      </c>
      <c r="AE689">
        <v>139</v>
      </c>
    </row>
    <row r="690" spans="1:31" x14ac:dyDescent="0.35">
      <c r="A690">
        <v>694</v>
      </c>
      <c r="B690" s="1"/>
      <c r="C690">
        <v>0</v>
      </c>
      <c r="D690" s="1"/>
      <c r="E690" s="1"/>
      <c r="F690" s="1" t="s">
        <v>30</v>
      </c>
      <c r="G690" s="1" t="s">
        <v>2563</v>
      </c>
      <c r="H690" s="1" t="s">
        <v>2564</v>
      </c>
      <c r="I690" s="1"/>
      <c r="J690" s="1" t="s">
        <v>2565</v>
      </c>
      <c r="K690" s="1"/>
      <c r="L690" s="1"/>
      <c r="M690" s="1" t="s">
        <v>197</v>
      </c>
      <c r="N690" s="1" t="s">
        <v>43</v>
      </c>
      <c r="O690" s="1" t="s">
        <v>44</v>
      </c>
      <c r="P690" s="1" t="s">
        <v>63</v>
      </c>
      <c r="Q690" s="1"/>
      <c r="R690" s="2">
        <v>44089</v>
      </c>
      <c r="S690" s="1"/>
      <c r="W690" s="1" t="s">
        <v>38</v>
      </c>
      <c r="X690" s="2">
        <v>44093</v>
      </c>
      <c r="Y690" s="2">
        <v>44097</v>
      </c>
      <c r="Z690" s="2">
        <v>44097</v>
      </c>
      <c r="AA690" s="2">
        <v>44089</v>
      </c>
      <c r="AB690" s="2">
        <v>44089</v>
      </c>
      <c r="AC690" s="1"/>
      <c r="AD690">
        <v>8</v>
      </c>
      <c r="AE690">
        <v>135</v>
      </c>
    </row>
    <row r="691" spans="1:31" x14ac:dyDescent="0.35">
      <c r="A691">
        <v>695</v>
      </c>
      <c r="B691" s="1"/>
      <c r="C691">
        <v>0</v>
      </c>
      <c r="D691" s="1"/>
      <c r="E691" s="1"/>
      <c r="F691" s="1" t="s">
        <v>30</v>
      </c>
      <c r="G691" s="1" t="s">
        <v>2566</v>
      </c>
      <c r="H691" s="1" t="s">
        <v>2567</v>
      </c>
      <c r="I691" s="1"/>
      <c r="J691" s="1" t="s">
        <v>2568</v>
      </c>
      <c r="K691" s="1"/>
      <c r="L691" s="1"/>
      <c r="M691" s="1" t="s">
        <v>34</v>
      </c>
      <c r="N691" s="1" t="s">
        <v>198</v>
      </c>
      <c r="O691" s="1" t="s">
        <v>199</v>
      </c>
      <c r="P691" s="1" t="s">
        <v>200</v>
      </c>
      <c r="Q691" s="1"/>
      <c r="R691" s="2">
        <v>44090</v>
      </c>
      <c r="S691" s="1"/>
      <c r="W691" s="1" t="s">
        <v>38</v>
      </c>
      <c r="X691" s="2">
        <v>44097</v>
      </c>
      <c r="Y691" s="2">
        <v>44096</v>
      </c>
      <c r="Z691" s="2">
        <v>44090</v>
      </c>
      <c r="AA691" s="2">
        <v>44090</v>
      </c>
      <c r="AB691" s="2">
        <v>44090</v>
      </c>
      <c r="AC691" s="1"/>
      <c r="AD691">
        <v>0</v>
      </c>
      <c r="AE691">
        <v>134</v>
      </c>
    </row>
    <row r="692" spans="1:31" x14ac:dyDescent="0.35">
      <c r="A692">
        <v>696</v>
      </c>
      <c r="B692" s="1"/>
      <c r="C692">
        <v>0</v>
      </c>
      <c r="D692" s="1"/>
      <c r="E692" s="1"/>
      <c r="F692" s="1" t="s">
        <v>30</v>
      </c>
      <c r="G692" s="1" t="s">
        <v>2569</v>
      </c>
      <c r="H692" s="1" t="s">
        <v>2570</v>
      </c>
      <c r="I692" s="1"/>
      <c r="J692" s="1" t="s">
        <v>2571</v>
      </c>
      <c r="K692" s="1"/>
      <c r="L692" s="1"/>
      <c r="M692" s="1" t="s">
        <v>197</v>
      </c>
      <c r="N692" s="1" t="s">
        <v>245</v>
      </c>
      <c r="O692" s="1" t="s">
        <v>147</v>
      </c>
      <c r="P692" s="1" t="s">
        <v>63</v>
      </c>
      <c r="Q692" s="1"/>
      <c r="R692" s="2">
        <v>44090</v>
      </c>
      <c r="S692" s="1"/>
      <c r="W692" s="1" t="s">
        <v>38</v>
      </c>
      <c r="X692" s="2">
        <v>44093</v>
      </c>
      <c r="Y692" s="2">
        <v>44097</v>
      </c>
      <c r="Z692" s="2">
        <v>44097</v>
      </c>
      <c r="AA692" s="2">
        <v>44091</v>
      </c>
      <c r="AB692" s="2">
        <v>44090</v>
      </c>
      <c r="AC692" s="1"/>
      <c r="AD692">
        <v>7</v>
      </c>
      <c r="AE692">
        <v>134</v>
      </c>
    </row>
    <row r="693" spans="1:31" x14ac:dyDescent="0.35">
      <c r="A693">
        <v>697</v>
      </c>
      <c r="B693" s="1"/>
      <c r="C693">
        <v>0</v>
      </c>
      <c r="D693" s="1" t="s">
        <v>1590</v>
      </c>
      <c r="E693" s="1" t="s">
        <v>2572</v>
      </c>
      <c r="F693" s="1" t="s">
        <v>30</v>
      </c>
      <c r="G693" s="1" t="s">
        <v>2573</v>
      </c>
      <c r="H693" s="1" t="s">
        <v>2574</v>
      </c>
      <c r="I693" s="1" t="s">
        <v>2575</v>
      </c>
      <c r="J693" s="1" t="s">
        <v>2576</v>
      </c>
      <c r="K693" s="1"/>
      <c r="L693" s="1"/>
      <c r="M693" s="1" t="s">
        <v>34</v>
      </c>
      <c r="N693" s="1" t="s">
        <v>97</v>
      </c>
      <c r="O693" s="1" t="s">
        <v>98</v>
      </c>
      <c r="P693" s="1" t="s">
        <v>99</v>
      </c>
      <c r="Q693" s="1"/>
      <c r="R693" s="2">
        <v>44090</v>
      </c>
      <c r="S693" s="1"/>
      <c r="W693" s="1" t="s">
        <v>38</v>
      </c>
      <c r="X693" s="2">
        <v>44097</v>
      </c>
      <c r="Y693" s="2">
        <v>44096</v>
      </c>
      <c r="Z693" s="2">
        <v>44092</v>
      </c>
      <c r="AA693" s="2">
        <v>44090</v>
      </c>
      <c r="AB693" s="2">
        <v>44090</v>
      </c>
      <c r="AC693" s="1"/>
      <c r="AD693">
        <v>2</v>
      </c>
      <c r="AE693">
        <v>134</v>
      </c>
    </row>
    <row r="694" spans="1:31" x14ac:dyDescent="0.35">
      <c r="A694">
        <v>698</v>
      </c>
      <c r="B694" s="1"/>
      <c r="C694">
        <v>0</v>
      </c>
      <c r="D694" s="1" t="s">
        <v>1590</v>
      </c>
      <c r="E694" s="1" t="s">
        <v>2572</v>
      </c>
      <c r="F694" s="1" t="s">
        <v>30</v>
      </c>
      <c r="G694" s="1" t="s">
        <v>2577</v>
      </c>
      <c r="H694" s="1" t="s">
        <v>2578</v>
      </c>
      <c r="I694" s="1" t="s">
        <v>2579</v>
      </c>
      <c r="J694" s="1" t="s">
        <v>2580</v>
      </c>
      <c r="K694" s="1"/>
      <c r="L694" s="1"/>
      <c r="M694" s="1" t="s">
        <v>34</v>
      </c>
      <c r="N694" s="1" t="s">
        <v>97</v>
      </c>
      <c r="O694" s="1" t="s">
        <v>98</v>
      </c>
      <c r="P694" s="1" t="s">
        <v>99</v>
      </c>
      <c r="Q694" s="1"/>
      <c r="R694" s="2">
        <v>44090</v>
      </c>
      <c r="S694" s="1"/>
      <c r="W694" s="1" t="s">
        <v>38</v>
      </c>
      <c r="X694" s="2">
        <v>44097</v>
      </c>
      <c r="Y694" s="2">
        <v>44096</v>
      </c>
      <c r="Z694" s="2">
        <v>44092</v>
      </c>
      <c r="AA694" s="2">
        <v>44090</v>
      </c>
      <c r="AB694" s="2">
        <v>44090</v>
      </c>
      <c r="AC694" s="1"/>
      <c r="AD694">
        <v>2</v>
      </c>
      <c r="AE694">
        <v>134</v>
      </c>
    </row>
    <row r="695" spans="1:31" x14ac:dyDescent="0.35">
      <c r="A695">
        <v>699</v>
      </c>
      <c r="B695" s="1"/>
      <c r="C695">
        <v>0</v>
      </c>
      <c r="D695" s="1" t="s">
        <v>1590</v>
      </c>
      <c r="E695" s="1" t="s">
        <v>2581</v>
      </c>
      <c r="F695" s="1" t="s">
        <v>30</v>
      </c>
      <c r="G695" s="1" t="s">
        <v>2582</v>
      </c>
      <c r="H695" s="1" t="s">
        <v>2583</v>
      </c>
      <c r="I695" s="1" t="s">
        <v>2584</v>
      </c>
      <c r="J695" s="1" t="s">
        <v>2585</v>
      </c>
      <c r="K695" s="1"/>
      <c r="L695" s="1"/>
      <c r="M695" s="1" t="s">
        <v>34</v>
      </c>
      <c r="N695" s="1" t="s">
        <v>97</v>
      </c>
      <c r="O695" s="1" t="s">
        <v>98</v>
      </c>
      <c r="P695" s="1" t="s">
        <v>99</v>
      </c>
      <c r="Q695" s="1"/>
      <c r="R695" s="2">
        <v>44090</v>
      </c>
      <c r="S695" s="1"/>
      <c r="W695" s="1" t="s">
        <v>38</v>
      </c>
      <c r="X695" s="2">
        <v>44097</v>
      </c>
      <c r="Y695" s="2">
        <v>44096</v>
      </c>
      <c r="Z695" s="2">
        <v>44092</v>
      </c>
      <c r="AA695" s="2">
        <v>44090</v>
      </c>
      <c r="AB695" s="2">
        <v>44090</v>
      </c>
      <c r="AC695" s="1"/>
      <c r="AD695">
        <v>2</v>
      </c>
      <c r="AE695">
        <v>134</v>
      </c>
    </row>
    <row r="696" spans="1:31" x14ac:dyDescent="0.35">
      <c r="A696">
        <v>700</v>
      </c>
      <c r="B696" s="1"/>
      <c r="C696">
        <v>0</v>
      </c>
      <c r="D696" s="1"/>
      <c r="E696" s="1"/>
      <c r="F696" s="1" t="s">
        <v>30</v>
      </c>
      <c r="G696" s="1" t="s">
        <v>2586</v>
      </c>
      <c r="H696" s="1" t="s">
        <v>2587</v>
      </c>
      <c r="I696" s="1"/>
      <c r="J696" s="1" t="s">
        <v>2588</v>
      </c>
      <c r="K696" s="1"/>
      <c r="L696" s="1"/>
      <c r="M696" s="1" t="s">
        <v>197</v>
      </c>
      <c r="N696" s="1" t="s">
        <v>437</v>
      </c>
      <c r="O696" s="1" t="s">
        <v>44</v>
      </c>
      <c r="P696" s="1" t="s">
        <v>198</v>
      </c>
      <c r="Q696" s="1" t="s">
        <v>199</v>
      </c>
      <c r="R696" s="2">
        <v>44112</v>
      </c>
      <c r="S696" s="1"/>
      <c r="W696" s="1" t="s">
        <v>38</v>
      </c>
      <c r="X696" s="2">
        <v>44101</v>
      </c>
      <c r="Y696" s="2">
        <v>44123</v>
      </c>
      <c r="Z696" s="2">
        <v>44112</v>
      </c>
      <c r="AA696" s="2">
        <v>44116</v>
      </c>
      <c r="AB696" s="2">
        <v>44090</v>
      </c>
      <c r="AC696" s="1"/>
      <c r="AD696">
        <v>22</v>
      </c>
      <c r="AE696">
        <v>134</v>
      </c>
    </row>
    <row r="697" spans="1:31" x14ac:dyDescent="0.35">
      <c r="A697">
        <v>701</v>
      </c>
      <c r="B697" s="1"/>
      <c r="C697">
        <v>0</v>
      </c>
      <c r="D697" s="1"/>
      <c r="E697" s="1"/>
      <c r="F697" s="1" t="s">
        <v>30</v>
      </c>
      <c r="G697" s="1" t="s">
        <v>2589</v>
      </c>
      <c r="H697" s="1" t="s">
        <v>2590</v>
      </c>
      <c r="I697" s="1"/>
      <c r="J697" s="1" t="s">
        <v>2591</v>
      </c>
      <c r="K697" s="1"/>
      <c r="L697" s="1"/>
      <c r="M697" s="1" t="s">
        <v>34</v>
      </c>
      <c r="N697" s="1" t="s">
        <v>129</v>
      </c>
      <c r="O697" s="1" t="s">
        <v>44</v>
      </c>
      <c r="P697" s="1" t="s">
        <v>37</v>
      </c>
      <c r="Q697" s="1"/>
      <c r="R697" s="2">
        <v>44090</v>
      </c>
      <c r="S697" s="1"/>
      <c r="W697" s="1" t="s">
        <v>38</v>
      </c>
      <c r="X697" s="2">
        <v>44097</v>
      </c>
      <c r="Y697" s="2">
        <v>44132</v>
      </c>
      <c r="Z697" s="2">
        <v>44125</v>
      </c>
      <c r="AA697" s="2"/>
      <c r="AB697" s="2">
        <v>44090</v>
      </c>
      <c r="AC697" s="1"/>
      <c r="AD697">
        <v>35</v>
      </c>
      <c r="AE697">
        <v>134</v>
      </c>
    </row>
    <row r="698" spans="1:31" x14ac:dyDescent="0.35">
      <c r="A698">
        <v>702</v>
      </c>
      <c r="B698" s="1"/>
      <c r="C698">
        <v>0</v>
      </c>
      <c r="D698" s="1"/>
      <c r="E698" s="1" t="s">
        <v>2592</v>
      </c>
      <c r="F698" s="1" t="s">
        <v>30</v>
      </c>
      <c r="G698" s="1" t="s">
        <v>2593</v>
      </c>
      <c r="H698" s="1" t="s">
        <v>2594</v>
      </c>
      <c r="I698" s="1"/>
      <c r="J698" s="1" t="s">
        <v>2595</v>
      </c>
      <c r="K698" s="1"/>
      <c r="L698" s="1"/>
      <c r="M698" s="1" t="s">
        <v>34</v>
      </c>
      <c r="N698" s="1" t="s">
        <v>483</v>
      </c>
      <c r="O698" s="1" t="s">
        <v>484</v>
      </c>
      <c r="P698" s="1" t="s">
        <v>37</v>
      </c>
      <c r="Q698" s="1"/>
      <c r="R698" s="2">
        <v>44090</v>
      </c>
      <c r="S698" s="1"/>
      <c r="W698" s="1" t="s">
        <v>38</v>
      </c>
      <c r="X698" s="2">
        <v>44097</v>
      </c>
      <c r="Y698" s="2">
        <v>44182</v>
      </c>
      <c r="Z698" s="2">
        <v>44181</v>
      </c>
      <c r="AA698" s="2">
        <v>44098</v>
      </c>
      <c r="AB698" s="2">
        <v>44090</v>
      </c>
      <c r="AC698" s="1"/>
      <c r="AD698">
        <v>91</v>
      </c>
      <c r="AE698">
        <v>134</v>
      </c>
    </row>
    <row r="699" spans="1:31" x14ac:dyDescent="0.35">
      <c r="A699">
        <v>703</v>
      </c>
      <c r="B699" s="1"/>
      <c r="C699">
        <v>0</v>
      </c>
      <c r="D699" s="1"/>
      <c r="E699" s="1"/>
      <c r="F699" s="1" t="s">
        <v>30</v>
      </c>
      <c r="G699" s="1" t="s">
        <v>2596</v>
      </c>
      <c r="H699" s="1" t="s">
        <v>2597</v>
      </c>
      <c r="I699" s="1"/>
      <c r="J699" s="1" t="s">
        <v>2598</v>
      </c>
      <c r="K699" s="1"/>
      <c r="L699" s="1"/>
      <c r="M699" s="1" t="s">
        <v>34</v>
      </c>
      <c r="N699" s="1" t="s">
        <v>341</v>
      </c>
      <c r="O699" s="1" t="s">
        <v>62</v>
      </c>
      <c r="P699" s="1" t="s">
        <v>63</v>
      </c>
      <c r="Q699" s="1"/>
      <c r="R699" s="2">
        <v>44091</v>
      </c>
      <c r="S699" s="1"/>
      <c r="W699" s="1" t="s">
        <v>38</v>
      </c>
      <c r="X699" s="2">
        <v>44098</v>
      </c>
      <c r="Y699" s="2">
        <v>44097</v>
      </c>
      <c r="Z699" s="2">
        <v>44097</v>
      </c>
      <c r="AA699" s="2">
        <v>44091</v>
      </c>
      <c r="AB699" s="2">
        <v>44091</v>
      </c>
      <c r="AC699" s="1"/>
      <c r="AD699">
        <v>6</v>
      </c>
      <c r="AE699">
        <v>133</v>
      </c>
    </row>
    <row r="700" spans="1:31" x14ac:dyDescent="0.35">
      <c r="A700">
        <v>704</v>
      </c>
      <c r="B700" s="1"/>
      <c r="C700">
        <v>0</v>
      </c>
      <c r="D700" s="1"/>
      <c r="E700" s="1"/>
      <c r="F700" s="1" t="s">
        <v>30</v>
      </c>
      <c r="G700" s="1" t="s">
        <v>2599</v>
      </c>
      <c r="H700" s="1" t="s">
        <v>2600</v>
      </c>
      <c r="I700" s="1"/>
      <c r="J700" s="1"/>
      <c r="K700" s="1"/>
      <c r="L700" s="1"/>
      <c r="M700" s="1" t="s">
        <v>197</v>
      </c>
      <c r="N700" s="1" t="s">
        <v>245</v>
      </c>
      <c r="O700" s="1" t="s">
        <v>147</v>
      </c>
      <c r="P700" s="1" t="s">
        <v>37</v>
      </c>
      <c r="Q700" s="1"/>
      <c r="R700" s="2">
        <v>44091</v>
      </c>
      <c r="S700" s="1"/>
      <c r="W700" s="1" t="s">
        <v>38</v>
      </c>
      <c r="X700" s="2">
        <v>44112</v>
      </c>
      <c r="Y700" s="2"/>
      <c r="Z700" s="2"/>
      <c r="AA700" s="2">
        <v>44091</v>
      </c>
      <c r="AB700" s="2">
        <v>44091</v>
      </c>
      <c r="AC700" s="1"/>
      <c r="AE700">
        <v>133</v>
      </c>
    </row>
    <row r="701" spans="1:31" x14ac:dyDescent="0.35">
      <c r="A701">
        <v>705</v>
      </c>
      <c r="B701" s="1"/>
      <c r="C701">
        <v>1</v>
      </c>
      <c r="D701" s="1"/>
      <c r="E701" s="1"/>
      <c r="F701" s="1" t="s">
        <v>30</v>
      </c>
      <c r="G701" s="1" t="s">
        <v>2601</v>
      </c>
      <c r="H701" s="1" t="s">
        <v>2602</v>
      </c>
      <c r="I701" s="1"/>
      <c r="J701" s="1" t="s">
        <v>1161</v>
      </c>
      <c r="K701" s="1"/>
      <c r="L701" s="1"/>
      <c r="M701" s="1" t="s">
        <v>197</v>
      </c>
      <c r="N701" s="1" t="s">
        <v>341</v>
      </c>
      <c r="O701" s="1" t="s">
        <v>62</v>
      </c>
      <c r="P701" s="1" t="s">
        <v>63</v>
      </c>
      <c r="Q701" s="1"/>
      <c r="R701" s="2">
        <v>44097</v>
      </c>
      <c r="S701" s="1"/>
      <c r="W701" s="1" t="s">
        <v>38</v>
      </c>
      <c r="X701" s="2">
        <v>44095</v>
      </c>
      <c r="Y701" s="2">
        <v>44097</v>
      </c>
      <c r="Z701" s="2">
        <v>44097</v>
      </c>
      <c r="AA701" s="2"/>
      <c r="AB701" s="2">
        <v>44097</v>
      </c>
      <c r="AC701" s="1"/>
      <c r="AD701">
        <v>0</v>
      </c>
      <c r="AE701">
        <v>127</v>
      </c>
    </row>
    <row r="702" spans="1:31" x14ac:dyDescent="0.35">
      <c r="A702">
        <v>706</v>
      </c>
      <c r="B702" s="1"/>
      <c r="C702">
        <v>0</v>
      </c>
      <c r="D702" s="1"/>
      <c r="E702" s="1"/>
      <c r="F702" s="1" t="s">
        <v>30</v>
      </c>
      <c r="G702" s="1" t="s">
        <v>2603</v>
      </c>
      <c r="H702" s="1" t="s">
        <v>2604</v>
      </c>
      <c r="I702" s="1" t="s">
        <v>2605</v>
      </c>
      <c r="J702" s="1" t="s">
        <v>2606</v>
      </c>
      <c r="K702" s="1"/>
      <c r="L702" s="1"/>
      <c r="M702" s="1" t="s">
        <v>197</v>
      </c>
      <c r="N702" s="1" t="s">
        <v>43</v>
      </c>
      <c r="O702" s="1" t="s">
        <v>44</v>
      </c>
      <c r="P702" s="1" t="s">
        <v>63</v>
      </c>
      <c r="Q702" s="1"/>
      <c r="R702" s="2">
        <v>44092</v>
      </c>
      <c r="S702" s="1"/>
      <c r="W702" s="1" t="s">
        <v>38</v>
      </c>
      <c r="X702" s="2">
        <v>44095</v>
      </c>
      <c r="Y702" s="2">
        <v>44097</v>
      </c>
      <c r="Z702" s="2">
        <v>44097</v>
      </c>
      <c r="AA702" s="2">
        <v>44092</v>
      </c>
      <c r="AB702" s="2">
        <v>44092</v>
      </c>
      <c r="AC702" s="1"/>
      <c r="AD702">
        <v>5</v>
      </c>
      <c r="AE702">
        <v>132</v>
      </c>
    </row>
    <row r="703" spans="1:31" x14ac:dyDescent="0.35">
      <c r="A703">
        <v>707</v>
      </c>
      <c r="B703" s="1"/>
      <c r="C703">
        <v>0</v>
      </c>
      <c r="D703" s="1"/>
      <c r="E703" s="1"/>
      <c r="F703" s="1" t="s">
        <v>30</v>
      </c>
      <c r="G703" s="1" t="s">
        <v>2607</v>
      </c>
      <c r="H703" s="1" t="s">
        <v>2608</v>
      </c>
      <c r="I703" s="1"/>
      <c r="J703" s="1" t="s">
        <v>2609</v>
      </c>
      <c r="K703" s="1"/>
      <c r="L703" s="1"/>
      <c r="M703" s="1" t="s">
        <v>34</v>
      </c>
      <c r="N703" s="1" t="s">
        <v>341</v>
      </c>
      <c r="O703" s="1" t="s">
        <v>62</v>
      </c>
      <c r="P703" s="1" t="s">
        <v>37</v>
      </c>
      <c r="Q703" s="1"/>
      <c r="R703" s="2">
        <v>44095</v>
      </c>
      <c r="S703" s="1"/>
      <c r="W703" s="1" t="s">
        <v>38</v>
      </c>
      <c r="X703" s="2">
        <v>44102</v>
      </c>
      <c r="Y703" s="2">
        <v>44138</v>
      </c>
      <c r="Z703" s="2">
        <v>44137</v>
      </c>
      <c r="AA703" s="2">
        <v>44097</v>
      </c>
      <c r="AB703" s="2">
        <v>44095</v>
      </c>
      <c r="AC703" s="1"/>
      <c r="AD703">
        <v>42</v>
      </c>
      <c r="AE703">
        <v>129</v>
      </c>
    </row>
    <row r="704" spans="1:31" x14ac:dyDescent="0.35">
      <c r="A704">
        <v>708</v>
      </c>
      <c r="B704" s="1"/>
      <c r="C704">
        <v>0</v>
      </c>
      <c r="D704" s="1"/>
      <c r="E704" s="1"/>
      <c r="F704" s="1" t="s">
        <v>30</v>
      </c>
      <c r="G704" s="1" t="s">
        <v>2610</v>
      </c>
      <c r="H704" s="1" t="s">
        <v>2611</v>
      </c>
      <c r="I704" s="1"/>
      <c r="J704" s="1" t="s">
        <v>2612</v>
      </c>
      <c r="K704" s="1"/>
      <c r="L704" s="1"/>
      <c r="M704" s="1" t="s">
        <v>34</v>
      </c>
      <c r="N704" s="1" t="s">
        <v>245</v>
      </c>
      <c r="O704" s="1" t="s">
        <v>147</v>
      </c>
      <c r="P704" s="1" t="s">
        <v>379</v>
      </c>
      <c r="Q704" s="1"/>
      <c r="R704" s="2">
        <v>44096</v>
      </c>
      <c r="S704" s="1"/>
      <c r="W704" s="1" t="s">
        <v>38</v>
      </c>
      <c r="X704" s="2">
        <v>44103</v>
      </c>
      <c r="Y704" s="2">
        <v>44096</v>
      </c>
      <c r="Z704" s="2">
        <v>44096</v>
      </c>
      <c r="AA704" s="2">
        <v>44096</v>
      </c>
      <c r="AB704" s="2">
        <v>44096</v>
      </c>
      <c r="AC704" s="1"/>
      <c r="AD704">
        <v>0</v>
      </c>
      <c r="AE704">
        <v>128</v>
      </c>
    </row>
    <row r="705" spans="1:31" x14ac:dyDescent="0.35">
      <c r="A705">
        <v>709</v>
      </c>
      <c r="B705" s="1"/>
      <c r="C705">
        <v>0</v>
      </c>
      <c r="D705" s="1"/>
      <c r="E705" s="1"/>
      <c r="F705" s="1" t="s">
        <v>30</v>
      </c>
      <c r="G705" s="1" t="s">
        <v>2613</v>
      </c>
      <c r="H705" s="1" t="s">
        <v>2614</v>
      </c>
      <c r="I705" s="1"/>
      <c r="J705" s="1" t="s">
        <v>2615</v>
      </c>
      <c r="K705" s="1"/>
      <c r="L705" s="1"/>
      <c r="M705" s="1" t="s">
        <v>197</v>
      </c>
      <c r="N705" s="1" t="s">
        <v>245</v>
      </c>
      <c r="O705" s="1" t="s">
        <v>147</v>
      </c>
      <c r="P705" s="1" t="s">
        <v>379</v>
      </c>
      <c r="Q705" s="1"/>
      <c r="R705" s="2">
        <v>44096</v>
      </c>
      <c r="S705" s="1"/>
      <c r="W705" s="1" t="s">
        <v>38</v>
      </c>
      <c r="X705" s="2">
        <v>44099</v>
      </c>
      <c r="Y705" s="2">
        <v>44105</v>
      </c>
      <c r="Z705" s="2">
        <v>44098</v>
      </c>
      <c r="AA705" s="2">
        <v>44096</v>
      </c>
      <c r="AB705" s="2">
        <v>44096</v>
      </c>
      <c r="AC705" s="1"/>
      <c r="AD705">
        <v>2</v>
      </c>
      <c r="AE705">
        <v>128</v>
      </c>
    </row>
    <row r="706" spans="1:31" x14ac:dyDescent="0.35">
      <c r="A706">
        <v>710</v>
      </c>
      <c r="B706" s="1"/>
      <c r="C706">
        <v>0</v>
      </c>
      <c r="D706" s="1"/>
      <c r="E706" s="1"/>
      <c r="F706" s="1" t="s">
        <v>30</v>
      </c>
      <c r="G706" s="1" t="s">
        <v>2616</v>
      </c>
      <c r="H706" s="1" t="s">
        <v>2617</v>
      </c>
      <c r="I706" s="1"/>
      <c r="J706" s="1"/>
      <c r="K706" s="1"/>
      <c r="L706" s="1"/>
      <c r="M706" s="1" t="s">
        <v>197</v>
      </c>
      <c r="N706" s="1" t="s">
        <v>43</v>
      </c>
      <c r="O706" s="1" t="s">
        <v>44</v>
      </c>
      <c r="P706" s="1" t="s">
        <v>37</v>
      </c>
      <c r="Q706" s="1"/>
      <c r="R706" s="2">
        <v>44096</v>
      </c>
      <c r="S706" s="1"/>
      <c r="W706" s="1" t="s">
        <v>38</v>
      </c>
      <c r="X706" s="2">
        <v>44099</v>
      </c>
      <c r="Y706" s="2">
        <v>44123</v>
      </c>
      <c r="Z706" s="2"/>
      <c r="AA706" s="2">
        <v>44096</v>
      </c>
      <c r="AB706" s="2">
        <v>44096</v>
      </c>
      <c r="AC706" s="1"/>
      <c r="AE706">
        <v>128</v>
      </c>
    </row>
    <row r="707" spans="1:31" x14ac:dyDescent="0.35">
      <c r="A707">
        <v>711</v>
      </c>
      <c r="B707" s="1"/>
      <c r="C707">
        <v>0</v>
      </c>
      <c r="D707" s="1"/>
      <c r="E707" s="1"/>
      <c r="F707" s="1" t="s">
        <v>30</v>
      </c>
      <c r="G707" s="1" t="s">
        <v>2618</v>
      </c>
      <c r="H707" s="1" t="s">
        <v>2619</v>
      </c>
      <c r="I707" s="1"/>
      <c r="J707" s="1" t="s">
        <v>2620</v>
      </c>
      <c r="K707" s="1"/>
      <c r="L707" s="1"/>
      <c r="M707" s="1" t="s">
        <v>34</v>
      </c>
      <c r="N707" s="1" t="s">
        <v>43</v>
      </c>
      <c r="O707" s="1" t="s">
        <v>44</v>
      </c>
      <c r="P707" s="1" t="s">
        <v>63</v>
      </c>
      <c r="Q707" s="1"/>
      <c r="R707" s="2">
        <v>44096</v>
      </c>
      <c r="S707" s="1"/>
      <c r="W707" s="1" t="s">
        <v>38</v>
      </c>
      <c r="X707" s="2">
        <v>44103</v>
      </c>
      <c r="Y707" s="2">
        <v>44097</v>
      </c>
      <c r="Z707" s="2">
        <v>44097</v>
      </c>
      <c r="AA707" s="2">
        <v>44096</v>
      </c>
      <c r="AB707" s="2">
        <v>44096</v>
      </c>
      <c r="AC707" s="1"/>
      <c r="AD707">
        <v>1</v>
      </c>
      <c r="AE707">
        <v>128</v>
      </c>
    </row>
    <row r="708" spans="1:31" x14ac:dyDescent="0.35">
      <c r="A708">
        <v>712</v>
      </c>
      <c r="B708" s="1"/>
      <c r="C708">
        <v>0</v>
      </c>
      <c r="D708" s="1"/>
      <c r="E708" s="1" t="s">
        <v>2621</v>
      </c>
      <c r="F708" s="1" t="s">
        <v>30</v>
      </c>
      <c r="G708" s="1" t="s">
        <v>2622</v>
      </c>
      <c r="H708" s="1" t="s">
        <v>2623</v>
      </c>
      <c r="I708" s="1" t="s">
        <v>2624</v>
      </c>
      <c r="J708" s="1" t="s">
        <v>2625</v>
      </c>
      <c r="K708" s="1" t="s">
        <v>37</v>
      </c>
      <c r="L708" s="1"/>
      <c r="M708" s="1" t="s">
        <v>34</v>
      </c>
      <c r="N708" s="1" t="s">
        <v>483</v>
      </c>
      <c r="O708" s="1" t="s">
        <v>484</v>
      </c>
      <c r="P708" s="1" t="s">
        <v>37</v>
      </c>
      <c r="Q708" s="1"/>
      <c r="R708" s="2">
        <v>44097</v>
      </c>
      <c r="S708" s="1"/>
      <c r="W708" s="1" t="s">
        <v>1053</v>
      </c>
      <c r="X708" s="2">
        <v>44103</v>
      </c>
      <c r="Y708" s="2"/>
      <c r="Z708" s="2">
        <v>44182</v>
      </c>
      <c r="AA708" s="2">
        <v>44097</v>
      </c>
      <c r="AB708" s="2">
        <v>44097</v>
      </c>
      <c r="AC708" s="1"/>
      <c r="AD708">
        <v>85</v>
      </c>
      <c r="AE708">
        <v>127</v>
      </c>
    </row>
    <row r="709" spans="1:31" x14ac:dyDescent="0.35">
      <c r="A709">
        <v>713</v>
      </c>
      <c r="B709" s="1"/>
      <c r="C709">
        <v>0</v>
      </c>
      <c r="D709" s="1" t="s">
        <v>2626</v>
      </c>
      <c r="E709" s="1"/>
      <c r="F709" s="1" t="s">
        <v>30</v>
      </c>
      <c r="G709" s="1" t="s">
        <v>2627</v>
      </c>
      <c r="H709" s="1" t="s">
        <v>2628</v>
      </c>
      <c r="I709" s="1"/>
      <c r="J709" s="1" t="s">
        <v>2629</v>
      </c>
      <c r="K709" s="1"/>
      <c r="L709" s="1"/>
      <c r="M709" s="1" t="s">
        <v>197</v>
      </c>
      <c r="N709" s="1" t="s">
        <v>378</v>
      </c>
      <c r="O709" s="1" t="s">
        <v>147</v>
      </c>
      <c r="P709" s="1" t="s">
        <v>379</v>
      </c>
      <c r="Q709" s="1"/>
      <c r="R709" s="2">
        <v>44098</v>
      </c>
      <c r="S709" s="1"/>
      <c r="W709" s="1" t="s">
        <v>38</v>
      </c>
      <c r="X709" s="2">
        <v>44101</v>
      </c>
      <c r="Y709" s="2">
        <v>44105</v>
      </c>
      <c r="Z709" s="2">
        <v>44098</v>
      </c>
      <c r="AA709" s="2">
        <v>44098</v>
      </c>
      <c r="AB709" s="2">
        <v>44098</v>
      </c>
      <c r="AC709" s="1"/>
      <c r="AD709">
        <v>0</v>
      </c>
      <c r="AE709">
        <v>126</v>
      </c>
    </row>
    <row r="710" spans="1:31" x14ac:dyDescent="0.35">
      <c r="A710">
        <v>714</v>
      </c>
      <c r="B710" s="1"/>
      <c r="C710">
        <v>0</v>
      </c>
      <c r="D710" s="1"/>
      <c r="E710" s="1" t="s">
        <v>2630</v>
      </c>
      <c r="F710" s="1" t="s">
        <v>30</v>
      </c>
      <c r="G710" s="1" t="s">
        <v>2631</v>
      </c>
      <c r="H710" s="1" t="s">
        <v>2632</v>
      </c>
      <c r="I710" s="1" t="s">
        <v>2633</v>
      </c>
      <c r="J710" s="1" t="s">
        <v>2634</v>
      </c>
      <c r="K710" s="1"/>
      <c r="L710" s="1"/>
      <c r="M710" s="1" t="s">
        <v>34</v>
      </c>
      <c r="N710" s="1" t="s">
        <v>129</v>
      </c>
      <c r="O710" s="1" t="s">
        <v>44</v>
      </c>
      <c r="P710" s="1" t="s">
        <v>37</v>
      </c>
      <c r="Q710" s="1"/>
      <c r="R710" s="2">
        <v>44099</v>
      </c>
      <c r="S710" s="1"/>
      <c r="W710" s="1" t="s">
        <v>38</v>
      </c>
      <c r="X710" s="2">
        <v>44106</v>
      </c>
      <c r="Y710" s="2">
        <v>44132</v>
      </c>
      <c r="Z710" s="2">
        <v>44124</v>
      </c>
      <c r="AA710" s="2"/>
      <c r="AB710" s="2">
        <v>44099</v>
      </c>
      <c r="AC710" s="1"/>
      <c r="AD710">
        <v>25</v>
      </c>
      <c r="AE710">
        <v>125</v>
      </c>
    </row>
    <row r="711" spans="1:31" x14ac:dyDescent="0.35">
      <c r="A711">
        <v>715</v>
      </c>
      <c r="B711" s="1"/>
      <c r="C711">
        <v>0</v>
      </c>
      <c r="D711" s="1"/>
      <c r="E711" s="1"/>
      <c r="F711" s="1" t="s">
        <v>30</v>
      </c>
      <c r="G711" s="1" t="s">
        <v>2635</v>
      </c>
      <c r="H711" s="1" t="s">
        <v>2636</v>
      </c>
      <c r="I711" s="1"/>
      <c r="J711" s="1" t="s">
        <v>2637</v>
      </c>
      <c r="K711" s="1"/>
      <c r="L711" s="1"/>
      <c r="M711" s="1" t="s">
        <v>197</v>
      </c>
      <c r="N711" s="1" t="s">
        <v>43</v>
      </c>
      <c r="O711" s="1" t="s">
        <v>44</v>
      </c>
      <c r="P711" s="1" t="s">
        <v>63</v>
      </c>
      <c r="Q711" s="1"/>
      <c r="R711" s="2">
        <v>44103</v>
      </c>
      <c r="S711" s="1"/>
      <c r="W711" s="1" t="s">
        <v>38</v>
      </c>
      <c r="X711" s="2">
        <v>44106</v>
      </c>
      <c r="Y711" s="2">
        <v>44104</v>
      </c>
      <c r="Z711" s="2">
        <v>44104</v>
      </c>
      <c r="AA711" s="2"/>
      <c r="AB711" s="2">
        <v>44103</v>
      </c>
      <c r="AC711" s="1"/>
      <c r="AD711">
        <v>1</v>
      </c>
      <c r="AE711">
        <v>121</v>
      </c>
    </row>
    <row r="712" spans="1:31" x14ac:dyDescent="0.35">
      <c r="A712">
        <v>716</v>
      </c>
      <c r="B712" s="1"/>
      <c r="C712">
        <v>0</v>
      </c>
      <c r="D712" s="1"/>
      <c r="E712" s="1"/>
      <c r="F712" s="1" t="s">
        <v>30</v>
      </c>
      <c r="G712" s="1" t="s">
        <v>2638</v>
      </c>
      <c r="H712" s="1" t="s">
        <v>2639</v>
      </c>
      <c r="I712" s="1"/>
      <c r="J712" s="1" t="s">
        <v>2640</v>
      </c>
      <c r="K712" s="1"/>
      <c r="L712" s="1"/>
      <c r="M712" s="1" t="s">
        <v>197</v>
      </c>
      <c r="N712" s="1" t="s">
        <v>43</v>
      </c>
      <c r="O712" s="1" t="s">
        <v>44</v>
      </c>
      <c r="P712" s="1" t="s">
        <v>63</v>
      </c>
      <c r="Q712" s="1"/>
      <c r="R712" s="2">
        <v>44103</v>
      </c>
      <c r="S712" s="1"/>
      <c r="W712" s="1" t="s">
        <v>38</v>
      </c>
      <c r="X712" s="2">
        <v>44106</v>
      </c>
      <c r="Y712" s="2">
        <v>44104</v>
      </c>
      <c r="Z712" s="2">
        <v>44104</v>
      </c>
      <c r="AA712" s="2">
        <v>44103</v>
      </c>
      <c r="AB712" s="2">
        <v>44103</v>
      </c>
      <c r="AC712" s="1"/>
      <c r="AD712">
        <v>1</v>
      </c>
      <c r="AE712">
        <v>121</v>
      </c>
    </row>
    <row r="713" spans="1:31" x14ac:dyDescent="0.35">
      <c r="A713">
        <v>717</v>
      </c>
      <c r="B713" s="1"/>
      <c r="C713">
        <v>0</v>
      </c>
      <c r="D713" s="1"/>
      <c r="E713" s="1"/>
      <c r="F713" s="1" t="s">
        <v>30</v>
      </c>
      <c r="G713" s="1" t="s">
        <v>2641</v>
      </c>
      <c r="H713" s="1" t="s">
        <v>2642</v>
      </c>
      <c r="I713" s="1"/>
      <c r="J713" s="1" t="s">
        <v>2643</v>
      </c>
      <c r="K713" s="1"/>
      <c r="L713" s="1"/>
      <c r="M713" s="1" t="s">
        <v>34</v>
      </c>
      <c r="N713" s="1" t="s">
        <v>483</v>
      </c>
      <c r="O713" s="1" t="s">
        <v>484</v>
      </c>
      <c r="P713" s="1" t="s">
        <v>37</v>
      </c>
      <c r="Q713" s="1"/>
      <c r="R713" s="2">
        <v>44132</v>
      </c>
      <c r="S713" s="1"/>
      <c r="W713" s="1" t="s">
        <v>38</v>
      </c>
      <c r="X713" s="2">
        <v>44111</v>
      </c>
      <c r="Y713" s="2">
        <v>44148</v>
      </c>
      <c r="Z713" s="2">
        <v>44127</v>
      </c>
      <c r="AA713" s="2">
        <v>44104</v>
      </c>
      <c r="AB713" s="2">
        <v>44104</v>
      </c>
      <c r="AC713" s="1"/>
      <c r="AD713">
        <v>23</v>
      </c>
      <c r="AE713">
        <v>120</v>
      </c>
    </row>
    <row r="714" spans="1:31" x14ac:dyDescent="0.35">
      <c r="A714">
        <v>718</v>
      </c>
      <c r="B714" s="1"/>
      <c r="C714">
        <v>0</v>
      </c>
      <c r="D714" s="1"/>
      <c r="E714" s="1"/>
      <c r="F714" s="1" t="s">
        <v>30</v>
      </c>
      <c r="G714" s="1" t="s">
        <v>2644</v>
      </c>
      <c r="H714" s="1" t="s">
        <v>2645</v>
      </c>
      <c r="I714" s="1"/>
      <c r="J714" s="1" t="s">
        <v>2646</v>
      </c>
      <c r="K714" s="1"/>
      <c r="L714" s="1"/>
      <c r="M714" s="1" t="s">
        <v>34</v>
      </c>
      <c r="N714" s="1" t="s">
        <v>437</v>
      </c>
      <c r="O714" s="1" t="s">
        <v>44</v>
      </c>
      <c r="P714" s="1" t="s">
        <v>278</v>
      </c>
      <c r="Q714" s="1"/>
      <c r="R714" s="2">
        <v>44104</v>
      </c>
      <c r="S714" s="1"/>
      <c r="W714" s="1" t="s">
        <v>38</v>
      </c>
      <c r="X714" s="2">
        <v>44111</v>
      </c>
      <c r="Y714" s="2">
        <v>44117</v>
      </c>
      <c r="Z714" s="2">
        <v>44112</v>
      </c>
      <c r="AA714" s="2">
        <v>44104</v>
      </c>
      <c r="AB714" s="2">
        <v>44104</v>
      </c>
      <c r="AC714" s="1"/>
      <c r="AD714">
        <v>8</v>
      </c>
      <c r="AE714">
        <v>120</v>
      </c>
    </row>
    <row r="715" spans="1:31" x14ac:dyDescent="0.35">
      <c r="A715">
        <v>719</v>
      </c>
      <c r="B715" s="1"/>
      <c r="C715">
        <v>0</v>
      </c>
      <c r="D715" s="1"/>
      <c r="E715" s="1"/>
      <c r="F715" s="1" t="s">
        <v>30</v>
      </c>
      <c r="G715" s="1" t="s">
        <v>2647</v>
      </c>
      <c r="H715" s="1" t="s">
        <v>2648</v>
      </c>
      <c r="I715" s="1"/>
      <c r="J715" s="1" t="s">
        <v>2649</v>
      </c>
      <c r="K715" s="1"/>
      <c r="L715" s="1"/>
      <c r="M715" s="1" t="s">
        <v>34</v>
      </c>
      <c r="N715" s="1" t="s">
        <v>276</v>
      </c>
      <c r="O715" s="1" t="s">
        <v>277</v>
      </c>
      <c r="P715" s="1" t="s">
        <v>278</v>
      </c>
      <c r="Q715" s="1"/>
      <c r="R715" s="2">
        <v>44106</v>
      </c>
      <c r="S715" s="1"/>
      <c r="W715" s="1" t="s">
        <v>38</v>
      </c>
      <c r="X715" s="2">
        <v>44113</v>
      </c>
      <c r="Y715" s="2">
        <v>44132</v>
      </c>
      <c r="Z715" s="2">
        <v>44127</v>
      </c>
      <c r="AA715" s="2"/>
      <c r="AB715" s="2">
        <v>44106</v>
      </c>
      <c r="AC715" s="1"/>
      <c r="AD715">
        <v>21</v>
      </c>
      <c r="AE715">
        <v>118</v>
      </c>
    </row>
    <row r="716" spans="1:31" x14ac:dyDescent="0.35">
      <c r="A716">
        <v>721</v>
      </c>
      <c r="B716" s="1"/>
      <c r="C716">
        <v>0</v>
      </c>
      <c r="D716" s="1"/>
      <c r="E716" s="1"/>
      <c r="F716" s="1" t="s">
        <v>30</v>
      </c>
      <c r="G716" s="1" t="s">
        <v>2650</v>
      </c>
      <c r="H716" s="1" t="s">
        <v>2651</v>
      </c>
      <c r="I716" s="1"/>
      <c r="J716" s="1" t="s">
        <v>2652</v>
      </c>
      <c r="K716" s="1"/>
      <c r="L716" s="1"/>
      <c r="M716" s="1" t="s">
        <v>34</v>
      </c>
      <c r="N716" s="1" t="s">
        <v>341</v>
      </c>
      <c r="O716" s="1" t="s">
        <v>62</v>
      </c>
      <c r="P716" s="1" t="s">
        <v>63</v>
      </c>
      <c r="Q716" s="1"/>
      <c r="R716" s="2">
        <v>44109</v>
      </c>
      <c r="S716" s="1"/>
      <c r="W716" s="1" t="s">
        <v>38</v>
      </c>
      <c r="X716" s="2">
        <v>44116</v>
      </c>
      <c r="Y716" s="2">
        <v>44110</v>
      </c>
      <c r="Z716" s="2">
        <v>44110</v>
      </c>
      <c r="AA716" s="2">
        <v>44109</v>
      </c>
      <c r="AB716" s="2">
        <v>44109</v>
      </c>
      <c r="AC716" s="1"/>
      <c r="AD716">
        <v>1</v>
      </c>
      <c r="AE716">
        <v>115</v>
      </c>
    </row>
    <row r="717" spans="1:31" x14ac:dyDescent="0.35">
      <c r="A717">
        <v>722</v>
      </c>
      <c r="B717" s="1"/>
      <c r="C717">
        <v>0</v>
      </c>
      <c r="D717" s="1"/>
      <c r="E717" s="1" t="s">
        <v>2653</v>
      </c>
      <c r="F717" s="1" t="s">
        <v>30</v>
      </c>
      <c r="G717" s="1" t="s">
        <v>2654</v>
      </c>
      <c r="H717" s="1" t="s">
        <v>2655</v>
      </c>
      <c r="I717" s="1" t="s">
        <v>2656</v>
      </c>
      <c r="J717" s="1" t="s">
        <v>2657</v>
      </c>
      <c r="K717" s="1"/>
      <c r="L717" s="1"/>
      <c r="M717" s="1" t="s">
        <v>34</v>
      </c>
      <c r="N717" s="1" t="s">
        <v>245</v>
      </c>
      <c r="O717" s="1" t="s">
        <v>147</v>
      </c>
      <c r="P717" s="1" t="s">
        <v>37</v>
      </c>
      <c r="Q717" s="1"/>
      <c r="R717" s="2">
        <v>44109</v>
      </c>
      <c r="S717" s="1"/>
      <c r="W717" s="1" t="s">
        <v>38</v>
      </c>
      <c r="X717" s="2">
        <v>44116</v>
      </c>
      <c r="Y717" s="2">
        <v>44151</v>
      </c>
      <c r="Z717" s="2">
        <v>44148</v>
      </c>
      <c r="AA717" s="2">
        <v>44124</v>
      </c>
      <c r="AB717" s="2">
        <v>44109</v>
      </c>
      <c r="AC717" s="1"/>
      <c r="AD717">
        <v>39</v>
      </c>
      <c r="AE717">
        <v>115</v>
      </c>
    </row>
    <row r="718" spans="1:31" x14ac:dyDescent="0.35">
      <c r="A718">
        <v>723</v>
      </c>
      <c r="B718" s="1"/>
      <c r="C718">
        <v>0</v>
      </c>
      <c r="D718" s="1"/>
      <c r="E718" s="1"/>
      <c r="F718" s="1" t="s">
        <v>30</v>
      </c>
      <c r="G718" s="1" t="s">
        <v>2658</v>
      </c>
      <c r="H718" s="1" t="s">
        <v>2659</v>
      </c>
      <c r="I718" s="1" t="s">
        <v>2660</v>
      </c>
      <c r="J718" s="1" t="s">
        <v>2661</v>
      </c>
      <c r="K718" s="1"/>
      <c r="L718" s="1"/>
      <c r="M718" s="1" t="s">
        <v>34</v>
      </c>
      <c r="N718" s="1" t="s">
        <v>245</v>
      </c>
      <c r="O718" s="1" t="s">
        <v>147</v>
      </c>
      <c r="P718" s="1" t="s">
        <v>245</v>
      </c>
      <c r="Q718" s="1" t="s">
        <v>147</v>
      </c>
      <c r="R718" s="2">
        <v>44109</v>
      </c>
      <c r="S718" s="1"/>
      <c r="W718" s="1" t="s">
        <v>38</v>
      </c>
      <c r="X718" s="2">
        <v>44116</v>
      </c>
      <c r="Y718" s="2">
        <v>44110</v>
      </c>
      <c r="Z718" s="2">
        <v>44109</v>
      </c>
      <c r="AA718" s="2">
        <v>44109</v>
      </c>
      <c r="AB718" s="2">
        <v>44109</v>
      </c>
      <c r="AC718" s="1"/>
      <c r="AD718">
        <v>0</v>
      </c>
      <c r="AE718">
        <v>115</v>
      </c>
    </row>
    <row r="719" spans="1:31" x14ac:dyDescent="0.35">
      <c r="A719">
        <v>724</v>
      </c>
      <c r="B719" s="1"/>
      <c r="C719">
        <v>0</v>
      </c>
      <c r="D719" s="1"/>
      <c r="E719" s="1"/>
      <c r="F719" s="1" t="s">
        <v>30</v>
      </c>
      <c r="G719" s="1" t="s">
        <v>2662</v>
      </c>
      <c r="H719" s="1" t="s">
        <v>2663</v>
      </c>
      <c r="I719" s="1"/>
      <c r="J719" s="1"/>
      <c r="K719" s="1"/>
      <c r="L719" s="1"/>
      <c r="M719" s="1" t="s">
        <v>34</v>
      </c>
      <c r="N719" s="1" t="s">
        <v>880</v>
      </c>
      <c r="O719" s="1" t="s">
        <v>44</v>
      </c>
      <c r="P719" s="1" t="s">
        <v>99</v>
      </c>
      <c r="Q719" s="1"/>
      <c r="R719" s="2">
        <v>44109</v>
      </c>
      <c r="S719" s="1"/>
      <c r="W719" s="1" t="s">
        <v>38</v>
      </c>
      <c r="X719" s="2">
        <v>44116</v>
      </c>
      <c r="Y719" s="2">
        <v>44110</v>
      </c>
      <c r="Z719" s="2"/>
      <c r="AA719" s="2">
        <v>44109</v>
      </c>
      <c r="AB719" s="2">
        <v>44109</v>
      </c>
      <c r="AC719" s="1"/>
      <c r="AE719">
        <v>115</v>
      </c>
    </row>
    <row r="720" spans="1:31" x14ac:dyDescent="0.35">
      <c r="A720">
        <v>725</v>
      </c>
      <c r="B720" s="1"/>
      <c r="C720">
        <v>0</v>
      </c>
      <c r="D720" s="1"/>
      <c r="E720" s="1"/>
      <c r="F720" s="1" t="s">
        <v>30</v>
      </c>
      <c r="G720" s="1" t="s">
        <v>2664</v>
      </c>
      <c r="H720" s="1" t="s">
        <v>2665</v>
      </c>
      <c r="I720" s="1"/>
      <c r="J720" s="1" t="s">
        <v>2666</v>
      </c>
      <c r="K720" s="1"/>
      <c r="L720" s="1"/>
      <c r="M720" s="1" t="s">
        <v>197</v>
      </c>
      <c r="N720" s="1" t="s">
        <v>266</v>
      </c>
      <c r="O720" s="1" t="s">
        <v>267</v>
      </c>
      <c r="P720" s="1" t="s">
        <v>266</v>
      </c>
      <c r="Q720" s="1" t="s">
        <v>267</v>
      </c>
      <c r="R720" s="2">
        <v>44109</v>
      </c>
      <c r="S720" s="1"/>
      <c r="W720" s="1" t="s">
        <v>38</v>
      </c>
      <c r="X720" s="2">
        <v>44115</v>
      </c>
      <c r="Y720" s="2">
        <v>44117</v>
      </c>
      <c r="Z720" s="2">
        <v>44113</v>
      </c>
      <c r="AA720" s="2">
        <v>44110</v>
      </c>
      <c r="AB720" s="2">
        <v>44109</v>
      </c>
      <c r="AC720" s="1"/>
      <c r="AD720">
        <v>4</v>
      </c>
      <c r="AE720">
        <v>115</v>
      </c>
    </row>
    <row r="721" spans="1:31" x14ac:dyDescent="0.35">
      <c r="A721">
        <v>726</v>
      </c>
      <c r="B721" s="1"/>
      <c r="C721">
        <v>0</v>
      </c>
      <c r="D721" s="1"/>
      <c r="E721" s="1"/>
      <c r="F721" s="1" t="s">
        <v>30</v>
      </c>
      <c r="G721" s="1" t="s">
        <v>2667</v>
      </c>
      <c r="H721" s="1" t="s">
        <v>2668</v>
      </c>
      <c r="I721" s="1"/>
      <c r="J721" s="1" t="s">
        <v>2669</v>
      </c>
      <c r="K721" s="1"/>
      <c r="L721" s="1"/>
      <c r="M721" s="1" t="s">
        <v>34</v>
      </c>
      <c r="N721" s="1" t="s">
        <v>880</v>
      </c>
      <c r="O721" s="1" t="s">
        <v>44</v>
      </c>
      <c r="P721" s="1" t="s">
        <v>43</v>
      </c>
      <c r="Q721" s="1" t="s">
        <v>44</v>
      </c>
      <c r="R721" s="2">
        <v>44110</v>
      </c>
      <c r="S721" s="1"/>
      <c r="W721" s="1" t="s">
        <v>38</v>
      </c>
      <c r="X721" s="2">
        <v>44117</v>
      </c>
      <c r="Y721" s="2">
        <v>44153</v>
      </c>
      <c r="Z721" s="2">
        <v>44149</v>
      </c>
      <c r="AA721" s="2">
        <v>44152</v>
      </c>
      <c r="AB721" s="2">
        <v>44110</v>
      </c>
      <c r="AC721" s="1"/>
      <c r="AD721">
        <v>39</v>
      </c>
      <c r="AE721">
        <v>114</v>
      </c>
    </row>
    <row r="722" spans="1:31" x14ac:dyDescent="0.35">
      <c r="A722">
        <v>727</v>
      </c>
      <c r="B722" s="1"/>
      <c r="C722">
        <v>0</v>
      </c>
      <c r="D722" s="1"/>
      <c r="E722" s="1"/>
      <c r="F722" s="1" t="s">
        <v>30</v>
      </c>
      <c r="G722" s="1" t="s">
        <v>2670</v>
      </c>
      <c r="H722" s="1" t="s">
        <v>2671</v>
      </c>
      <c r="I722" s="1"/>
      <c r="J722" s="1" t="s">
        <v>2672</v>
      </c>
      <c r="K722" s="1"/>
      <c r="L722" s="1"/>
      <c r="M722" s="1" t="s">
        <v>34</v>
      </c>
      <c r="N722" s="1" t="s">
        <v>276</v>
      </c>
      <c r="O722" s="1" t="s">
        <v>277</v>
      </c>
      <c r="P722" s="1" t="s">
        <v>278</v>
      </c>
      <c r="Q722" s="1"/>
      <c r="R722" s="2">
        <v>44110</v>
      </c>
      <c r="S722" s="1"/>
      <c r="W722" s="1" t="s">
        <v>38</v>
      </c>
      <c r="X722" s="2">
        <v>44117</v>
      </c>
      <c r="Y722" s="2">
        <v>44155</v>
      </c>
      <c r="Z722" s="2">
        <v>44148</v>
      </c>
      <c r="AA722" s="2"/>
      <c r="AB722" s="2">
        <v>44110</v>
      </c>
      <c r="AC722" s="1"/>
      <c r="AD722">
        <v>38</v>
      </c>
      <c r="AE722">
        <v>114</v>
      </c>
    </row>
    <row r="723" spans="1:31" x14ac:dyDescent="0.35">
      <c r="A723">
        <v>728</v>
      </c>
      <c r="B723" s="1"/>
      <c r="C723">
        <v>0</v>
      </c>
      <c r="D723" s="1" t="s">
        <v>1091</v>
      </c>
      <c r="E723" s="1"/>
      <c r="F723" s="1" t="s">
        <v>30</v>
      </c>
      <c r="G723" s="1" t="s">
        <v>2673</v>
      </c>
      <c r="H723" s="1" t="s">
        <v>2674</v>
      </c>
      <c r="I723" s="1"/>
      <c r="J723" s="1" t="s">
        <v>2675</v>
      </c>
      <c r="K723" s="1"/>
      <c r="L723" s="1"/>
      <c r="M723" s="1" t="s">
        <v>34</v>
      </c>
      <c r="N723" s="1" t="s">
        <v>880</v>
      </c>
      <c r="O723" s="1" t="s">
        <v>44</v>
      </c>
      <c r="P723" s="1" t="s">
        <v>2676</v>
      </c>
      <c r="Q723" s="1" t="s">
        <v>917</v>
      </c>
      <c r="R723" s="2">
        <v>44110</v>
      </c>
      <c r="S723" s="1"/>
      <c r="W723" s="1" t="s">
        <v>38</v>
      </c>
      <c r="X723" s="2">
        <v>44117</v>
      </c>
      <c r="Y723" s="2">
        <v>44160</v>
      </c>
      <c r="Z723" s="2">
        <v>44158</v>
      </c>
      <c r="AA723" s="2">
        <v>44152</v>
      </c>
      <c r="AB723" s="2">
        <v>44110</v>
      </c>
      <c r="AC723" s="1"/>
      <c r="AD723">
        <v>48</v>
      </c>
      <c r="AE723">
        <v>114</v>
      </c>
    </row>
    <row r="724" spans="1:31" x14ac:dyDescent="0.35">
      <c r="A724">
        <v>729</v>
      </c>
      <c r="B724" s="1"/>
      <c r="C724">
        <v>0</v>
      </c>
      <c r="D724" s="1"/>
      <c r="E724" s="1"/>
      <c r="F724" s="1" t="s">
        <v>30</v>
      </c>
      <c r="G724" s="1" t="s">
        <v>2677</v>
      </c>
      <c r="H724" s="1" t="s">
        <v>2678</v>
      </c>
      <c r="I724" s="1" t="s">
        <v>2679</v>
      </c>
      <c r="J724" s="1" t="s">
        <v>2680</v>
      </c>
      <c r="K724" s="1"/>
      <c r="L724" s="1"/>
      <c r="M724" s="1" t="s">
        <v>197</v>
      </c>
      <c r="N724" s="1" t="s">
        <v>245</v>
      </c>
      <c r="O724" s="1" t="s">
        <v>147</v>
      </c>
      <c r="P724" s="1" t="s">
        <v>379</v>
      </c>
      <c r="Q724" s="1"/>
      <c r="R724" s="2">
        <v>44110</v>
      </c>
      <c r="S724" s="1"/>
      <c r="W724" s="1" t="s">
        <v>38</v>
      </c>
      <c r="X724" s="2">
        <v>44129</v>
      </c>
      <c r="Y724" s="2">
        <v>44144</v>
      </c>
      <c r="Z724" s="2">
        <v>44130</v>
      </c>
      <c r="AA724" s="2">
        <v>44111</v>
      </c>
      <c r="AB724" s="2">
        <v>44110</v>
      </c>
      <c r="AC724" s="1"/>
      <c r="AD724">
        <v>20</v>
      </c>
      <c r="AE724">
        <v>114</v>
      </c>
    </row>
    <row r="725" spans="1:31" x14ac:dyDescent="0.35">
      <c r="A725">
        <v>730</v>
      </c>
      <c r="B725" s="1"/>
      <c r="C725">
        <v>0</v>
      </c>
      <c r="D725" s="1"/>
      <c r="E725" s="1"/>
      <c r="F725" s="1" t="s">
        <v>30</v>
      </c>
      <c r="G725" s="1" t="s">
        <v>2681</v>
      </c>
      <c r="H725" s="1" t="s">
        <v>2682</v>
      </c>
      <c r="I725" s="1"/>
      <c r="J725" s="1" t="s">
        <v>2683</v>
      </c>
      <c r="K725" s="1"/>
      <c r="L725" s="1"/>
      <c r="M725" s="1" t="s">
        <v>34</v>
      </c>
      <c r="N725" s="1" t="s">
        <v>437</v>
      </c>
      <c r="O725" s="1" t="s">
        <v>44</v>
      </c>
      <c r="P725" s="1" t="s">
        <v>379</v>
      </c>
      <c r="Q725" s="1"/>
      <c r="R725" s="2">
        <v>44110</v>
      </c>
      <c r="S725" s="1"/>
      <c r="W725" s="1" t="s">
        <v>38</v>
      </c>
      <c r="X725" s="2">
        <v>44117</v>
      </c>
      <c r="Y725" s="2">
        <v>44144</v>
      </c>
      <c r="Z725" s="2">
        <v>44133</v>
      </c>
      <c r="AA725" s="2">
        <v>44111</v>
      </c>
      <c r="AB725" s="2">
        <v>44110</v>
      </c>
      <c r="AC725" s="1"/>
      <c r="AD725">
        <v>23</v>
      </c>
      <c r="AE725">
        <v>114</v>
      </c>
    </row>
    <row r="726" spans="1:31" x14ac:dyDescent="0.35">
      <c r="A726">
        <v>731</v>
      </c>
      <c r="B726" s="1"/>
      <c r="C726">
        <v>0</v>
      </c>
      <c r="D726" s="1"/>
      <c r="E726" s="1"/>
      <c r="F726" s="1" t="s">
        <v>30</v>
      </c>
      <c r="G726" s="1" t="s">
        <v>2684</v>
      </c>
      <c r="H726" s="1" t="s">
        <v>2685</v>
      </c>
      <c r="I726" s="1" t="s">
        <v>2686</v>
      </c>
      <c r="J726" s="1" t="s">
        <v>2687</v>
      </c>
      <c r="K726" s="1"/>
      <c r="L726" s="1"/>
      <c r="M726" s="1" t="s">
        <v>197</v>
      </c>
      <c r="N726" s="1" t="s">
        <v>245</v>
      </c>
      <c r="O726" s="1" t="s">
        <v>147</v>
      </c>
      <c r="P726" s="1" t="s">
        <v>37</v>
      </c>
      <c r="Q726" s="1"/>
      <c r="R726" s="2">
        <v>44110</v>
      </c>
      <c r="S726" s="1"/>
      <c r="W726" s="1" t="s">
        <v>38</v>
      </c>
      <c r="X726" s="2">
        <v>44113</v>
      </c>
      <c r="Y726" s="2">
        <v>44126</v>
      </c>
      <c r="Z726" s="2">
        <v>44124</v>
      </c>
      <c r="AA726" s="2">
        <v>44111</v>
      </c>
      <c r="AB726" s="2">
        <v>44110</v>
      </c>
      <c r="AC726" s="1"/>
      <c r="AD726">
        <v>14</v>
      </c>
      <c r="AE726">
        <v>114</v>
      </c>
    </row>
    <row r="727" spans="1:31" x14ac:dyDescent="0.35">
      <c r="A727">
        <v>732</v>
      </c>
      <c r="B727" s="1"/>
      <c r="C727">
        <v>0</v>
      </c>
      <c r="D727" s="1"/>
      <c r="E727" s="1"/>
      <c r="F727" s="1" t="s">
        <v>30</v>
      </c>
      <c r="G727" s="1" t="s">
        <v>2688</v>
      </c>
      <c r="H727" s="1" t="s">
        <v>2689</v>
      </c>
      <c r="I727" s="1"/>
      <c r="J727" s="1" t="s">
        <v>2690</v>
      </c>
      <c r="K727" s="1"/>
      <c r="L727" s="1"/>
      <c r="M727" s="1" t="s">
        <v>34</v>
      </c>
      <c r="N727" s="1" t="s">
        <v>326</v>
      </c>
      <c r="O727" s="1" t="s">
        <v>327</v>
      </c>
      <c r="P727" s="1" t="s">
        <v>37</v>
      </c>
      <c r="Q727" s="1"/>
      <c r="R727" s="2">
        <v>44110</v>
      </c>
      <c r="S727" s="1"/>
      <c r="W727" s="1" t="s">
        <v>38</v>
      </c>
      <c r="X727" s="2">
        <v>44117</v>
      </c>
      <c r="Y727" s="2">
        <v>44167</v>
      </c>
      <c r="Z727" s="2">
        <v>44158</v>
      </c>
      <c r="AA727" s="2"/>
      <c r="AB727" s="2">
        <v>44110</v>
      </c>
      <c r="AC727" s="1"/>
      <c r="AD727">
        <v>48</v>
      </c>
      <c r="AE727">
        <v>114</v>
      </c>
    </row>
    <row r="728" spans="1:31" x14ac:dyDescent="0.35">
      <c r="A728">
        <v>734</v>
      </c>
      <c r="B728" s="1"/>
      <c r="C728">
        <v>0</v>
      </c>
      <c r="D728" s="1"/>
      <c r="E728" s="1"/>
      <c r="F728" s="1" t="s">
        <v>30</v>
      </c>
      <c r="G728" s="1" t="s">
        <v>2691</v>
      </c>
      <c r="H728" s="1" t="s">
        <v>2692</v>
      </c>
      <c r="I728" s="1"/>
      <c r="J728" s="1" t="s">
        <v>2693</v>
      </c>
      <c r="K728" s="1"/>
      <c r="L728" s="1"/>
      <c r="M728" s="1" t="s">
        <v>34</v>
      </c>
      <c r="N728" s="1" t="s">
        <v>245</v>
      </c>
      <c r="O728" s="1" t="s">
        <v>147</v>
      </c>
      <c r="P728" s="1" t="s">
        <v>63</v>
      </c>
      <c r="Q728" s="1"/>
      <c r="R728" s="2">
        <v>44111</v>
      </c>
      <c r="S728" s="1"/>
      <c r="W728" s="1" t="s">
        <v>38</v>
      </c>
      <c r="X728" s="2">
        <v>44118</v>
      </c>
      <c r="Y728" s="2">
        <v>44118</v>
      </c>
      <c r="Z728" s="2">
        <v>44117</v>
      </c>
      <c r="AA728" s="2">
        <v>44111</v>
      </c>
      <c r="AB728" s="2">
        <v>44111</v>
      </c>
      <c r="AC728" s="1"/>
      <c r="AD728">
        <v>6</v>
      </c>
      <c r="AE728">
        <v>113</v>
      </c>
    </row>
    <row r="729" spans="1:31" x14ac:dyDescent="0.35">
      <c r="A729">
        <v>735</v>
      </c>
      <c r="B729" s="1"/>
      <c r="C729">
        <v>0</v>
      </c>
      <c r="D729" s="1"/>
      <c r="E729" s="1"/>
      <c r="F729" s="1" t="s">
        <v>30</v>
      </c>
      <c r="G729" s="1" t="s">
        <v>2694</v>
      </c>
      <c r="H729" s="1" t="s">
        <v>2695</v>
      </c>
      <c r="I729" s="1"/>
      <c r="J729" s="1" t="s">
        <v>2696</v>
      </c>
      <c r="K729" s="1"/>
      <c r="L729" s="1"/>
      <c r="M729" s="1" t="s">
        <v>197</v>
      </c>
      <c r="N729" s="1" t="s">
        <v>43</v>
      </c>
      <c r="O729" s="1" t="s">
        <v>44</v>
      </c>
      <c r="P729" s="1" t="s">
        <v>116</v>
      </c>
      <c r="Q729" s="1"/>
      <c r="R729" s="2">
        <v>44111</v>
      </c>
      <c r="S729" s="1"/>
      <c r="W729" s="1" t="s">
        <v>38</v>
      </c>
      <c r="X729" s="2">
        <v>44115</v>
      </c>
      <c r="Y729" s="2">
        <v>44140</v>
      </c>
      <c r="Z729" s="2">
        <v>44139</v>
      </c>
      <c r="AA729" s="2"/>
      <c r="AB729" s="2">
        <v>44111</v>
      </c>
      <c r="AC729" s="1"/>
      <c r="AD729">
        <v>28</v>
      </c>
      <c r="AE729">
        <v>113</v>
      </c>
    </row>
    <row r="730" spans="1:31" x14ac:dyDescent="0.35">
      <c r="A730">
        <v>736</v>
      </c>
      <c r="B730" s="1"/>
      <c r="C730">
        <v>0</v>
      </c>
      <c r="D730" s="1"/>
      <c r="E730" s="1"/>
      <c r="F730" s="1" t="s">
        <v>30</v>
      </c>
      <c r="G730" s="1" t="s">
        <v>2697</v>
      </c>
      <c r="H730" s="1" t="s">
        <v>2698</v>
      </c>
      <c r="I730" s="1"/>
      <c r="J730" s="1" t="s">
        <v>2699</v>
      </c>
      <c r="K730" s="1"/>
      <c r="L730" s="1"/>
      <c r="M730" s="1" t="s">
        <v>34</v>
      </c>
      <c r="N730" s="1" t="s">
        <v>43</v>
      </c>
      <c r="O730" s="1" t="s">
        <v>44</v>
      </c>
      <c r="P730" s="1" t="s">
        <v>99</v>
      </c>
      <c r="Q730" s="1"/>
      <c r="R730" s="2">
        <v>44112</v>
      </c>
      <c r="S730" s="1"/>
      <c r="W730" s="1" t="s">
        <v>38</v>
      </c>
      <c r="X730" s="2">
        <v>44119</v>
      </c>
      <c r="Y730" s="2">
        <v>44130</v>
      </c>
      <c r="Z730" s="2">
        <v>44127</v>
      </c>
      <c r="AA730" s="2"/>
      <c r="AB730" s="2">
        <v>44112</v>
      </c>
      <c r="AC730" s="1"/>
      <c r="AD730">
        <v>15</v>
      </c>
      <c r="AE730">
        <v>112</v>
      </c>
    </row>
    <row r="731" spans="1:31" x14ac:dyDescent="0.35">
      <c r="A731">
        <v>737</v>
      </c>
      <c r="B731" s="1"/>
      <c r="C731">
        <v>0</v>
      </c>
      <c r="D731" s="1"/>
      <c r="E731" s="1"/>
      <c r="F731" s="1" t="s">
        <v>30</v>
      </c>
      <c r="G731" s="1" t="s">
        <v>2700</v>
      </c>
      <c r="H731" s="1" t="s">
        <v>2701</v>
      </c>
      <c r="I731" s="1"/>
      <c r="J731" s="1" t="s">
        <v>2702</v>
      </c>
      <c r="K731" s="1"/>
      <c r="L731" s="1"/>
      <c r="M731" s="1" t="s">
        <v>197</v>
      </c>
      <c r="N731" s="1" t="s">
        <v>43</v>
      </c>
      <c r="O731" s="1" t="s">
        <v>44</v>
      </c>
      <c r="P731" s="1" t="s">
        <v>37</v>
      </c>
      <c r="Q731" s="1"/>
      <c r="R731" s="2">
        <v>44112</v>
      </c>
      <c r="S731" s="1"/>
      <c r="W731" s="1" t="s">
        <v>38</v>
      </c>
      <c r="X731" s="2">
        <v>44115</v>
      </c>
      <c r="Y731" s="2">
        <v>44116</v>
      </c>
      <c r="Z731" s="2">
        <v>44113</v>
      </c>
      <c r="AA731" s="2"/>
      <c r="AB731" s="2">
        <v>44112</v>
      </c>
      <c r="AC731" s="1"/>
      <c r="AD731">
        <v>1</v>
      </c>
      <c r="AE731">
        <v>112</v>
      </c>
    </row>
    <row r="732" spans="1:31" x14ac:dyDescent="0.35">
      <c r="A732">
        <v>738</v>
      </c>
      <c r="B732" s="1"/>
      <c r="C732">
        <v>0</v>
      </c>
      <c r="D732" s="1"/>
      <c r="E732" s="1"/>
      <c r="F732" s="1" t="s">
        <v>30</v>
      </c>
      <c r="G732" s="1" t="s">
        <v>2703</v>
      </c>
      <c r="H732" s="1" t="s">
        <v>2704</v>
      </c>
      <c r="I732" s="1"/>
      <c r="J732" s="1" t="s">
        <v>2705</v>
      </c>
      <c r="K732" s="1"/>
      <c r="L732" s="1"/>
      <c r="M732" s="1" t="s">
        <v>34</v>
      </c>
      <c r="N732" s="1" t="s">
        <v>437</v>
      </c>
      <c r="O732" s="1" t="s">
        <v>44</v>
      </c>
      <c r="P732" s="1" t="s">
        <v>278</v>
      </c>
      <c r="Q732" s="1"/>
      <c r="R732" s="2">
        <v>44113</v>
      </c>
      <c r="S732" s="1"/>
      <c r="W732" s="1" t="s">
        <v>38</v>
      </c>
      <c r="X732" s="2">
        <v>44120</v>
      </c>
      <c r="Y732" s="2">
        <v>44124</v>
      </c>
      <c r="Z732" s="2">
        <v>44117</v>
      </c>
      <c r="AA732" s="2">
        <v>44117</v>
      </c>
      <c r="AB732" s="2">
        <v>44113</v>
      </c>
      <c r="AC732" s="1"/>
      <c r="AD732">
        <v>4</v>
      </c>
      <c r="AE732">
        <v>111</v>
      </c>
    </row>
    <row r="733" spans="1:31" x14ac:dyDescent="0.35">
      <c r="A733">
        <v>739</v>
      </c>
      <c r="B733" s="1"/>
      <c r="C733">
        <v>0</v>
      </c>
      <c r="D733" s="1"/>
      <c r="E733" s="1"/>
      <c r="F733" s="1" t="s">
        <v>30</v>
      </c>
      <c r="G733" s="1" t="s">
        <v>2706</v>
      </c>
      <c r="H733" s="1" t="s">
        <v>2707</v>
      </c>
      <c r="I733" s="1"/>
      <c r="J733" s="1" t="s">
        <v>2708</v>
      </c>
      <c r="K733" s="1"/>
      <c r="L733" s="1"/>
      <c r="M733" s="1" t="s">
        <v>197</v>
      </c>
      <c r="N733" s="1" t="s">
        <v>880</v>
      </c>
      <c r="O733" s="1" t="s">
        <v>44</v>
      </c>
      <c r="P733" s="1" t="s">
        <v>63</v>
      </c>
      <c r="Q733" s="1"/>
      <c r="R733" s="2">
        <v>44116</v>
      </c>
      <c r="S733" s="1"/>
      <c r="W733" s="1" t="s">
        <v>38</v>
      </c>
      <c r="X733" s="2">
        <v>44119</v>
      </c>
      <c r="Y733" s="2">
        <v>44124</v>
      </c>
      <c r="Z733" s="2">
        <v>44123</v>
      </c>
      <c r="AA733" s="2">
        <v>44116</v>
      </c>
      <c r="AB733" s="2">
        <v>44116</v>
      </c>
      <c r="AC733" s="1"/>
      <c r="AD733">
        <v>7</v>
      </c>
      <c r="AE733">
        <v>108</v>
      </c>
    </row>
    <row r="734" spans="1:31" x14ac:dyDescent="0.35">
      <c r="A734">
        <v>740</v>
      </c>
      <c r="B734" s="1"/>
      <c r="C734">
        <v>0</v>
      </c>
      <c r="D734" s="1" t="s">
        <v>206</v>
      </c>
      <c r="E734" s="1" t="s">
        <v>380</v>
      </c>
      <c r="F734" s="1" t="s">
        <v>30</v>
      </c>
      <c r="G734" s="1" t="s">
        <v>2709</v>
      </c>
      <c r="H734" s="1" t="s">
        <v>2710</v>
      </c>
      <c r="I734" s="1" t="s">
        <v>2711</v>
      </c>
      <c r="J734" s="1" t="s">
        <v>2712</v>
      </c>
      <c r="K734" s="1"/>
      <c r="L734" s="1"/>
      <c r="M734" s="1" t="s">
        <v>34</v>
      </c>
      <c r="N734" s="1" t="s">
        <v>97</v>
      </c>
      <c r="O734" s="1" t="s">
        <v>98</v>
      </c>
      <c r="P734" s="1" t="s">
        <v>99</v>
      </c>
      <c r="Q734" s="1"/>
      <c r="R734" s="2">
        <v>44144</v>
      </c>
      <c r="S734" s="1"/>
      <c r="W734" s="1" t="s">
        <v>38</v>
      </c>
      <c r="X734" s="2">
        <v>44123</v>
      </c>
      <c r="Y734" s="2">
        <v>44151</v>
      </c>
      <c r="Z734" s="2">
        <v>44133</v>
      </c>
      <c r="AA734" s="2">
        <v>44117</v>
      </c>
      <c r="AB734" s="2">
        <v>44116</v>
      </c>
      <c r="AC734" s="1"/>
      <c r="AD734">
        <v>17</v>
      </c>
      <c r="AE734">
        <v>108</v>
      </c>
    </row>
    <row r="735" spans="1:31" x14ac:dyDescent="0.35">
      <c r="A735">
        <v>741</v>
      </c>
      <c r="B735" s="1"/>
      <c r="C735">
        <v>0</v>
      </c>
      <c r="D735" s="1" t="s">
        <v>206</v>
      </c>
      <c r="E735" s="1" t="s">
        <v>212</v>
      </c>
      <c r="F735" s="1" t="s">
        <v>30</v>
      </c>
      <c r="G735" s="1" t="s">
        <v>2713</v>
      </c>
      <c r="H735" s="1" t="s">
        <v>2714</v>
      </c>
      <c r="I735" s="1" t="s">
        <v>2715</v>
      </c>
      <c r="J735" s="1" t="s">
        <v>2716</v>
      </c>
      <c r="K735" s="1"/>
      <c r="L735" s="1"/>
      <c r="M735" s="1" t="s">
        <v>34</v>
      </c>
      <c r="N735" s="1" t="s">
        <v>97</v>
      </c>
      <c r="O735" s="1" t="s">
        <v>98</v>
      </c>
      <c r="P735" s="1" t="s">
        <v>99</v>
      </c>
      <c r="Q735" s="1"/>
      <c r="R735" s="2">
        <v>44117</v>
      </c>
      <c r="S735" s="1"/>
      <c r="W735" s="1" t="s">
        <v>38</v>
      </c>
      <c r="X735" s="2">
        <v>44124</v>
      </c>
      <c r="Y735" s="2">
        <v>44118</v>
      </c>
      <c r="Z735" s="2">
        <v>44117</v>
      </c>
      <c r="AA735" s="2">
        <v>44117</v>
      </c>
      <c r="AB735" s="2">
        <v>44117</v>
      </c>
      <c r="AC735" s="1"/>
      <c r="AD735">
        <v>0</v>
      </c>
      <c r="AE735">
        <v>107</v>
      </c>
    </row>
    <row r="736" spans="1:31" x14ac:dyDescent="0.35">
      <c r="A736">
        <v>742</v>
      </c>
      <c r="B736" s="1"/>
      <c r="C736">
        <v>0</v>
      </c>
      <c r="D736" s="1" t="s">
        <v>206</v>
      </c>
      <c r="E736" s="1" t="s">
        <v>231</v>
      </c>
      <c r="F736" s="1" t="s">
        <v>30</v>
      </c>
      <c r="G736" s="1" t="s">
        <v>2717</v>
      </c>
      <c r="H736" s="1" t="s">
        <v>2718</v>
      </c>
      <c r="I736" s="1"/>
      <c r="J736" s="1" t="s">
        <v>2719</v>
      </c>
      <c r="K736" s="1"/>
      <c r="L736" s="1"/>
      <c r="M736" s="1" t="s">
        <v>197</v>
      </c>
      <c r="N736" s="1" t="s">
        <v>97</v>
      </c>
      <c r="O736" s="1" t="s">
        <v>98</v>
      </c>
      <c r="P736" s="1" t="s">
        <v>37</v>
      </c>
      <c r="Q736" s="1"/>
      <c r="R736" s="2">
        <v>44148</v>
      </c>
      <c r="S736" s="1"/>
      <c r="W736" s="1" t="s">
        <v>38</v>
      </c>
      <c r="X736" s="2">
        <v>44147</v>
      </c>
      <c r="Y736" s="2">
        <v>44154</v>
      </c>
      <c r="Z736" s="2">
        <v>44148</v>
      </c>
      <c r="AA736" s="2">
        <v>44145</v>
      </c>
      <c r="AB736" s="2">
        <v>44117</v>
      </c>
      <c r="AC736" s="1"/>
      <c r="AD736">
        <v>31</v>
      </c>
      <c r="AE736">
        <v>107</v>
      </c>
    </row>
    <row r="737" spans="1:31" x14ac:dyDescent="0.35">
      <c r="A737">
        <v>743</v>
      </c>
      <c r="B737" s="1"/>
      <c r="C737">
        <v>0</v>
      </c>
      <c r="D737" s="1"/>
      <c r="E737" s="1"/>
      <c r="F737" s="1" t="s">
        <v>30</v>
      </c>
      <c r="G737" s="1" t="s">
        <v>2720</v>
      </c>
      <c r="H737" s="1" t="s">
        <v>2721</v>
      </c>
      <c r="I737" s="1"/>
      <c r="J737" s="1" t="s">
        <v>2722</v>
      </c>
      <c r="K737" s="1"/>
      <c r="L737" s="1"/>
      <c r="M737" s="1" t="s">
        <v>34</v>
      </c>
      <c r="N737" s="1" t="s">
        <v>437</v>
      </c>
      <c r="O737" s="1" t="s">
        <v>44</v>
      </c>
      <c r="P737" s="1" t="s">
        <v>278</v>
      </c>
      <c r="Q737" s="1"/>
      <c r="R737" s="2">
        <v>44117</v>
      </c>
      <c r="S737" s="1"/>
      <c r="W737" s="1" t="s">
        <v>38</v>
      </c>
      <c r="X737" s="2">
        <v>44124</v>
      </c>
      <c r="Y737" s="2">
        <v>44124</v>
      </c>
      <c r="Z737" s="2">
        <v>44118</v>
      </c>
      <c r="AA737" s="2">
        <v>44117</v>
      </c>
      <c r="AB737" s="2">
        <v>44117</v>
      </c>
      <c r="AC737" s="1"/>
      <c r="AD737">
        <v>1</v>
      </c>
      <c r="AE737">
        <v>107</v>
      </c>
    </row>
    <row r="738" spans="1:31" x14ac:dyDescent="0.35">
      <c r="A738">
        <v>744</v>
      </c>
      <c r="B738" s="1"/>
      <c r="C738">
        <v>0</v>
      </c>
      <c r="D738" s="1"/>
      <c r="E738" s="1"/>
      <c r="F738" s="1" t="s">
        <v>30</v>
      </c>
      <c r="G738" s="1" t="s">
        <v>2723</v>
      </c>
      <c r="H738" s="1" t="s">
        <v>2724</v>
      </c>
      <c r="I738" s="1" t="s">
        <v>2725</v>
      </c>
      <c r="J738" s="1" t="s">
        <v>2726</v>
      </c>
      <c r="K738" s="1"/>
      <c r="L738" s="1"/>
      <c r="M738" s="1" t="s">
        <v>197</v>
      </c>
      <c r="N738" s="1" t="s">
        <v>245</v>
      </c>
      <c r="O738" s="1" t="s">
        <v>147</v>
      </c>
      <c r="P738" s="1" t="s">
        <v>63</v>
      </c>
      <c r="Q738" s="1"/>
      <c r="R738" s="2">
        <v>44119</v>
      </c>
      <c r="S738" s="1"/>
      <c r="W738" s="1" t="s">
        <v>38</v>
      </c>
      <c r="X738" s="2">
        <v>44122</v>
      </c>
      <c r="Y738" s="2">
        <v>44133</v>
      </c>
      <c r="Z738" s="2">
        <v>44131</v>
      </c>
      <c r="AA738" s="2">
        <v>44124</v>
      </c>
      <c r="AB738" s="2">
        <v>44119</v>
      </c>
      <c r="AC738" s="1"/>
      <c r="AD738">
        <v>12</v>
      </c>
      <c r="AE738">
        <v>105</v>
      </c>
    </row>
    <row r="739" spans="1:31" x14ac:dyDescent="0.35">
      <c r="A739">
        <v>745</v>
      </c>
      <c r="B739" s="1"/>
      <c r="C739">
        <v>0</v>
      </c>
      <c r="D739" s="1"/>
      <c r="E739" s="1"/>
      <c r="F739" s="1" t="s">
        <v>30</v>
      </c>
      <c r="G739" s="1" t="s">
        <v>2727</v>
      </c>
      <c r="H739" s="1" t="s">
        <v>2728</v>
      </c>
      <c r="I739" s="1"/>
      <c r="J739" s="1" t="s">
        <v>2729</v>
      </c>
      <c r="K739" s="1"/>
      <c r="L739" s="1"/>
      <c r="M739" s="1" t="s">
        <v>197</v>
      </c>
      <c r="N739" s="1" t="s">
        <v>129</v>
      </c>
      <c r="O739" s="1" t="s">
        <v>44</v>
      </c>
      <c r="P739" s="1" t="s">
        <v>37</v>
      </c>
      <c r="Q739" s="1"/>
      <c r="R739" s="2">
        <v>44119</v>
      </c>
      <c r="S739" s="1"/>
      <c r="W739" s="1" t="s">
        <v>38</v>
      </c>
      <c r="X739" s="2">
        <v>44122</v>
      </c>
      <c r="Y739" s="2">
        <v>44167</v>
      </c>
      <c r="Z739" s="2">
        <v>44165</v>
      </c>
      <c r="AA739" s="2"/>
      <c r="AB739" s="2">
        <v>44119</v>
      </c>
      <c r="AC739" s="1"/>
      <c r="AD739">
        <v>46</v>
      </c>
      <c r="AE739">
        <v>105</v>
      </c>
    </row>
    <row r="740" spans="1:31" x14ac:dyDescent="0.35">
      <c r="A740">
        <v>746</v>
      </c>
      <c r="B740" s="1"/>
      <c r="C740">
        <v>0</v>
      </c>
      <c r="D740" s="1"/>
      <c r="E740" s="1"/>
      <c r="F740" s="1" t="s">
        <v>30</v>
      </c>
      <c r="G740" s="1" t="s">
        <v>2730</v>
      </c>
      <c r="H740" s="1" t="s">
        <v>2731</v>
      </c>
      <c r="I740" s="1"/>
      <c r="J740" s="1" t="s">
        <v>2732</v>
      </c>
      <c r="K740" s="1"/>
      <c r="L740" s="1"/>
      <c r="M740" s="1" t="s">
        <v>34</v>
      </c>
      <c r="N740" s="1" t="s">
        <v>341</v>
      </c>
      <c r="O740" s="1" t="s">
        <v>62</v>
      </c>
      <c r="P740" s="1" t="s">
        <v>37</v>
      </c>
      <c r="Q740" s="1"/>
      <c r="R740" s="2">
        <v>44123</v>
      </c>
      <c r="S740" s="1"/>
      <c r="W740" s="1" t="s">
        <v>38</v>
      </c>
      <c r="X740" s="2">
        <v>44130</v>
      </c>
      <c r="Y740" s="2">
        <v>44140</v>
      </c>
      <c r="Z740" s="2">
        <v>44139</v>
      </c>
      <c r="AA740" s="2">
        <v>44132</v>
      </c>
      <c r="AB740" s="2">
        <v>44123</v>
      </c>
      <c r="AC740" s="1"/>
      <c r="AD740">
        <v>16</v>
      </c>
      <c r="AE740">
        <v>101</v>
      </c>
    </row>
    <row r="741" spans="1:31" x14ac:dyDescent="0.35">
      <c r="A741">
        <v>747</v>
      </c>
      <c r="B741" s="1"/>
      <c r="C741">
        <v>0</v>
      </c>
      <c r="D741" s="1"/>
      <c r="E741" s="1"/>
      <c r="F741" s="1" t="s">
        <v>30</v>
      </c>
      <c r="G741" s="1" t="s">
        <v>2733</v>
      </c>
      <c r="H741" s="1" t="s">
        <v>2734</v>
      </c>
      <c r="I741" s="1"/>
      <c r="J741" s="1" t="s">
        <v>2735</v>
      </c>
      <c r="K741" s="1"/>
      <c r="L741" s="1"/>
      <c r="M741" s="1" t="s">
        <v>197</v>
      </c>
      <c r="N741" s="1" t="s">
        <v>245</v>
      </c>
      <c r="O741" s="1" t="s">
        <v>147</v>
      </c>
      <c r="P741" s="1" t="s">
        <v>379</v>
      </c>
      <c r="Q741" s="1"/>
      <c r="R741" s="2">
        <v>44131</v>
      </c>
      <c r="S741" s="1"/>
      <c r="W741" s="1" t="s">
        <v>38</v>
      </c>
      <c r="X741" s="2">
        <v>44126</v>
      </c>
      <c r="Y741" s="2">
        <v>44145</v>
      </c>
      <c r="Z741" s="2">
        <v>44133</v>
      </c>
      <c r="AA741" s="2">
        <v>44123</v>
      </c>
      <c r="AB741" s="2">
        <v>44123</v>
      </c>
      <c r="AC741" s="1"/>
      <c r="AD741">
        <v>10</v>
      </c>
      <c r="AE741">
        <v>101</v>
      </c>
    </row>
    <row r="742" spans="1:31" x14ac:dyDescent="0.35">
      <c r="A742">
        <v>748</v>
      </c>
      <c r="B742" s="1"/>
      <c r="C742">
        <v>0</v>
      </c>
      <c r="D742" s="1"/>
      <c r="E742" s="1"/>
      <c r="F742" s="1" t="s">
        <v>30</v>
      </c>
      <c r="G742" s="1" t="s">
        <v>2736</v>
      </c>
      <c r="H742" s="1" t="s">
        <v>2737</v>
      </c>
      <c r="I742" s="1"/>
      <c r="J742" s="1" t="s">
        <v>2738</v>
      </c>
      <c r="K742" s="1"/>
      <c r="L742" s="1"/>
      <c r="M742" s="1" t="s">
        <v>197</v>
      </c>
      <c r="N742" s="1" t="s">
        <v>43</v>
      </c>
      <c r="O742" s="1" t="s">
        <v>44</v>
      </c>
      <c r="P742" s="1" t="s">
        <v>63</v>
      </c>
      <c r="Q742" s="1"/>
      <c r="R742" s="2">
        <v>44123</v>
      </c>
      <c r="S742" s="1"/>
      <c r="W742" s="1" t="s">
        <v>38</v>
      </c>
      <c r="X742" s="2">
        <v>44126</v>
      </c>
      <c r="Y742" s="2">
        <v>44124</v>
      </c>
      <c r="Z742" s="2">
        <v>44123</v>
      </c>
      <c r="AA742" s="2">
        <v>44123</v>
      </c>
      <c r="AB742" s="2">
        <v>44123</v>
      </c>
      <c r="AC742" s="1"/>
      <c r="AD742">
        <v>0</v>
      </c>
      <c r="AE742">
        <v>101</v>
      </c>
    </row>
    <row r="743" spans="1:31" x14ac:dyDescent="0.35">
      <c r="A743">
        <v>749</v>
      </c>
      <c r="B743" s="1"/>
      <c r="C743">
        <v>0</v>
      </c>
      <c r="D743" s="1"/>
      <c r="E743" s="1" t="s">
        <v>2739</v>
      </c>
      <c r="F743" s="1" t="s">
        <v>30</v>
      </c>
      <c r="G743" s="1" t="s">
        <v>2740</v>
      </c>
      <c r="H743" s="1" t="s">
        <v>2741</v>
      </c>
      <c r="I743" s="1"/>
      <c r="J743" s="1" t="s">
        <v>2742</v>
      </c>
      <c r="K743" s="1"/>
      <c r="L743" s="1"/>
      <c r="M743" s="1" t="s">
        <v>197</v>
      </c>
      <c r="N743" s="1" t="s">
        <v>43</v>
      </c>
      <c r="O743" s="1" t="s">
        <v>44</v>
      </c>
      <c r="P743" s="1" t="s">
        <v>37</v>
      </c>
      <c r="Q743" s="1"/>
      <c r="R743" s="2">
        <v>44124</v>
      </c>
      <c r="S743" s="1"/>
      <c r="W743" s="1" t="s">
        <v>38</v>
      </c>
      <c r="X743" s="2">
        <v>44127</v>
      </c>
      <c r="Y743" s="2">
        <v>44125</v>
      </c>
      <c r="Z743" s="2">
        <v>44124</v>
      </c>
      <c r="AA743" s="2"/>
      <c r="AB743" s="2">
        <v>44124</v>
      </c>
      <c r="AC743" s="1"/>
      <c r="AD743">
        <v>0</v>
      </c>
      <c r="AE743">
        <v>100</v>
      </c>
    </row>
    <row r="744" spans="1:31" x14ac:dyDescent="0.35">
      <c r="A744">
        <v>750</v>
      </c>
      <c r="B744" s="1"/>
      <c r="C744">
        <v>0</v>
      </c>
      <c r="D744" s="1"/>
      <c r="E744" s="1"/>
      <c r="F744" s="1" t="s">
        <v>30</v>
      </c>
      <c r="G744" s="1" t="s">
        <v>2743</v>
      </c>
      <c r="H744" s="1" t="s">
        <v>2744</v>
      </c>
      <c r="I744" s="1" t="s">
        <v>2745</v>
      </c>
      <c r="J744" s="1" t="s">
        <v>2746</v>
      </c>
      <c r="K744" s="1"/>
      <c r="L744" s="1"/>
      <c r="M744" s="1" t="s">
        <v>34</v>
      </c>
      <c r="N744" s="1" t="s">
        <v>245</v>
      </c>
      <c r="O744" s="1" t="s">
        <v>147</v>
      </c>
      <c r="P744" s="1" t="s">
        <v>63</v>
      </c>
      <c r="Q744" s="1"/>
      <c r="R744" s="2">
        <v>44124</v>
      </c>
      <c r="S744" s="1"/>
      <c r="W744" s="1" t="s">
        <v>38</v>
      </c>
      <c r="X744" s="2">
        <v>44131</v>
      </c>
      <c r="Y744" s="2">
        <v>44154</v>
      </c>
      <c r="Z744" s="2">
        <v>44147</v>
      </c>
      <c r="AA744" s="2">
        <v>44146</v>
      </c>
      <c r="AB744" s="2">
        <v>44124</v>
      </c>
      <c r="AC744" s="1"/>
      <c r="AD744">
        <v>23</v>
      </c>
      <c r="AE744">
        <v>100</v>
      </c>
    </row>
    <row r="745" spans="1:31" x14ac:dyDescent="0.35">
      <c r="A745">
        <v>751</v>
      </c>
      <c r="B745" s="1"/>
      <c r="C745">
        <v>0</v>
      </c>
      <c r="D745" s="1"/>
      <c r="E745" s="1"/>
      <c r="F745" s="1" t="s">
        <v>30</v>
      </c>
      <c r="G745" s="1" t="s">
        <v>2747</v>
      </c>
      <c r="H745" s="1" t="s">
        <v>2748</v>
      </c>
      <c r="I745" s="1" t="s">
        <v>2749</v>
      </c>
      <c r="J745" s="1" t="s">
        <v>2750</v>
      </c>
      <c r="K745" s="1"/>
      <c r="L745" s="1"/>
      <c r="M745" s="1" t="s">
        <v>197</v>
      </c>
      <c r="N745" s="1" t="s">
        <v>99</v>
      </c>
      <c r="O745" s="1"/>
      <c r="P745" s="1" t="s">
        <v>2751</v>
      </c>
      <c r="Q745" s="1" t="s">
        <v>2752</v>
      </c>
      <c r="R745" s="2">
        <v>44166</v>
      </c>
      <c r="S745" s="1"/>
      <c r="W745" s="1" t="s">
        <v>38</v>
      </c>
      <c r="X745" s="2">
        <v>44147</v>
      </c>
      <c r="Y745" s="2"/>
      <c r="Z745" s="2">
        <v>44181</v>
      </c>
      <c r="AA745" s="2">
        <v>44217</v>
      </c>
      <c r="AB745" s="2">
        <v>44125</v>
      </c>
      <c r="AC745" s="1"/>
      <c r="AD745">
        <v>56</v>
      </c>
      <c r="AE745">
        <v>99</v>
      </c>
    </row>
    <row r="746" spans="1:31" x14ac:dyDescent="0.35">
      <c r="A746">
        <v>752</v>
      </c>
      <c r="B746" s="1"/>
      <c r="C746">
        <v>0</v>
      </c>
      <c r="D746" s="1"/>
      <c r="E746" s="1"/>
      <c r="F746" s="1" t="s">
        <v>30</v>
      </c>
      <c r="G746" s="1" t="s">
        <v>2753</v>
      </c>
      <c r="H746" s="1" t="s">
        <v>2754</v>
      </c>
      <c r="I746" s="1" t="s">
        <v>2755</v>
      </c>
      <c r="J746" s="1" t="s">
        <v>2756</v>
      </c>
      <c r="K746" s="1"/>
      <c r="L746" s="1"/>
      <c r="M746" s="1" t="s">
        <v>34</v>
      </c>
      <c r="N746" s="1" t="s">
        <v>245</v>
      </c>
      <c r="O746" s="1" t="s">
        <v>147</v>
      </c>
      <c r="P746" s="1" t="s">
        <v>37</v>
      </c>
      <c r="Q746" s="1"/>
      <c r="R746" s="2">
        <v>44125</v>
      </c>
      <c r="S746" s="1"/>
      <c r="W746" s="1" t="s">
        <v>38</v>
      </c>
      <c r="X746" s="2">
        <v>44132</v>
      </c>
      <c r="Y746" s="2">
        <v>44132</v>
      </c>
      <c r="Z746" s="2">
        <v>44127</v>
      </c>
      <c r="AA746" s="2">
        <v>44127</v>
      </c>
      <c r="AB746" s="2">
        <v>44125</v>
      </c>
      <c r="AC746" s="1"/>
      <c r="AD746">
        <v>2</v>
      </c>
      <c r="AE746">
        <v>99</v>
      </c>
    </row>
    <row r="747" spans="1:31" x14ac:dyDescent="0.35">
      <c r="A747">
        <v>753</v>
      </c>
      <c r="B747" s="1"/>
      <c r="C747">
        <v>0</v>
      </c>
      <c r="D747" s="1"/>
      <c r="E747" s="1"/>
      <c r="F747" s="1" t="s">
        <v>30</v>
      </c>
      <c r="G747" s="1" t="s">
        <v>2757</v>
      </c>
      <c r="H747" s="1" t="s">
        <v>2758</v>
      </c>
      <c r="I747" s="1"/>
      <c r="J747" s="1" t="s">
        <v>2759</v>
      </c>
      <c r="K747" s="1"/>
      <c r="L747" s="1"/>
      <c r="M747" s="1" t="s">
        <v>197</v>
      </c>
      <c r="N747" s="1" t="s">
        <v>341</v>
      </c>
      <c r="O747" s="1" t="s">
        <v>62</v>
      </c>
      <c r="P747" s="1" t="s">
        <v>63</v>
      </c>
      <c r="Q747" s="1"/>
      <c r="R747" s="2">
        <v>44127</v>
      </c>
      <c r="S747" s="1"/>
      <c r="W747" s="1" t="s">
        <v>38</v>
      </c>
      <c r="X747" s="2">
        <v>44133</v>
      </c>
      <c r="Y747" s="2">
        <v>44137</v>
      </c>
      <c r="Z747" s="2">
        <v>44133</v>
      </c>
      <c r="AA747" s="2">
        <v>44133</v>
      </c>
      <c r="AB747" s="2">
        <v>44127</v>
      </c>
      <c r="AC747" s="1"/>
      <c r="AD747">
        <v>6</v>
      </c>
      <c r="AE747">
        <v>97</v>
      </c>
    </row>
    <row r="748" spans="1:31" x14ac:dyDescent="0.35">
      <c r="A748">
        <v>754</v>
      </c>
      <c r="B748" s="1"/>
      <c r="C748">
        <v>0</v>
      </c>
      <c r="D748" s="1"/>
      <c r="E748" s="1"/>
      <c r="F748" s="1" t="s">
        <v>30</v>
      </c>
      <c r="G748" s="1" t="s">
        <v>2760</v>
      </c>
      <c r="H748" s="1" t="s">
        <v>2761</v>
      </c>
      <c r="I748" s="1"/>
      <c r="J748" s="1" t="s">
        <v>2762</v>
      </c>
      <c r="K748" s="1"/>
      <c r="L748" s="1"/>
      <c r="M748" s="1" t="s">
        <v>197</v>
      </c>
      <c r="N748" s="1" t="s">
        <v>341</v>
      </c>
      <c r="O748" s="1" t="s">
        <v>62</v>
      </c>
      <c r="P748" s="1" t="s">
        <v>63</v>
      </c>
      <c r="Q748" s="1"/>
      <c r="R748" s="2">
        <v>44127</v>
      </c>
      <c r="S748" s="1"/>
      <c r="W748" s="1" t="s">
        <v>38</v>
      </c>
      <c r="X748" s="2">
        <v>44133</v>
      </c>
      <c r="Y748" s="2">
        <v>44131</v>
      </c>
      <c r="Z748" s="2">
        <v>44131</v>
      </c>
      <c r="AA748" s="2">
        <v>44127</v>
      </c>
      <c r="AB748" s="2">
        <v>44127</v>
      </c>
      <c r="AC748" s="1"/>
      <c r="AD748">
        <v>4</v>
      </c>
      <c r="AE748">
        <v>97</v>
      </c>
    </row>
    <row r="749" spans="1:31" x14ac:dyDescent="0.35">
      <c r="A749">
        <v>755</v>
      </c>
      <c r="B749" s="1"/>
      <c r="C749">
        <v>0</v>
      </c>
      <c r="D749" s="1"/>
      <c r="E749" s="1" t="s">
        <v>2763</v>
      </c>
      <c r="F749" s="1" t="s">
        <v>30</v>
      </c>
      <c r="G749" s="1" t="s">
        <v>2764</v>
      </c>
      <c r="H749" s="1" t="s">
        <v>2765</v>
      </c>
      <c r="I749" s="1"/>
      <c r="J749" s="1" t="s">
        <v>2766</v>
      </c>
      <c r="K749" s="1"/>
      <c r="L749" s="1"/>
      <c r="M749" s="1" t="s">
        <v>197</v>
      </c>
      <c r="N749" s="1" t="s">
        <v>880</v>
      </c>
      <c r="O749" s="1" t="s">
        <v>44</v>
      </c>
      <c r="P749" s="1" t="s">
        <v>99</v>
      </c>
      <c r="Q749" s="1"/>
      <c r="R749" s="2">
        <v>44127</v>
      </c>
      <c r="S749" s="1"/>
      <c r="W749" s="1" t="s">
        <v>38</v>
      </c>
      <c r="X749" s="2">
        <v>44133</v>
      </c>
      <c r="Y749" s="2"/>
      <c r="Z749" s="2">
        <v>44182</v>
      </c>
      <c r="AA749" s="2">
        <v>44127</v>
      </c>
      <c r="AB749" s="2">
        <v>44127</v>
      </c>
      <c r="AC749" s="1"/>
      <c r="AD749">
        <v>55</v>
      </c>
      <c r="AE749">
        <v>97</v>
      </c>
    </row>
    <row r="750" spans="1:31" x14ac:dyDescent="0.35">
      <c r="A750">
        <v>756</v>
      </c>
      <c r="B750" s="1"/>
      <c r="C750">
        <v>0</v>
      </c>
      <c r="D750" s="1"/>
      <c r="E750" s="1" t="s">
        <v>2767</v>
      </c>
      <c r="F750" s="1" t="s">
        <v>30</v>
      </c>
      <c r="G750" s="1" t="s">
        <v>2768</v>
      </c>
      <c r="H750" s="1" t="s">
        <v>2769</v>
      </c>
      <c r="I750" s="1"/>
      <c r="J750" s="1" t="s">
        <v>2770</v>
      </c>
      <c r="K750" s="1"/>
      <c r="L750" s="1"/>
      <c r="M750" s="1" t="s">
        <v>197</v>
      </c>
      <c r="N750" s="1" t="s">
        <v>245</v>
      </c>
      <c r="O750" s="1" t="s">
        <v>147</v>
      </c>
      <c r="P750" s="1" t="s">
        <v>37</v>
      </c>
      <c r="Q750" s="1"/>
      <c r="R750" s="2">
        <v>44127</v>
      </c>
      <c r="S750" s="1"/>
      <c r="W750" s="1" t="s">
        <v>38</v>
      </c>
      <c r="X750" s="2">
        <v>44133</v>
      </c>
      <c r="Y750" s="2">
        <v>44144</v>
      </c>
      <c r="Z750" s="2">
        <v>44138</v>
      </c>
      <c r="AA750" s="2">
        <v>44133</v>
      </c>
      <c r="AB750" s="2">
        <v>44127</v>
      </c>
      <c r="AC750" s="1"/>
      <c r="AD750">
        <v>11</v>
      </c>
      <c r="AE750">
        <v>97</v>
      </c>
    </row>
    <row r="751" spans="1:31" x14ac:dyDescent="0.35">
      <c r="A751">
        <v>757</v>
      </c>
      <c r="B751" s="1"/>
      <c r="C751">
        <v>0</v>
      </c>
      <c r="D751" s="1" t="s">
        <v>2771</v>
      </c>
      <c r="E751" s="1"/>
      <c r="F751" s="1" t="s">
        <v>30</v>
      </c>
      <c r="G751" s="1" t="s">
        <v>2772</v>
      </c>
      <c r="H751" s="1" t="s">
        <v>2773</v>
      </c>
      <c r="I751" s="1" t="s">
        <v>2774</v>
      </c>
      <c r="J751" s="1"/>
      <c r="K751" s="1" t="s">
        <v>116</v>
      </c>
      <c r="L751" s="1"/>
      <c r="M751" s="1" t="s">
        <v>34</v>
      </c>
      <c r="N751" s="1" t="s">
        <v>43</v>
      </c>
      <c r="O751" s="1" t="s">
        <v>44</v>
      </c>
      <c r="P751" s="1" t="s">
        <v>116</v>
      </c>
      <c r="Q751" s="1"/>
      <c r="R751" s="2">
        <v>44127</v>
      </c>
      <c r="S751" s="1"/>
      <c r="W751" s="1" t="s">
        <v>118</v>
      </c>
      <c r="X751" s="2">
        <v>44134</v>
      </c>
      <c r="Y751" s="2"/>
      <c r="Z751" s="2"/>
      <c r="AA751" s="2">
        <v>44139</v>
      </c>
      <c r="AB751" s="2">
        <v>44127</v>
      </c>
      <c r="AC751" s="1"/>
      <c r="AE751">
        <v>97</v>
      </c>
    </row>
    <row r="752" spans="1:31" x14ac:dyDescent="0.35">
      <c r="A752">
        <v>758</v>
      </c>
      <c r="B752" s="1"/>
      <c r="C752">
        <v>0</v>
      </c>
      <c r="D752" s="1"/>
      <c r="E752" s="1" t="s">
        <v>2775</v>
      </c>
      <c r="F752" s="1" t="s">
        <v>30</v>
      </c>
      <c r="G752" s="1" t="s">
        <v>2776</v>
      </c>
      <c r="H752" s="1" t="s">
        <v>2777</v>
      </c>
      <c r="I752" s="1" t="s">
        <v>2778</v>
      </c>
      <c r="J752" s="1" t="s">
        <v>2779</v>
      </c>
      <c r="K752" s="1"/>
      <c r="L752" s="1"/>
      <c r="M752" s="1" t="s">
        <v>197</v>
      </c>
      <c r="N752" s="1" t="s">
        <v>880</v>
      </c>
      <c r="O752" s="1" t="s">
        <v>44</v>
      </c>
      <c r="P752" s="1" t="s">
        <v>37</v>
      </c>
      <c r="Q752" s="1"/>
      <c r="R752" s="2">
        <v>44186</v>
      </c>
      <c r="S752" s="1"/>
      <c r="W752" s="1" t="s">
        <v>38</v>
      </c>
      <c r="X752" s="2">
        <v>44134</v>
      </c>
      <c r="Y752" s="2">
        <v>44201</v>
      </c>
      <c r="Z752" s="2">
        <v>44200</v>
      </c>
      <c r="AA752" s="2">
        <v>44130</v>
      </c>
      <c r="AB752" s="2">
        <v>44130</v>
      </c>
      <c r="AC752" s="1"/>
      <c r="AD752">
        <v>70</v>
      </c>
      <c r="AE752">
        <v>94</v>
      </c>
    </row>
    <row r="753" spans="1:31" x14ac:dyDescent="0.35">
      <c r="A753">
        <v>759</v>
      </c>
      <c r="B753" s="1"/>
      <c r="C753">
        <v>0</v>
      </c>
      <c r="D753" s="1"/>
      <c r="E753" s="1" t="s">
        <v>2780</v>
      </c>
      <c r="F753" s="1" t="s">
        <v>30</v>
      </c>
      <c r="G753" s="1" t="s">
        <v>2781</v>
      </c>
      <c r="H753" s="1" t="s">
        <v>2782</v>
      </c>
      <c r="I753" s="1" t="s">
        <v>2783</v>
      </c>
      <c r="J753" s="1" t="s">
        <v>2784</v>
      </c>
      <c r="K753" s="1"/>
      <c r="L753" s="1"/>
      <c r="M753" s="1" t="s">
        <v>34</v>
      </c>
      <c r="N753" s="1" t="s">
        <v>880</v>
      </c>
      <c r="O753" s="1" t="s">
        <v>44</v>
      </c>
      <c r="P753" s="1" t="s">
        <v>99</v>
      </c>
      <c r="Q753" s="1"/>
      <c r="R753" s="2">
        <v>44130</v>
      </c>
      <c r="S753" s="1"/>
      <c r="W753" s="1" t="s">
        <v>38</v>
      </c>
      <c r="X753" s="2">
        <v>44137</v>
      </c>
      <c r="Y753" s="2">
        <v>44167</v>
      </c>
      <c r="Z753" s="2">
        <v>44166</v>
      </c>
      <c r="AA753" s="2">
        <v>44132</v>
      </c>
      <c r="AB753" s="2">
        <v>44130</v>
      </c>
      <c r="AC753" s="1"/>
      <c r="AD753">
        <v>36</v>
      </c>
      <c r="AE753">
        <v>94</v>
      </c>
    </row>
    <row r="754" spans="1:31" x14ac:dyDescent="0.35">
      <c r="A754">
        <v>760</v>
      </c>
      <c r="B754" s="1"/>
      <c r="C754">
        <v>0</v>
      </c>
      <c r="D754" s="1"/>
      <c r="E754" s="1"/>
      <c r="F754" s="1" t="s">
        <v>30</v>
      </c>
      <c r="G754" s="1" t="s">
        <v>2785</v>
      </c>
      <c r="H754" s="1" t="s">
        <v>2786</v>
      </c>
      <c r="I754" s="1"/>
      <c r="J754" s="1" t="s">
        <v>2787</v>
      </c>
      <c r="K754" s="1"/>
      <c r="L754" s="1"/>
      <c r="M754" s="1" t="s">
        <v>197</v>
      </c>
      <c r="N754" s="1" t="s">
        <v>2231</v>
      </c>
      <c r="O754" s="1" t="s">
        <v>394</v>
      </c>
      <c r="P754" s="1" t="s">
        <v>116</v>
      </c>
      <c r="Q754" s="1"/>
      <c r="R754" s="2">
        <v>44131</v>
      </c>
      <c r="S754" s="1"/>
      <c r="W754" s="1" t="s">
        <v>38</v>
      </c>
      <c r="X754" s="2">
        <v>44135</v>
      </c>
      <c r="Y754" s="2">
        <v>44145</v>
      </c>
      <c r="Z754" s="2">
        <v>44133</v>
      </c>
      <c r="AA754" s="2"/>
      <c r="AB754" s="2">
        <v>44131</v>
      </c>
      <c r="AC754" s="1"/>
      <c r="AD754">
        <v>2</v>
      </c>
      <c r="AE754">
        <v>93</v>
      </c>
    </row>
    <row r="755" spans="1:31" x14ac:dyDescent="0.35">
      <c r="A755">
        <v>761</v>
      </c>
      <c r="B755" s="1"/>
      <c r="C755">
        <v>0</v>
      </c>
      <c r="D755" s="1"/>
      <c r="E755" s="1"/>
      <c r="F755" s="1" t="s">
        <v>30</v>
      </c>
      <c r="G755" s="1" t="s">
        <v>2788</v>
      </c>
      <c r="H755" s="1" t="s">
        <v>2789</v>
      </c>
      <c r="I755" s="1"/>
      <c r="J755" s="1" t="s">
        <v>2790</v>
      </c>
      <c r="K755" s="1"/>
      <c r="L755" s="1"/>
      <c r="M755" s="1" t="s">
        <v>197</v>
      </c>
      <c r="N755" s="1" t="s">
        <v>2231</v>
      </c>
      <c r="O755" s="1" t="s">
        <v>394</v>
      </c>
      <c r="P755" s="1" t="s">
        <v>37</v>
      </c>
      <c r="Q755" s="1"/>
      <c r="R755" s="2">
        <v>44131</v>
      </c>
      <c r="S755" s="1"/>
      <c r="W755" s="1" t="s">
        <v>38</v>
      </c>
      <c r="X755" s="2">
        <v>44135</v>
      </c>
      <c r="Y755" s="2">
        <v>44173</v>
      </c>
      <c r="Z755" s="2">
        <v>44173</v>
      </c>
      <c r="AA755" s="2"/>
      <c r="AB755" s="2">
        <v>44131</v>
      </c>
      <c r="AC755" s="1"/>
      <c r="AD755">
        <v>42</v>
      </c>
      <c r="AE755">
        <v>93</v>
      </c>
    </row>
    <row r="756" spans="1:31" x14ac:dyDescent="0.35">
      <c r="A756">
        <v>762</v>
      </c>
      <c r="B756" s="1"/>
      <c r="C756">
        <v>0</v>
      </c>
      <c r="D756" s="1"/>
      <c r="E756" s="1"/>
      <c r="F756" s="1" t="s">
        <v>30</v>
      </c>
      <c r="G756" s="1" t="s">
        <v>2791</v>
      </c>
      <c r="H756" s="1" t="s">
        <v>2792</v>
      </c>
      <c r="I756" s="1"/>
      <c r="J756" s="1" t="s">
        <v>2793</v>
      </c>
      <c r="K756" s="1"/>
      <c r="L756" s="1"/>
      <c r="M756" s="1" t="s">
        <v>197</v>
      </c>
      <c r="N756" s="1" t="s">
        <v>43</v>
      </c>
      <c r="O756" s="1" t="s">
        <v>44</v>
      </c>
      <c r="P756" s="1" t="s">
        <v>37</v>
      </c>
      <c r="Q756" s="1"/>
      <c r="R756" s="2">
        <v>44146</v>
      </c>
      <c r="S756" s="1"/>
      <c r="W756" s="1" t="s">
        <v>38</v>
      </c>
      <c r="X756" s="2">
        <v>44134</v>
      </c>
      <c r="Y756" s="2">
        <v>44168</v>
      </c>
      <c r="Z756" s="2">
        <v>44147</v>
      </c>
      <c r="AA756" s="2"/>
      <c r="AB756" s="2">
        <v>44132</v>
      </c>
      <c r="AC756" s="1"/>
      <c r="AD756">
        <v>15</v>
      </c>
      <c r="AE756">
        <v>92</v>
      </c>
    </row>
    <row r="757" spans="1:31" x14ac:dyDescent="0.35">
      <c r="A757">
        <v>763</v>
      </c>
      <c r="B757" s="1"/>
      <c r="C757">
        <v>0</v>
      </c>
      <c r="D757" s="1"/>
      <c r="E757" s="1" t="s">
        <v>2794</v>
      </c>
      <c r="F757" s="1" t="s">
        <v>30</v>
      </c>
      <c r="G757" s="1" t="s">
        <v>2795</v>
      </c>
      <c r="H757" s="1" t="s">
        <v>2796</v>
      </c>
      <c r="I757" s="1"/>
      <c r="J757" s="1" t="s">
        <v>2797</v>
      </c>
      <c r="K757" s="1"/>
      <c r="L757" s="1"/>
      <c r="M757" s="1" t="s">
        <v>34</v>
      </c>
      <c r="N757" s="1" t="s">
        <v>43</v>
      </c>
      <c r="O757" s="1" t="s">
        <v>44</v>
      </c>
      <c r="P757" s="1" t="s">
        <v>63</v>
      </c>
      <c r="Q757" s="1"/>
      <c r="R757" s="2">
        <v>44132</v>
      </c>
      <c r="S757" s="1"/>
      <c r="W757" s="1" t="s">
        <v>38</v>
      </c>
      <c r="X757" s="2">
        <v>44138</v>
      </c>
      <c r="Y757" s="2">
        <v>44148</v>
      </c>
      <c r="Z757" s="2">
        <v>44147</v>
      </c>
      <c r="AA757" s="2">
        <v>44132</v>
      </c>
      <c r="AB757" s="2">
        <v>44132</v>
      </c>
      <c r="AC757" s="1"/>
      <c r="AD757">
        <v>15</v>
      </c>
      <c r="AE757">
        <v>92</v>
      </c>
    </row>
    <row r="758" spans="1:31" x14ac:dyDescent="0.35">
      <c r="A758">
        <v>764</v>
      </c>
      <c r="B758" s="1"/>
      <c r="C758">
        <v>0</v>
      </c>
      <c r="D758" s="1"/>
      <c r="E758" s="1" t="s">
        <v>2798</v>
      </c>
      <c r="F758" s="1" t="s">
        <v>30</v>
      </c>
      <c r="G758" s="1" t="s">
        <v>2799</v>
      </c>
      <c r="H758" s="1" t="s">
        <v>2800</v>
      </c>
      <c r="I758" s="1"/>
      <c r="J758" s="1" t="s">
        <v>2801</v>
      </c>
      <c r="K758" s="1"/>
      <c r="L758" s="1"/>
      <c r="M758" s="1" t="s">
        <v>34</v>
      </c>
      <c r="N758" s="1" t="s">
        <v>43</v>
      </c>
      <c r="O758" s="1" t="s">
        <v>44</v>
      </c>
      <c r="P758" s="1" t="s">
        <v>37</v>
      </c>
      <c r="Q758" s="1"/>
      <c r="R758" s="2">
        <v>44132</v>
      </c>
      <c r="S758" s="1"/>
      <c r="W758" s="1" t="s">
        <v>38</v>
      </c>
      <c r="X758" s="2">
        <v>44138</v>
      </c>
      <c r="Y758" s="2">
        <v>44182</v>
      </c>
      <c r="Z758" s="2">
        <v>44179</v>
      </c>
      <c r="AA758" s="2"/>
      <c r="AB758" s="2">
        <v>44132</v>
      </c>
      <c r="AC758" s="1"/>
      <c r="AD758">
        <v>47</v>
      </c>
      <c r="AE758">
        <v>92</v>
      </c>
    </row>
    <row r="759" spans="1:31" x14ac:dyDescent="0.35">
      <c r="A759">
        <v>765</v>
      </c>
      <c r="B759" s="1"/>
      <c r="C759">
        <v>0</v>
      </c>
      <c r="D759" s="1"/>
      <c r="E759" s="1"/>
      <c r="F759" s="1" t="s">
        <v>30</v>
      </c>
      <c r="G759" s="1" t="s">
        <v>2802</v>
      </c>
      <c r="H759" s="1" t="s">
        <v>2803</v>
      </c>
      <c r="I759" s="1"/>
      <c r="J759" s="1" t="s">
        <v>2804</v>
      </c>
      <c r="K759" s="1"/>
      <c r="L759" s="1"/>
      <c r="M759" s="1" t="s">
        <v>197</v>
      </c>
      <c r="N759" s="1" t="s">
        <v>43</v>
      </c>
      <c r="O759" s="1" t="s">
        <v>44</v>
      </c>
      <c r="P759" s="1" t="s">
        <v>63</v>
      </c>
      <c r="Q759" s="1"/>
      <c r="R759" s="2">
        <v>44132</v>
      </c>
      <c r="S759" s="1"/>
      <c r="W759" s="1" t="s">
        <v>38</v>
      </c>
      <c r="X759" s="2">
        <v>44134</v>
      </c>
      <c r="Y759" s="2">
        <v>44132</v>
      </c>
      <c r="Z759" s="2">
        <v>44132</v>
      </c>
      <c r="AA759" s="2"/>
      <c r="AB759" s="2">
        <v>44132</v>
      </c>
      <c r="AC759" s="1"/>
      <c r="AD759">
        <v>0</v>
      </c>
      <c r="AE759">
        <v>92</v>
      </c>
    </row>
    <row r="760" spans="1:31" x14ac:dyDescent="0.35">
      <c r="A760">
        <v>766</v>
      </c>
      <c r="B760" s="1"/>
      <c r="C760">
        <v>0</v>
      </c>
      <c r="D760" s="1"/>
      <c r="E760" s="1"/>
      <c r="F760" s="1" t="s">
        <v>30</v>
      </c>
      <c r="G760" s="1" t="s">
        <v>2805</v>
      </c>
      <c r="H760" s="1" t="s">
        <v>2806</v>
      </c>
      <c r="I760" s="1"/>
      <c r="J760" s="1" t="s">
        <v>2807</v>
      </c>
      <c r="K760" s="1" t="s">
        <v>278</v>
      </c>
      <c r="L760" s="1"/>
      <c r="M760" s="1" t="s">
        <v>197</v>
      </c>
      <c r="N760" s="1" t="s">
        <v>437</v>
      </c>
      <c r="O760" s="1" t="s">
        <v>44</v>
      </c>
      <c r="P760" s="1" t="s">
        <v>278</v>
      </c>
      <c r="Q760" s="1"/>
      <c r="R760" s="2">
        <v>44182</v>
      </c>
      <c r="S760" s="1"/>
      <c r="W760" s="1" t="s">
        <v>118</v>
      </c>
      <c r="X760" s="2">
        <v>44150</v>
      </c>
      <c r="Y760" s="2">
        <v>44181</v>
      </c>
      <c r="Z760" s="2">
        <v>44182</v>
      </c>
      <c r="AA760" s="2">
        <v>44182</v>
      </c>
      <c r="AB760" s="2">
        <v>44132</v>
      </c>
      <c r="AC760" s="1"/>
      <c r="AD760">
        <v>50</v>
      </c>
      <c r="AE760">
        <v>92</v>
      </c>
    </row>
    <row r="761" spans="1:31" x14ac:dyDescent="0.35">
      <c r="A761">
        <v>767</v>
      </c>
      <c r="B761" s="1"/>
      <c r="C761">
        <v>0</v>
      </c>
      <c r="D761" s="1"/>
      <c r="E761" s="1"/>
      <c r="F761" s="1" t="s">
        <v>30</v>
      </c>
      <c r="G761" s="1" t="s">
        <v>2808</v>
      </c>
      <c r="H761" s="1" t="s">
        <v>2809</v>
      </c>
      <c r="I761" s="1"/>
      <c r="J761" s="1" t="s">
        <v>2810</v>
      </c>
      <c r="K761" s="1"/>
      <c r="L761" s="1"/>
      <c r="M761" s="1" t="s">
        <v>34</v>
      </c>
      <c r="N761" s="1" t="s">
        <v>341</v>
      </c>
      <c r="O761" s="1" t="s">
        <v>62</v>
      </c>
      <c r="P761" s="1" t="s">
        <v>63</v>
      </c>
      <c r="Q761" s="1"/>
      <c r="R761" s="2">
        <v>44132</v>
      </c>
      <c r="S761" s="1"/>
      <c r="W761" s="1" t="s">
        <v>38</v>
      </c>
      <c r="X761" s="2">
        <v>44139</v>
      </c>
      <c r="Y761" s="2">
        <v>44133</v>
      </c>
      <c r="Z761" s="2">
        <v>44133</v>
      </c>
      <c r="AA761" s="2">
        <v>44133</v>
      </c>
      <c r="AB761" s="2">
        <v>44132</v>
      </c>
      <c r="AC761" s="1"/>
      <c r="AD761">
        <v>1</v>
      </c>
      <c r="AE761">
        <v>92</v>
      </c>
    </row>
    <row r="762" spans="1:31" x14ac:dyDescent="0.35">
      <c r="A762">
        <v>768</v>
      </c>
      <c r="B762" s="1"/>
      <c r="C762">
        <v>0</v>
      </c>
      <c r="D762" s="1"/>
      <c r="E762" s="1"/>
      <c r="F762" s="1" t="s">
        <v>30</v>
      </c>
      <c r="G762" s="1" t="s">
        <v>2811</v>
      </c>
      <c r="H762" s="1" t="s">
        <v>2812</v>
      </c>
      <c r="I762" s="1"/>
      <c r="J762" s="1" t="s">
        <v>2813</v>
      </c>
      <c r="K762" s="1"/>
      <c r="L762" s="1"/>
      <c r="M762" s="1" t="s">
        <v>34</v>
      </c>
      <c r="N762" s="1" t="s">
        <v>266</v>
      </c>
      <c r="O762" s="1" t="s">
        <v>267</v>
      </c>
      <c r="P762" s="1" t="s">
        <v>37</v>
      </c>
      <c r="Q762" s="1"/>
      <c r="R762" s="2">
        <v>44132</v>
      </c>
      <c r="S762" s="1"/>
      <c r="W762" s="1" t="s">
        <v>38</v>
      </c>
      <c r="X762" s="2">
        <v>44139</v>
      </c>
      <c r="Y762" s="2">
        <v>44140</v>
      </c>
      <c r="Z762" s="2">
        <v>44139</v>
      </c>
      <c r="AA762" s="2">
        <v>44133</v>
      </c>
      <c r="AB762" s="2">
        <v>44132</v>
      </c>
      <c r="AC762" s="1"/>
      <c r="AD762">
        <v>7</v>
      </c>
      <c r="AE762">
        <v>92</v>
      </c>
    </row>
    <row r="763" spans="1:31" x14ac:dyDescent="0.35">
      <c r="A763">
        <v>769</v>
      </c>
      <c r="B763" s="1"/>
      <c r="C763">
        <v>0</v>
      </c>
      <c r="D763" s="1"/>
      <c r="E763" s="1"/>
      <c r="F763" s="1" t="s">
        <v>30</v>
      </c>
      <c r="G763" s="1" t="s">
        <v>2814</v>
      </c>
      <c r="H763" s="1" t="s">
        <v>2815</v>
      </c>
      <c r="I763" s="1"/>
      <c r="J763" s="1" t="s">
        <v>2816</v>
      </c>
      <c r="K763" s="1"/>
      <c r="L763" s="1"/>
      <c r="M763" s="1" t="s">
        <v>34</v>
      </c>
      <c r="N763" s="1" t="s">
        <v>245</v>
      </c>
      <c r="O763" s="1" t="s">
        <v>147</v>
      </c>
      <c r="P763" s="1" t="s">
        <v>379</v>
      </c>
      <c r="Q763" s="1"/>
      <c r="R763" s="2">
        <v>44132</v>
      </c>
      <c r="S763" s="1"/>
      <c r="W763" s="1" t="s">
        <v>38</v>
      </c>
      <c r="X763" s="2">
        <v>44139</v>
      </c>
      <c r="Y763" s="2">
        <v>44144</v>
      </c>
      <c r="Z763" s="2">
        <v>44139</v>
      </c>
      <c r="AA763" s="2">
        <v>44133</v>
      </c>
      <c r="AB763" s="2">
        <v>44132</v>
      </c>
      <c r="AC763" s="1"/>
      <c r="AD763">
        <v>7</v>
      </c>
      <c r="AE763">
        <v>92</v>
      </c>
    </row>
    <row r="764" spans="1:31" x14ac:dyDescent="0.35">
      <c r="A764">
        <v>770</v>
      </c>
      <c r="B764" s="1"/>
      <c r="C764">
        <v>0</v>
      </c>
      <c r="D764" s="1"/>
      <c r="E764" s="1" t="s">
        <v>2817</v>
      </c>
      <c r="F764" s="1" t="s">
        <v>30</v>
      </c>
      <c r="G764" s="1" t="s">
        <v>2818</v>
      </c>
      <c r="H764" s="1" t="s">
        <v>2819</v>
      </c>
      <c r="I764" s="1"/>
      <c r="J764" s="1" t="s">
        <v>2820</v>
      </c>
      <c r="K764" s="1"/>
      <c r="L764" s="1"/>
      <c r="M764" s="1" t="s">
        <v>34</v>
      </c>
      <c r="N764" s="1" t="s">
        <v>245</v>
      </c>
      <c r="O764" s="1" t="s">
        <v>147</v>
      </c>
      <c r="P764" s="1" t="s">
        <v>379</v>
      </c>
      <c r="Q764" s="1"/>
      <c r="R764" s="2">
        <v>44133</v>
      </c>
      <c r="S764" s="1"/>
      <c r="W764" s="1" t="s">
        <v>38</v>
      </c>
      <c r="X764" s="2">
        <v>44140</v>
      </c>
      <c r="Y764" s="2">
        <v>44144</v>
      </c>
      <c r="Z764" s="2">
        <v>44137</v>
      </c>
      <c r="AA764" s="2">
        <v>44134</v>
      </c>
      <c r="AB764" s="2">
        <v>44133</v>
      </c>
      <c r="AC764" s="1"/>
      <c r="AD764">
        <v>4</v>
      </c>
      <c r="AE764">
        <v>91</v>
      </c>
    </row>
    <row r="765" spans="1:31" x14ac:dyDescent="0.35">
      <c r="A765">
        <v>771</v>
      </c>
      <c r="B765" s="1"/>
      <c r="C765">
        <v>0</v>
      </c>
      <c r="D765" s="1"/>
      <c r="E765" s="1"/>
      <c r="F765" s="1" t="s">
        <v>30</v>
      </c>
      <c r="G765" s="1" t="s">
        <v>2821</v>
      </c>
      <c r="H765" s="1" t="s">
        <v>2822</v>
      </c>
      <c r="I765" s="1"/>
      <c r="J765" s="1" t="s">
        <v>2823</v>
      </c>
      <c r="K765" s="1"/>
      <c r="L765" s="1"/>
      <c r="M765" s="1" t="s">
        <v>34</v>
      </c>
      <c r="N765" s="1" t="s">
        <v>2824</v>
      </c>
      <c r="O765" s="1" t="s">
        <v>2825</v>
      </c>
      <c r="P765" s="1" t="s">
        <v>37</v>
      </c>
      <c r="Q765" s="1"/>
      <c r="R765" s="2">
        <v>44133</v>
      </c>
      <c r="S765" s="1"/>
      <c r="W765" s="1" t="s">
        <v>38</v>
      </c>
      <c r="X765" s="2">
        <v>44140</v>
      </c>
      <c r="Y765" s="2">
        <v>44173</v>
      </c>
      <c r="Z765" s="2">
        <v>44169</v>
      </c>
      <c r="AA765" s="2"/>
      <c r="AB765" s="2">
        <v>44133</v>
      </c>
      <c r="AC765" s="1"/>
      <c r="AD765">
        <v>36</v>
      </c>
      <c r="AE765">
        <v>91</v>
      </c>
    </row>
    <row r="766" spans="1:31" x14ac:dyDescent="0.35">
      <c r="A766">
        <v>772</v>
      </c>
      <c r="B766" s="1"/>
      <c r="C766">
        <v>0</v>
      </c>
      <c r="D766" s="1"/>
      <c r="E766" s="1"/>
      <c r="F766" s="1" t="s">
        <v>30</v>
      </c>
      <c r="G766" s="1" t="s">
        <v>2826</v>
      </c>
      <c r="H766" s="1" t="s">
        <v>2827</v>
      </c>
      <c r="I766" s="1"/>
      <c r="J766" s="1" t="s">
        <v>2828</v>
      </c>
      <c r="K766" s="1"/>
      <c r="L766" s="1"/>
      <c r="M766" s="1" t="s">
        <v>34</v>
      </c>
      <c r="N766" s="1" t="s">
        <v>483</v>
      </c>
      <c r="O766" s="1" t="s">
        <v>484</v>
      </c>
      <c r="P766" s="1" t="s">
        <v>37</v>
      </c>
      <c r="Q766" s="1"/>
      <c r="R766" s="2">
        <v>44133</v>
      </c>
      <c r="S766" s="1"/>
      <c r="W766" s="1" t="s">
        <v>38</v>
      </c>
      <c r="X766" s="2">
        <v>44147</v>
      </c>
      <c r="Y766" s="2">
        <v>44182</v>
      </c>
      <c r="Z766" s="2">
        <v>44180</v>
      </c>
      <c r="AA766" s="2"/>
      <c r="AB766" s="2">
        <v>44133</v>
      </c>
      <c r="AC766" s="1"/>
      <c r="AD766">
        <v>47</v>
      </c>
      <c r="AE766">
        <v>91</v>
      </c>
    </row>
    <row r="767" spans="1:31" x14ac:dyDescent="0.35">
      <c r="A767">
        <v>773</v>
      </c>
      <c r="B767" s="1"/>
      <c r="C767">
        <v>0</v>
      </c>
      <c r="D767" s="1"/>
      <c r="E767" s="1"/>
      <c r="F767" s="1" t="s">
        <v>30</v>
      </c>
      <c r="G767" s="1" t="s">
        <v>2829</v>
      </c>
      <c r="H767" s="1" t="s">
        <v>2830</v>
      </c>
      <c r="I767" s="1"/>
      <c r="J767" s="1" t="s">
        <v>2831</v>
      </c>
      <c r="K767" s="1"/>
      <c r="L767" s="1"/>
      <c r="M767" s="1" t="s">
        <v>34</v>
      </c>
      <c r="N767" s="1" t="s">
        <v>483</v>
      </c>
      <c r="O767" s="1" t="s">
        <v>484</v>
      </c>
      <c r="P767" s="1" t="s">
        <v>37</v>
      </c>
      <c r="Q767" s="1"/>
      <c r="R767" s="2">
        <v>44133</v>
      </c>
      <c r="S767" s="1"/>
      <c r="W767" s="1" t="s">
        <v>38</v>
      </c>
      <c r="X767" s="2">
        <v>44147</v>
      </c>
      <c r="Y767" s="2">
        <v>44182</v>
      </c>
      <c r="Z767" s="2">
        <v>44180</v>
      </c>
      <c r="AA767" s="2"/>
      <c r="AB767" s="2">
        <v>44133</v>
      </c>
      <c r="AC767" s="1"/>
      <c r="AD767">
        <v>47</v>
      </c>
      <c r="AE767">
        <v>91</v>
      </c>
    </row>
    <row r="768" spans="1:31" x14ac:dyDescent="0.35">
      <c r="A768">
        <v>774</v>
      </c>
      <c r="B768" s="1"/>
      <c r="C768">
        <v>0</v>
      </c>
      <c r="D768" s="1"/>
      <c r="E768" s="1"/>
      <c r="F768" s="1" t="s">
        <v>30</v>
      </c>
      <c r="G768" s="1" t="s">
        <v>2832</v>
      </c>
      <c r="H768" s="1" t="s">
        <v>2833</v>
      </c>
      <c r="I768" s="1" t="s">
        <v>2834</v>
      </c>
      <c r="J768" s="1" t="s">
        <v>2835</v>
      </c>
      <c r="K768" s="1"/>
      <c r="L768" s="1"/>
      <c r="M768" s="1" t="s">
        <v>197</v>
      </c>
      <c r="N768" s="1" t="s">
        <v>245</v>
      </c>
      <c r="O768" s="1" t="s">
        <v>147</v>
      </c>
      <c r="P768" s="1" t="s">
        <v>379</v>
      </c>
      <c r="Q768" s="1"/>
      <c r="R768" s="2">
        <v>44134</v>
      </c>
      <c r="S768" s="1"/>
      <c r="W768" s="1" t="s">
        <v>38</v>
      </c>
      <c r="X768" s="2">
        <v>44137</v>
      </c>
      <c r="Y768" s="2">
        <v>44140</v>
      </c>
      <c r="Z768" s="2">
        <v>44137</v>
      </c>
      <c r="AA768" s="2">
        <v>44134</v>
      </c>
      <c r="AB768" s="2">
        <v>44134</v>
      </c>
      <c r="AC768" s="1"/>
      <c r="AD768">
        <v>3</v>
      </c>
      <c r="AE768">
        <v>90</v>
      </c>
    </row>
    <row r="769" spans="1:31" x14ac:dyDescent="0.35">
      <c r="A769">
        <v>775</v>
      </c>
      <c r="B769" s="1"/>
      <c r="C769">
        <v>0</v>
      </c>
      <c r="D769" s="1"/>
      <c r="E769" s="1"/>
      <c r="F769" s="1" t="s">
        <v>30</v>
      </c>
      <c r="G769" s="1" t="s">
        <v>2836</v>
      </c>
      <c r="H769" s="1" t="s">
        <v>2837</v>
      </c>
      <c r="I769" s="1"/>
      <c r="J769" s="1" t="s">
        <v>2838</v>
      </c>
      <c r="K769" s="1"/>
      <c r="L769" s="1"/>
      <c r="M769" s="1" t="s">
        <v>34</v>
      </c>
      <c r="N769" s="1" t="s">
        <v>378</v>
      </c>
      <c r="O769" s="1" t="s">
        <v>147</v>
      </c>
      <c r="P769" s="1" t="s">
        <v>37</v>
      </c>
      <c r="Q769" s="1"/>
      <c r="R769" s="2">
        <v>44134</v>
      </c>
      <c r="S769" s="1"/>
      <c r="W769" s="1" t="s">
        <v>38</v>
      </c>
      <c r="X769" s="2">
        <v>44147</v>
      </c>
      <c r="Y769" s="2">
        <v>44176</v>
      </c>
      <c r="Z769" s="2">
        <v>44173</v>
      </c>
      <c r="AA769" s="2"/>
      <c r="AB769" s="2">
        <v>44134</v>
      </c>
      <c r="AC769" s="1"/>
      <c r="AD769">
        <v>39</v>
      </c>
      <c r="AE769">
        <v>90</v>
      </c>
    </row>
    <row r="770" spans="1:31" x14ac:dyDescent="0.35">
      <c r="A770">
        <v>776</v>
      </c>
      <c r="B770" s="1"/>
      <c r="C770">
        <v>0</v>
      </c>
      <c r="D770" s="1"/>
      <c r="E770" s="1"/>
      <c r="F770" s="1" t="s">
        <v>30</v>
      </c>
      <c r="G770" s="1" t="s">
        <v>2839</v>
      </c>
      <c r="H770" s="1" t="s">
        <v>2840</v>
      </c>
      <c r="I770" s="1"/>
      <c r="J770" s="1" t="s">
        <v>2841</v>
      </c>
      <c r="K770" s="1"/>
      <c r="L770" s="1"/>
      <c r="M770" s="1" t="s">
        <v>34</v>
      </c>
      <c r="N770" s="1" t="s">
        <v>437</v>
      </c>
      <c r="O770" s="1" t="s">
        <v>44</v>
      </c>
      <c r="P770" s="1" t="s">
        <v>200</v>
      </c>
      <c r="Q770" s="1"/>
      <c r="R770" s="2">
        <v>44134</v>
      </c>
      <c r="S770" s="1"/>
      <c r="W770" s="1" t="s">
        <v>38</v>
      </c>
      <c r="X770" s="2">
        <v>44147</v>
      </c>
      <c r="Y770" s="2">
        <v>44217</v>
      </c>
      <c r="Z770" s="2">
        <v>44204</v>
      </c>
      <c r="AA770" s="2">
        <v>44180</v>
      </c>
      <c r="AB770" s="2">
        <v>44134</v>
      </c>
      <c r="AC770" s="1"/>
      <c r="AD770">
        <v>70</v>
      </c>
      <c r="AE770">
        <v>90</v>
      </c>
    </row>
    <row r="771" spans="1:31" x14ac:dyDescent="0.35">
      <c r="A771">
        <v>777</v>
      </c>
      <c r="B771" s="1"/>
      <c r="C771">
        <v>0</v>
      </c>
      <c r="D771" s="1"/>
      <c r="E771" s="1"/>
      <c r="F771" s="1" t="s">
        <v>30</v>
      </c>
      <c r="G771" s="1" t="s">
        <v>2842</v>
      </c>
      <c r="H771" s="1" t="s">
        <v>2843</v>
      </c>
      <c r="I771" s="1"/>
      <c r="J771" s="1" t="s">
        <v>2844</v>
      </c>
      <c r="K771" s="1"/>
      <c r="L771" s="1"/>
      <c r="M771" s="1" t="s">
        <v>34</v>
      </c>
      <c r="N771" s="1" t="s">
        <v>437</v>
      </c>
      <c r="O771" s="1" t="s">
        <v>44</v>
      </c>
      <c r="P771" s="1" t="s">
        <v>278</v>
      </c>
      <c r="Q771" s="1"/>
      <c r="R771" s="2">
        <v>44134</v>
      </c>
      <c r="S771" s="1"/>
      <c r="W771" s="1" t="s">
        <v>38</v>
      </c>
      <c r="X771" s="2">
        <v>44147</v>
      </c>
      <c r="Y771" s="2">
        <v>44154</v>
      </c>
      <c r="Z771" s="2">
        <v>44148</v>
      </c>
      <c r="AA771" s="2"/>
      <c r="AB771" s="2">
        <v>44134</v>
      </c>
      <c r="AC771" s="1"/>
      <c r="AD771">
        <v>14</v>
      </c>
      <c r="AE771">
        <v>90</v>
      </c>
    </row>
    <row r="772" spans="1:31" x14ac:dyDescent="0.35">
      <c r="A772">
        <v>778</v>
      </c>
      <c r="B772" s="1"/>
      <c r="C772">
        <v>0</v>
      </c>
      <c r="D772" s="1"/>
      <c r="E772" s="1"/>
      <c r="F772" s="1" t="s">
        <v>30</v>
      </c>
      <c r="G772" s="1" t="s">
        <v>2845</v>
      </c>
      <c r="H772" s="1" t="s">
        <v>2846</v>
      </c>
      <c r="I772" s="1"/>
      <c r="J772" s="1" t="s">
        <v>2847</v>
      </c>
      <c r="K772" s="1"/>
      <c r="L772" s="1"/>
      <c r="M772" s="1" t="s">
        <v>197</v>
      </c>
      <c r="N772" s="1" t="s">
        <v>437</v>
      </c>
      <c r="O772" s="1" t="s">
        <v>44</v>
      </c>
      <c r="P772" s="1" t="s">
        <v>37</v>
      </c>
      <c r="Q772" s="1"/>
      <c r="R772" s="2">
        <v>44134</v>
      </c>
      <c r="S772" s="1"/>
      <c r="W772" s="1" t="s">
        <v>38</v>
      </c>
      <c r="X772" s="2">
        <v>44161</v>
      </c>
      <c r="Y772" s="2">
        <v>44175</v>
      </c>
      <c r="Z772" s="2">
        <v>44147</v>
      </c>
      <c r="AA772" s="2"/>
      <c r="AB772" s="2">
        <v>44134</v>
      </c>
      <c r="AC772" s="1"/>
      <c r="AD772">
        <v>13</v>
      </c>
      <c r="AE772">
        <v>90</v>
      </c>
    </row>
    <row r="773" spans="1:31" x14ac:dyDescent="0.35">
      <c r="A773">
        <v>779</v>
      </c>
      <c r="B773" s="1"/>
      <c r="C773">
        <v>0</v>
      </c>
      <c r="D773" s="1"/>
      <c r="E773" s="1"/>
      <c r="F773" s="1" t="s">
        <v>30</v>
      </c>
      <c r="G773" s="1" t="s">
        <v>2848</v>
      </c>
      <c r="H773" s="1" t="s">
        <v>2849</v>
      </c>
      <c r="I773" s="1"/>
      <c r="J773" s="1" t="s">
        <v>2850</v>
      </c>
      <c r="K773" s="1"/>
      <c r="L773" s="1"/>
      <c r="M773" s="1" t="s">
        <v>197</v>
      </c>
      <c r="N773" s="1" t="s">
        <v>437</v>
      </c>
      <c r="O773" s="1" t="s">
        <v>44</v>
      </c>
      <c r="P773" s="1" t="s">
        <v>278</v>
      </c>
      <c r="Q773" s="1"/>
      <c r="R773" s="2">
        <v>44134</v>
      </c>
      <c r="S773" s="1"/>
      <c r="T773">
        <v>0</v>
      </c>
      <c r="W773" s="1" t="s">
        <v>38</v>
      </c>
      <c r="X773" s="2">
        <v>44150</v>
      </c>
      <c r="Y773" s="2">
        <v>44175</v>
      </c>
      <c r="Z773" s="2">
        <v>44168</v>
      </c>
      <c r="AA773" s="2"/>
      <c r="AB773" s="2">
        <v>44134</v>
      </c>
      <c r="AC773" s="1"/>
      <c r="AD773">
        <v>34</v>
      </c>
      <c r="AE773">
        <v>90</v>
      </c>
    </row>
    <row r="774" spans="1:31" x14ac:dyDescent="0.35">
      <c r="A774">
        <v>780</v>
      </c>
      <c r="B774" s="1"/>
      <c r="C774">
        <v>0</v>
      </c>
      <c r="D774" s="1"/>
      <c r="E774" s="1"/>
      <c r="F774" s="1" t="s">
        <v>30</v>
      </c>
      <c r="G774" s="1" t="s">
        <v>2851</v>
      </c>
      <c r="H774" s="1" t="s">
        <v>2852</v>
      </c>
      <c r="I774" s="1" t="s">
        <v>2853</v>
      </c>
      <c r="J774" s="1" t="s">
        <v>2854</v>
      </c>
      <c r="K774" s="1"/>
      <c r="L774" s="1"/>
      <c r="M774" s="1" t="s">
        <v>197</v>
      </c>
      <c r="N774" s="1" t="s">
        <v>245</v>
      </c>
      <c r="O774" s="1" t="s">
        <v>147</v>
      </c>
      <c r="P774" s="1" t="s">
        <v>37</v>
      </c>
      <c r="Q774" s="1"/>
      <c r="R774" s="2">
        <v>44138</v>
      </c>
      <c r="S774" s="1"/>
      <c r="W774" s="1" t="s">
        <v>38</v>
      </c>
      <c r="X774" s="2">
        <v>44143</v>
      </c>
      <c r="Y774" s="2">
        <v>44175</v>
      </c>
      <c r="Z774" s="2">
        <v>44147</v>
      </c>
      <c r="AA774" s="2"/>
      <c r="AB774" s="2">
        <v>44138</v>
      </c>
      <c r="AC774" s="1"/>
      <c r="AD774">
        <v>9</v>
      </c>
      <c r="AE774">
        <v>86</v>
      </c>
    </row>
    <row r="775" spans="1:31" x14ac:dyDescent="0.35">
      <c r="A775">
        <v>781</v>
      </c>
      <c r="B775" s="1"/>
      <c r="C775">
        <v>0</v>
      </c>
      <c r="D775" s="1"/>
      <c r="E775" s="1"/>
      <c r="F775" s="1" t="s">
        <v>30</v>
      </c>
      <c r="G775" s="1" t="s">
        <v>2855</v>
      </c>
      <c r="H775" s="1" t="s">
        <v>2856</v>
      </c>
      <c r="I775" s="1"/>
      <c r="J775" s="1" t="s">
        <v>2857</v>
      </c>
      <c r="K775" s="1"/>
      <c r="L775" s="1"/>
      <c r="M775" s="1" t="s">
        <v>197</v>
      </c>
      <c r="N775" s="1" t="s">
        <v>245</v>
      </c>
      <c r="O775" s="1" t="s">
        <v>147</v>
      </c>
      <c r="P775" s="1" t="s">
        <v>37</v>
      </c>
      <c r="Q775" s="1"/>
      <c r="R775" s="2">
        <v>44138</v>
      </c>
      <c r="S775" s="1"/>
      <c r="W775" s="1" t="s">
        <v>38</v>
      </c>
      <c r="X775" s="2">
        <v>44143</v>
      </c>
      <c r="Y775" s="2">
        <v>44151</v>
      </c>
      <c r="Z775" s="2">
        <v>44148</v>
      </c>
      <c r="AA775" s="2">
        <v>44147</v>
      </c>
      <c r="AB775" s="2">
        <v>44138</v>
      </c>
      <c r="AC775" s="1"/>
      <c r="AD775">
        <v>10</v>
      </c>
      <c r="AE775">
        <v>86</v>
      </c>
    </row>
    <row r="776" spans="1:31" x14ac:dyDescent="0.35">
      <c r="A776">
        <v>782</v>
      </c>
      <c r="B776" s="1"/>
      <c r="C776">
        <v>0</v>
      </c>
      <c r="D776" s="1" t="s">
        <v>2858</v>
      </c>
      <c r="E776" s="1" t="s">
        <v>2859</v>
      </c>
      <c r="F776" s="1" t="s">
        <v>30</v>
      </c>
      <c r="G776" s="1" t="s">
        <v>2860</v>
      </c>
      <c r="H776" s="1" t="s">
        <v>2861</v>
      </c>
      <c r="I776" s="1"/>
      <c r="J776" s="1"/>
      <c r="K776" s="1"/>
      <c r="L776" s="1"/>
      <c r="M776" s="1" t="s">
        <v>34</v>
      </c>
      <c r="N776" s="1" t="s">
        <v>1464</v>
      </c>
      <c r="O776" s="1" t="s">
        <v>1465</v>
      </c>
      <c r="P776" s="1" t="s">
        <v>164</v>
      </c>
      <c r="Q776" s="1"/>
      <c r="R776" s="2">
        <v>44138</v>
      </c>
      <c r="S776" s="1"/>
      <c r="W776" s="1" t="s">
        <v>38</v>
      </c>
      <c r="X776" s="2">
        <v>44145</v>
      </c>
      <c r="Y776" s="2"/>
      <c r="Z776" s="2"/>
      <c r="AA776" s="2"/>
      <c r="AB776" s="2">
        <v>44138</v>
      </c>
      <c r="AC776" s="1" t="s">
        <v>2862</v>
      </c>
      <c r="AE776">
        <v>86</v>
      </c>
    </row>
    <row r="777" spans="1:31" x14ac:dyDescent="0.35">
      <c r="A777">
        <v>783</v>
      </c>
      <c r="B777" s="1"/>
      <c r="C777">
        <v>0</v>
      </c>
      <c r="D777" s="1"/>
      <c r="E777" s="1"/>
      <c r="F777" s="1" t="s">
        <v>30</v>
      </c>
      <c r="G777" s="1" t="s">
        <v>2863</v>
      </c>
      <c r="H777" s="1" t="s">
        <v>2864</v>
      </c>
      <c r="I777" s="1"/>
      <c r="J777" s="1" t="s">
        <v>2865</v>
      </c>
      <c r="K777" s="1"/>
      <c r="L777" s="1"/>
      <c r="M777" s="1" t="s">
        <v>197</v>
      </c>
      <c r="N777" s="1" t="s">
        <v>437</v>
      </c>
      <c r="O777" s="1" t="s">
        <v>44</v>
      </c>
      <c r="P777" s="1" t="s">
        <v>278</v>
      </c>
      <c r="Q777" s="1"/>
      <c r="R777" s="2">
        <v>44139</v>
      </c>
      <c r="S777" s="1"/>
      <c r="W777" s="1" t="s">
        <v>38</v>
      </c>
      <c r="X777" s="2">
        <v>44150</v>
      </c>
      <c r="Y777" s="2">
        <v>44175</v>
      </c>
      <c r="Z777" s="2">
        <v>44174</v>
      </c>
      <c r="AA777" s="2">
        <v>44144</v>
      </c>
      <c r="AB777" s="2">
        <v>44139</v>
      </c>
      <c r="AC777" s="1"/>
      <c r="AD777">
        <v>35</v>
      </c>
      <c r="AE777">
        <v>85</v>
      </c>
    </row>
    <row r="778" spans="1:31" x14ac:dyDescent="0.35">
      <c r="A778">
        <v>784</v>
      </c>
      <c r="B778" s="1"/>
      <c r="C778">
        <v>0</v>
      </c>
      <c r="D778" s="1"/>
      <c r="E778" s="1"/>
      <c r="F778" s="1" t="s">
        <v>30</v>
      </c>
      <c r="G778" s="1" t="s">
        <v>2866</v>
      </c>
      <c r="H778" s="1" t="s">
        <v>2867</v>
      </c>
      <c r="I778" s="1"/>
      <c r="J778" s="1" t="s">
        <v>2868</v>
      </c>
      <c r="K778" s="1"/>
      <c r="L778" s="1"/>
      <c r="M778" s="1" t="s">
        <v>34</v>
      </c>
      <c r="N778" s="1" t="s">
        <v>437</v>
      </c>
      <c r="O778" s="1" t="s">
        <v>44</v>
      </c>
      <c r="P778" s="1" t="s">
        <v>63</v>
      </c>
      <c r="Q778" s="1"/>
      <c r="R778" s="2">
        <v>44139</v>
      </c>
      <c r="S778" s="1"/>
      <c r="W778" s="1" t="s">
        <v>38</v>
      </c>
      <c r="X778" s="2">
        <v>44146</v>
      </c>
      <c r="Y778" s="2">
        <v>44154</v>
      </c>
      <c r="Z778" s="2">
        <v>44147</v>
      </c>
      <c r="AA778" s="2">
        <v>44144</v>
      </c>
      <c r="AB778" s="2">
        <v>44139</v>
      </c>
      <c r="AC778" s="1"/>
      <c r="AD778">
        <v>8</v>
      </c>
      <c r="AE778">
        <v>85</v>
      </c>
    </row>
    <row r="779" spans="1:31" x14ac:dyDescent="0.35">
      <c r="A779">
        <v>785</v>
      </c>
      <c r="B779" s="1"/>
      <c r="C779">
        <v>0</v>
      </c>
      <c r="D779" s="1"/>
      <c r="E779" s="1"/>
      <c r="F779" s="1" t="s">
        <v>30</v>
      </c>
      <c r="G779" s="1" t="s">
        <v>2869</v>
      </c>
      <c r="H779" s="1" t="s">
        <v>2870</v>
      </c>
      <c r="I779" s="1"/>
      <c r="J779" s="1" t="s">
        <v>2871</v>
      </c>
      <c r="K779" s="1"/>
      <c r="L779" s="1"/>
      <c r="M779" s="1" t="s">
        <v>197</v>
      </c>
      <c r="N779" s="1" t="s">
        <v>352</v>
      </c>
      <c r="O779" s="1" t="s">
        <v>44</v>
      </c>
      <c r="P779" s="1" t="s">
        <v>37</v>
      </c>
      <c r="Q779" s="1"/>
      <c r="R779" s="2">
        <v>44139</v>
      </c>
      <c r="S779" s="1"/>
      <c r="W779" s="1" t="s">
        <v>38</v>
      </c>
      <c r="X779" s="2">
        <v>44142</v>
      </c>
      <c r="Y779" s="2">
        <v>44144</v>
      </c>
      <c r="Z779" s="2">
        <v>44141</v>
      </c>
      <c r="AA779" s="2"/>
      <c r="AB779" s="2">
        <v>44139</v>
      </c>
      <c r="AC779" s="1"/>
      <c r="AD779">
        <v>2</v>
      </c>
      <c r="AE779">
        <v>85</v>
      </c>
    </row>
    <row r="780" spans="1:31" x14ac:dyDescent="0.35">
      <c r="A780">
        <v>786</v>
      </c>
      <c r="B780" s="1"/>
      <c r="C780">
        <v>0</v>
      </c>
      <c r="D780" s="1"/>
      <c r="E780" s="1"/>
      <c r="F780" s="1" t="s">
        <v>30</v>
      </c>
      <c r="G780" s="1" t="s">
        <v>2872</v>
      </c>
      <c r="H780" s="1" t="s">
        <v>2873</v>
      </c>
      <c r="I780" s="1"/>
      <c r="J780" s="1" t="s">
        <v>2874</v>
      </c>
      <c r="K780" s="1" t="s">
        <v>37</v>
      </c>
      <c r="L780" s="1"/>
      <c r="M780" s="1" t="s">
        <v>34</v>
      </c>
      <c r="N780" s="1" t="s">
        <v>192</v>
      </c>
      <c r="O780" s="1" t="s">
        <v>193</v>
      </c>
      <c r="P780" s="1" t="s">
        <v>37</v>
      </c>
      <c r="Q780" s="1"/>
      <c r="R780" s="2">
        <v>44141</v>
      </c>
      <c r="S780" s="1"/>
      <c r="W780" s="1" t="s">
        <v>118</v>
      </c>
      <c r="X780" s="2">
        <v>44147</v>
      </c>
      <c r="Y780" s="2"/>
      <c r="Z780" s="2">
        <v>44147</v>
      </c>
      <c r="AA780" s="2">
        <v>44154</v>
      </c>
      <c r="AB780" s="2">
        <v>44141</v>
      </c>
      <c r="AC780" s="1"/>
      <c r="AD780">
        <v>6</v>
      </c>
      <c r="AE780">
        <v>83</v>
      </c>
    </row>
    <row r="781" spans="1:31" x14ac:dyDescent="0.35">
      <c r="A781">
        <v>787</v>
      </c>
      <c r="B781" s="1"/>
      <c r="C781">
        <v>0</v>
      </c>
      <c r="D781" s="1"/>
      <c r="E781" s="1"/>
      <c r="F781" s="1" t="s">
        <v>30</v>
      </c>
      <c r="G781" s="1" t="s">
        <v>2875</v>
      </c>
      <c r="H781" s="1" t="s">
        <v>2876</v>
      </c>
      <c r="I781" s="1"/>
      <c r="J781" s="1" t="s">
        <v>2877</v>
      </c>
      <c r="K781" s="1"/>
      <c r="L781" s="1"/>
      <c r="M781" s="1" t="s">
        <v>34</v>
      </c>
      <c r="N781" s="1" t="s">
        <v>245</v>
      </c>
      <c r="O781" s="1" t="s">
        <v>147</v>
      </c>
      <c r="P781" s="1" t="s">
        <v>37</v>
      </c>
      <c r="Q781" s="1"/>
      <c r="R781" s="2">
        <v>44141</v>
      </c>
      <c r="S781" s="1"/>
      <c r="W781" s="1" t="s">
        <v>38</v>
      </c>
      <c r="X781" s="2">
        <v>44148</v>
      </c>
      <c r="Y781" s="2">
        <v>44151</v>
      </c>
      <c r="Z781" s="2">
        <v>44148</v>
      </c>
      <c r="AA781" s="2">
        <v>44145</v>
      </c>
      <c r="AB781" s="2">
        <v>44141</v>
      </c>
      <c r="AC781" s="1"/>
      <c r="AD781">
        <v>7</v>
      </c>
      <c r="AE781">
        <v>83</v>
      </c>
    </row>
    <row r="782" spans="1:31" x14ac:dyDescent="0.35">
      <c r="A782">
        <v>788</v>
      </c>
      <c r="B782" s="1"/>
      <c r="C782">
        <v>0</v>
      </c>
      <c r="D782" s="1"/>
      <c r="E782" s="1"/>
      <c r="F782" s="1" t="s">
        <v>30</v>
      </c>
      <c r="G782" s="1" t="s">
        <v>2878</v>
      </c>
      <c r="H782" s="1" t="s">
        <v>2879</v>
      </c>
      <c r="I782" s="1" t="s">
        <v>2880</v>
      </c>
      <c r="J782" s="1" t="s">
        <v>2881</v>
      </c>
      <c r="K782" s="1"/>
      <c r="L782" s="1"/>
      <c r="M782" s="1" t="s">
        <v>34</v>
      </c>
      <c r="N782" s="1" t="s">
        <v>192</v>
      </c>
      <c r="O782" s="1" t="s">
        <v>193</v>
      </c>
      <c r="P782" s="1" t="s">
        <v>63</v>
      </c>
      <c r="Q782" s="1"/>
      <c r="R782" s="2">
        <v>44142</v>
      </c>
      <c r="S782" s="1"/>
      <c r="W782" s="1" t="s">
        <v>38</v>
      </c>
      <c r="X782" s="2">
        <v>44149</v>
      </c>
      <c r="Y782" s="2">
        <v>44154</v>
      </c>
      <c r="Z782" s="2">
        <v>44147</v>
      </c>
      <c r="AA782" s="2">
        <v>44145</v>
      </c>
      <c r="AB782" s="2">
        <v>44142</v>
      </c>
      <c r="AC782" s="1"/>
      <c r="AD782">
        <v>5</v>
      </c>
      <c r="AE782">
        <v>82</v>
      </c>
    </row>
    <row r="783" spans="1:31" x14ac:dyDescent="0.35">
      <c r="A783">
        <v>789</v>
      </c>
      <c r="B783" s="1"/>
      <c r="C783">
        <v>0</v>
      </c>
      <c r="D783" s="1"/>
      <c r="E783" s="1"/>
      <c r="F783" s="1" t="s">
        <v>30</v>
      </c>
      <c r="G783" s="1" t="s">
        <v>2882</v>
      </c>
      <c r="H783" s="1" t="s">
        <v>2883</v>
      </c>
      <c r="I783" s="1"/>
      <c r="J783" s="1" t="s">
        <v>2884</v>
      </c>
      <c r="K783" s="1"/>
      <c r="L783" s="1"/>
      <c r="M783" s="1" t="s">
        <v>34</v>
      </c>
      <c r="N783" s="1" t="s">
        <v>245</v>
      </c>
      <c r="O783" s="1" t="s">
        <v>147</v>
      </c>
      <c r="P783" s="1" t="s">
        <v>37</v>
      </c>
      <c r="Q783" s="1"/>
      <c r="R783" s="2">
        <v>44144</v>
      </c>
      <c r="S783" s="1"/>
      <c r="W783" s="1" t="s">
        <v>38</v>
      </c>
      <c r="X783" s="2">
        <v>44151</v>
      </c>
      <c r="Y783" s="2">
        <v>44173</v>
      </c>
      <c r="Z783" s="2">
        <v>44173</v>
      </c>
      <c r="AA783" s="2">
        <v>44154</v>
      </c>
      <c r="AB783" s="2">
        <v>44144</v>
      </c>
      <c r="AC783" s="1"/>
      <c r="AD783">
        <v>29</v>
      </c>
      <c r="AE783">
        <v>80</v>
      </c>
    </row>
    <row r="784" spans="1:31" x14ac:dyDescent="0.35">
      <c r="A784">
        <v>790</v>
      </c>
      <c r="B784" s="1"/>
      <c r="C784">
        <v>0</v>
      </c>
      <c r="D784" s="1"/>
      <c r="E784" s="1"/>
      <c r="F784" s="1" t="s">
        <v>30</v>
      </c>
      <c r="G784" s="1" t="s">
        <v>2885</v>
      </c>
      <c r="H784" s="1" t="s">
        <v>2886</v>
      </c>
      <c r="I784" s="1"/>
      <c r="J784" s="1" t="s">
        <v>2887</v>
      </c>
      <c r="K784" s="1"/>
      <c r="L784" s="1"/>
      <c r="M784" s="1" t="s">
        <v>34</v>
      </c>
      <c r="N784" s="1" t="s">
        <v>483</v>
      </c>
      <c r="O784" s="1" t="s">
        <v>484</v>
      </c>
      <c r="P784" s="1" t="s">
        <v>116</v>
      </c>
      <c r="Q784" s="1"/>
      <c r="R784" s="2">
        <v>44144</v>
      </c>
      <c r="S784" s="1"/>
      <c r="W784" s="1" t="s">
        <v>38</v>
      </c>
      <c r="X784" s="2">
        <v>44151</v>
      </c>
      <c r="Y784" s="2">
        <v>44182</v>
      </c>
      <c r="Z784" s="2">
        <v>44176</v>
      </c>
      <c r="AA784" s="2">
        <v>44144</v>
      </c>
      <c r="AB784" s="2">
        <v>44144</v>
      </c>
      <c r="AC784" s="1"/>
      <c r="AD784">
        <v>32</v>
      </c>
      <c r="AE784">
        <v>80</v>
      </c>
    </row>
    <row r="785" spans="1:31" x14ac:dyDescent="0.35">
      <c r="A785">
        <v>791</v>
      </c>
      <c r="B785" s="1"/>
      <c r="C785">
        <v>0</v>
      </c>
      <c r="D785" s="1"/>
      <c r="E785" s="1" t="s">
        <v>2888</v>
      </c>
      <c r="F785" s="1" t="s">
        <v>30</v>
      </c>
      <c r="G785" s="1" t="s">
        <v>2889</v>
      </c>
      <c r="H785" s="1" t="s">
        <v>2890</v>
      </c>
      <c r="I785" s="1"/>
      <c r="J785" s="1" t="s">
        <v>2891</v>
      </c>
      <c r="K785" s="1"/>
      <c r="L785" s="1"/>
      <c r="M785" s="1" t="s">
        <v>34</v>
      </c>
      <c r="N785" s="1" t="s">
        <v>880</v>
      </c>
      <c r="O785" s="1" t="s">
        <v>44</v>
      </c>
      <c r="P785" s="1" t="s">
        <v>37</v>
      </c>
      <c r="Q785" s="1"/>
      <c r="R785" s="2">
        <v>44145</v>
      </c>
      <c r="S785" s="1"/>
      <c r="W785" s="1" t="s">
        <v>38</v>
      </c>
      <c r="X785" s="2">
        <v>44152</v>
      </c>
      <c r="Y785" s="2">
        <v>44182</v>
      </c>
      <c r="Z785" s="2">
        <v>44181</v>
      </c>
      <c r="AA785" s="2">
        <v>44152</v>
      </c>
      <c r="AB785" s="2">
        <v>44145</v>
      </c>
      <c r="AC785" s="1"/>
      <c r="AD785">
        <v>36</v>
      </c>
      <c r="AE785">
        <v>79</v>
      </c>
    </row>
    <row r="786" spans="1:31" x14ac:dyDescent="0.35">
      <c r="A786">
        <v>793</v>
      </c>
      <c r="B786" s="1"/>
      <c r="C786">
        <v>0</v>
      </c>
      <c r="D786" s="1"/>
      <c r="E786" s="1"/>
      <c r="F786" s="1" t="s">
        <v>30</v>
      </c>
      <c r="G786" s="1" t="s">
        <v>2892</v>
      </c>
      <c r="H786" s="1" t="s">
        <v>2893</v>
      </c>
      <c r="I786" s="1"/>
      <c r="J786" s="1" t="s">
        <v>2894</v>
      </c>
      <c r="K786" s="1"/>
      <c r="L786" s="1"/>
      <c r="M786" s="1" t="s">
        <v>34</v>
      </c>
      <c r="N786" s="1" t="s">
        <v>43</v>
      </c>
      <c r="O786" s="1" t="s">
        <v>44</v>
      </c>
      <c r="P786" s="1" t="s">
        <v>245</v>
      </c>
      <c r="Q786" s="1" t="s">
        <v>147</v>
      </c>
      <c r="R786" s="2">
        <v>44145</v>
      </c>
      <c r="S786" s="1"/>
      <c r="W786" s="1" t="s">
        <v>38</v>
      </c>
      <c r="X786" s="2">
        <v>44152</v>
      </c>
      <c r="Y786" s="2">
        <v>44151</v>
      </c>
      <c r="Z786" s="2">
        <v>44151</v>
      </c>
      <c r="AA786" s="2">
        <v>44147</v>
      </c>
      <c r="AB786" s="2">
        <v>44145</v>
      </c>
      <c r="AC786" s="1"/>
      <c r="AD786">
        <v>6</v>
      </c>
      <c r="AE786">
        <v>79</v>
      </c>
    </row>
    <row r="787" spans="1:31" x14ac:dyDescent="0.35">
      <c r="A787">
        <v>794</v>
      </c>
      <c r="B787" s="1"/>
      <c r="C787">
        <v>0</v>
      </c>
      <c r="D787" s="1"/>
      <c r="E787" s="1" t="s">
        <v>2895</v>
      </c>
      <c r="F787" s="1" t="s">
        <v>30</v>
      </c>
      <c r="G787" s="1" t="s">
        <v>2896</v>
      </c>
      <c r="H787" s="1" t="s">
        <v>2897</v>
      </c>
      <c r="I787" s="1"/>
      <c r="J787" s="1" t="s">
        <v>2898</v>
      </c>
      <c r="K787" s="1"/>
      <c r="L787" s="1"/>
      <c r="M787" s="1" t="s">
        <v>34</v>
      </c>
      <c r="N787" s="1" t="s">
        <v>43</v>
      </c>
      <c r="O787" s="1" t="s">
        <v>44</v>
      </c>
      <c r="P787" s="1" t="s">
        <v>37</v>
      </c>
      <c r="Q787" s="1"/>
      <c r="R787" s="2">
        <v>44146</v>
      </c>
      <c r="S787" s="1"/>
      <c r="W787" s="1" t="s">
        <v>38</v>
      </c>
      <c r="X787" s="2">
        <v>44152</v>
      </c>
      <c r="Y787" s="2">
        <v>44151</v>
      </c>
      <c r="Z787" s="2">
        <v>44151</v>
      </c>
      <c r="AA787" s="2"/>
      <c r="AB787" s="2">
        <v>44146</v>
      </c>
      <c r="AC787" s="1"/>
      <c r="AD787">
        <v>5</v>
      </c>
      <c r="AE787">
        <v>78</v>
      </c>
    </row>
    <row r="788" spans="1:31" x14ac:dyDescent="0.35">
      <c r="A788">
        <v>795</v>
      </c>
      <c r="B788" s="1"/>
      <c r="C788">
        <v>0</v>
      </c>
      <c r="D788" s="1"/>
      <c r="E788" s="1"/>
      <c r="F788" s="1" t="s">
        <v>30</v>
      </c>
      <c r="G788" s="1" t="s">
        <v>2899</v>
      </c>
      <c r="H788" s="1" t="s">
        <v>2900</v>
      </c>
      <c r="I788" s="1"/>
      <c r="J788" s="1" t="s">
        <v>2901</v>
      </c>
      <c r="K788" s="1"/>
      <c r="L788" s="1"/>
      <c r="M788" s="1" t="s">
        <v>34</v>
      </c>
      <c r="N788" s="1" t="s">
        <v>245</v>
      </c>
      <c r="O788" s="1" t="s">
        <v>147</v>
      </c>
      <c r="P788" s="1" t="s">
        <v>37</v>
      </c>
      <c r="Q788" s="1"/>
      <c r="R788" s="2">
        <v>44146</v>
      </c>
      <c r="S788" s="1"/>
      <c r="W788" s="1" t="s">
        <v>38</v>
      </c>
      <c r="X788" s="2">
        <v>44153</v>
      </c>
      <c r="Y788" s="2">
        <v>44173</v>
      </c>
      <c r="Z788" s="2">
        <v>44169</v>
      </c>
      <c r="AA788" s="2">
        <v>44147</v>
      </c>
      <c r="AB788" s="2">
        <v>44146</v>
      </c>
      <c r="AC788" s="1"/>
      <c r="AD788">
        <v>23</v>
      </c>
      <c r="AE788">
        <v>78</v>
      </c>
    </row>
    <row r="789" spans="1:31" x14ac:dyDescent="0.35">
      <c r="A789">
        <v>796</v>
      </c>
      <c r="B789" s="1"/>
      <c r="C789">
        <v>0</v>
      </c>
      <c r="D789" s="1"/>
      <c r="E789" s="1"/>
      <c r="F789" s="1" t="s">
        <v>30</v>
      </c>
      <c r="G789" s="1" t="s">
        <v>2902</v>
      </c>
      <c r="H789" s="1" t="s">
        <v>2903</v>
      </c>
      <c r="I789" s="1"/>
      <c r="J789" s="1" t="s">
        <v>2904</v>
      </c>
      <c r="K789" s="1"/>
      <c r="L789" s="1"/>
      <c r="M789" s="1" t="s">
        <v>34</v>
      </c>
      <c r="N789" s="1" t="s">
        <v>245</v>
      </c>
      <c r="O789" s="1" t="s">
        <v>147</v>
      </c>
      <c r="P789" s="1" t="s">
        <v>2905</v>
      </c>
      <c r="Q789" s="1" t="s">
        <v>2906</v>
      </c>
      <c r="R789" s="2">
        <v>44146</v>
      </c>
      <c r="S789" s="1"/>
      <c r="W789" s="1" t="s">
        <v>38</v>
      </c>
      <c r="X789" s="2">
        <v>44153</v>
      </c>
      <c r="Y789" s="2">
        <v>44153</v>
      </c>
      <c r="Z789" s="2">
        <v>44152</v>
      </c>
      <c r="AA789" s="2">
        <v>44151</v>
      </c>
      <c r="AB789" s="2">
        <v>44146</v>
      </c>
      <c r="AC789" s="1"/>
      <c r="AD789">
        <v>6</v>
      </c>
      <c r="AE789">
        <v>78</v>
      </c>
    </row>
    <row r="790" spans="1:31" x14ac:dyDescent="0.35">
      <c r="A790">
        <v>797</v>
      </c>
      <c r="B790" s="1"/>
      <c r="C790">
        <v>0</v>
      </c>
      <c r="D790" s="1" t="s">
        <v>206</v>
      </c>
      <c r="E790" s="1" t="s">
        <v>2907</v>
      </c>
      <c r="F790" s="1" t="s">
        <v>30</v>
      </c>
      <c r="G790" s="1" t="s">
        <v>2908</v>
      </c>
      <c r="H790" s="1" t="s">
        <v>2909</v>
      </c>
      <c r="I790" s="1" t="s">
        <v>2910</v>
      </c>
      <c r="J790" s="1" t="s">
        <v>2911</v>
      </c>
      <c r="K790" s="1"/>
      <c r="L790" s="1"/>
      <c r="M790" s="1" t="s">
        <v>197</v>
      </c>
      <c r="N790" s="1" t="s">
        <v>97</v>
      </c>
      <c r="O790" s="1" t="s">
        <v>98</v>
      </c>
      <c r="P790" s="1" t="s">
        <v>99</v>
      </c>
      <c r="Q790" s="1"/>
      <c r="R790" s="2">
        <v>44146</v>
      </c>
      <c r="S790" s="1"/>
      <c r="W790" s="1" t="s">
        <v>38</v>
      </c>
      <c r="X790" s="2">
        <v>44161</v>
      </c>
      <c r="Y790" s="2">
        <v>44181</v>
      </c>
      <c r="Z790" s="2">
        <v>44180</v>
      </c>
      <c r="AA790" s="2">
        <v>44147</v>
      </c>
      <c r="AB790" s="2">
        <v>44146</v>
      </c>
      <c r="AC790" s="1"/>
      <c r="AD790">
        <v>34</v>
      </c>
      <c r="AE790">
        <v>78</v>
      </c>
    </row>
    <row r="791" spans="1:31" x14ac:dyDescent="0.35">
      <c r="A791">
        <v>798</v>
      </c>
      <c r="B791" s="1"/>
      <c r="C791">
        <v>0</v>
      </c>
      <c r="D791" s="1"/>
      <c r="E791" s="1"/>
      <c r="F791" s="1" t="s">
        <v>30</v>
      </c>
      <c r="G791" s="1" t="s">
        <v>2912</v>
      </c>
      <c r="H791" s="1" t="s">
        <v>2913</v>
      </c>
      <c r="I791" s="1"/>
      <c r="J791" s="1" t="s">
        <v>2914</v>
      </c>
      <c r="K791" s="1"/>
      <c r="L791" s="1"/>
      <c r="M791" s="1" t="s">
        <v>34</v>
      </c>
      <c r="N791" s="1" t="s">
        <v>245</v>
      </c>
      <c r="O791" s="1" t="s">
        <v>147</v>
      </c>
      <c r="P791" s="1" t="s">
        <v>379</v>
      </c>
      <c r="Q791" s="1"/>
      <c r="R791" s="2">
        <v>44146</v>
      </c>
      <c r="S791" s="1"/>
      <c r="W791" s="1" t="s">
        <v>38</v>
      </c>
      <c r="X791" s="2">
        <v>44153</v>
      </c>
      <c r="Y791" s="2">
        <v>44153</v>
      </c>
      <c r="Z791" s="2">
        <v>44151</v>
      </c>
      <c r="AA791" s="2">
        <v>44147</v>
      </c>
      <c r="AB791" s="2">
        <v>44146</v>
      </c>
      <c r="AC791" s="1"/>
      <c r="AD791">
        <v>5</v>
      </c>
      <c r="AE791">
        <v>78</v>
      </c>
    </row>
    <row r="792" spans="1:31" x14ac:dyDescent="0.35">
      <c r="A792">
        <v>799</v>
      </c>
      <c r="B792" s="1"/>
      <c r="C792">
        <v>0</v>
      </c>
      <c r="D792" s="1"/>
      <c r="E792" s="1"/>
      <c r="F792" s="1" t="s">
        <v>30</v>
      </c>
      <c r="G792" s="1" t="s">
        <v>2915</v>
      </c>
      <c r="H792" s="1" t="s">
        <v>2916</v>
      </c>
      <c r="I792" s="1"/>
      <c r="J792" s="1" t="s">
        <v>2917</v>
      </c>
      <c r="K792" s="1"/>
      <c r="L792" s="1"/>
      <c r="M792" s="1" t="s">
        <v>197</v>
      </c>
      <c r="N792" s="1" t="s">
        <v>437</v>
      </c>
      <c r="O792" s="1" t="s">
        <v>44</v>
      </c>
      <c r="P792" s="1" t="s">
        <v>437</v>
      </c>
      <c r="Q792" s="1" t="s">
        <v>44</v>
      </c>
      <c r="R792" s="2">
        <v>44147</v>
      </c>
      <c r="S792" s="1"/>
      <c r="W792" s="1" t="s">
        <v>38</v>
      </c>
      <c r="X792" s="2">
        <v>44150</v>
      </c>
      <c r="Y792" s="2">
        <v>44148</v>
      </c>
      <c r="Z792" s="2">
        <v>44147</v>
      </c>
      <c r="AA792" s="2">
        <v>44147</v>
      </c>
      <c r="AB792" s="2">
        <v>44147</v>
      </c>
      <c r="AC792" s="1"/>
      <c r="AD792">
        <v>0</v>
      </c>
      <c r="AE792">
        <v>77</v>
      </c>
    </row>
    <row r="793" spans="1:31" x14ac:dyDescent="0.35">
      <c r="A793">
        <v>800</v>
      </c>
      <c r="B793" s="1"/>
      <c r="C793">
        <v>0</v>
      </c>
      <c r="D793" s="1"/>
      <c r="E793" s="1"/>
      <c r="F793" s="1" t="s">
        <v>30</v>
      </c>
      <c r="G793" s="1" t="s">
        <v>2918</v>
      </c>
      <c r="H793" s="1" t="s">
        <v>2919</v>
      </c>
      <c r="I793" s="1"/>
      <c r="J793" s="1"/>
      <c r="K793" s="1" t="s">
        <v>37</v>
      </c>
      <c r="L793" s="1"/>
      <c r="M793" s="1" t="s">
        <v>34</v>
      </c>
      <c r="N793" s="1" t="s">
        <v>43</v>
      </c>
      <c r="O793" s="1" t="s">
        <v>44</v>
      </c>
      <c r="P793" s="1" t="s">
        <v>37</v>
      </c>
      <c r="Q793" s="1"/>
      <c r="R793" s="2">
        <v>44147</v>
      </c>
      <c r="S793" s="1"/>
      <c r="W793" s="1" t="s">
        <v>118</v>
      </c>
      <c r="X793" s="2">
        <v>44154</v>
      </c>
      <c r="Y793" s="2"/>
      <c r="Z793" s="2"/>
      <c r="AA793" s="2">
        <v>44147</v>
      </c>
      <c r="AB793" s="2">
        <v>44147</v>
      </c>
      <c r="AC793" s="1"/>
      <c r="AE793">
        <v>77</v>
      </c>
    </row>
    <row r="794" spans="1:31" x14ac:dyDescent="0.35">
      <c r="A794">
        <v>801</v>
      </c>
      <c r="B794" s="1"/>
      <c r="C794">
        <v>0</v>
      </c>
      <c r="D794" s="1"/>
      <c r="E794" s="1"/>
      <c r="F794" s="1" t="s">
        <v>30</v>
      </c>
      <c r="G794" s="1" t="s">
        <v>2920</v>
      </c>
      <c r="H794" s="1" t="s">
        <v>2921</v>
      </c>
      <c r="I794" s="1"/>
      <c r="J794" s="1" t="s">
        <v>2922</v>
      </c>
      <c r="K794" s="1"/>
      <c r="L794" s="1"/>
      <c r="M794" s="1" t="s">
        <v>34</v>
      </c>
      <c r="N794" s="1" t="s">
        <v>245</v>
      </c>
      <c r="O794" s="1" t="s">
        <v>147</v>
      </c>
      <c r="P794" s="1" t="s">
        <v>379</v>
      </c>
      <c r="Q794" s="1"/>
      <c r="R794" s="2">
        <v>44151</v>
      </c>
      <c r="S794" s="1"/>
      <c r="W794" s="1" t="s">
        <v>38</v>
      </c>
      <c r="X794" s="2">
        <v>44158</v>
      </c>
      <c r="Y794" s="2">
        <v>44173</v>
      </c>
      <c r="Z794" s="2">
        <v>44168</v>
      </c>
      <c r="AA794" s="2">
        <v>44168</v>
      </c>
      <c r="AB794" s="2">
        <v>44151</v>
      </c>
      <c r="AC794" s="1"/>
      <c r="AD794">
        <v>17</v>
      </c>
      <c r="AE794">
        <v>73</v>
      </c>
    </row>
    <row r="795" spans="1:31" x14ac:dyDescent="0.35">
      <c r="A795">
        <v>802</v>
      </c>
      <c r="B795" s="1"/>
      <c r="C795">
        <v>0</v>
      </c>
      <c r="D795" s="1"/>
      <c r="E795" s="1"/>
      <c r="F795" s="1" t="s">
        <v>30</v>
      </c>
      <c r="G795" s="1" t="s">
        <v>2923</v>
      </c>
      <c r="H795" s="1" t="s">
        <v>2924</v>
      </c>
      <c r="I795" s="1"/>
      <c r="J795" s="1" t="s">
        <v>2925</v>
      </c>
      <c r="K795" s="1"/>
      <c r="L795" s="1"/>
      <c r="M795" s="1" t="s">
        <v>34</v>
      </c>
      <c r="N795" s="1" t="s">
        <v>245</v>
      </c>
      <c r="O795" s="1" t="s">
        <v>147</v>
      </c>
      <c r="P795" s="1" t="s">
        <v>245</v>
      </c>
      <c r="Q795" s="1" t="s">
        <v>147</v>
      </c>
      <c r="R795" s="2">
        <v>44151</v>
      </c>
      <c r="S795" s="1"/>
      <c r="W795" s="1" t="s">
        <v>38</v>
      </c>
      <c r="X795" s="2">
        <v>44158</v>
      </c>
      <c r="Y795" s="2">
        <v>44186</v>
      </c>
      <c r="Z795" s="2">
        <v>44154</v>
      </c>
      <c r="AA795" s="2">
        <v>44166</v>
      </c>
      <c r="AB795" s="2">
        <v>44151</v>
      </c>
      <c r="AC795" s="1"/>
      <c r="AD795">
        <v>3</v>
      </c>
      <c r="AE795">
        <v>73</v>
      </c>
    </row>
    <row r="796" spans="1:31" x14ac:dyDescent="0.35">
      <c r="A796">
        <v>803</v>
      </c>
      <c r="B796" s="1"/>
      <c r="C796">
        <v>0</v>
      </c>
      <c r="D796" s="1"/>
      <c r="E796" s="1"/>
      <c r="F796" s="1" t="s">
        <v>30</v>
      </c>
      <c r="G796" s="1" t="s">
        <v>2926</v>
      </c>
      <c r="H796" s="1" t="s">
        <v>2927</v>
      </c>
      <c r="I796" s="1"/>
      <c r="J796" s="1" t="s">
        <v>2928</v>
      </c>
      <c r="K796" s="1"/>
      <c r="L796" s="1"/>
      <c r="M796" s="1" t="s">
        <v>34</v>
      </c>
      <c r="N796" s="1" t="s">
        <v>437</v>
      </c>
      <c r="O796" s="1" t="s">
        <v>44</v>
      </c>
      <c r="P796" s="1" t="s">
        <v>278</v>
      </c>
      <c r="Q796" s="1"/>
      <c r="R796" s="2">
        <v>44152</v>
      </c>
      <c r="S796" s="1"/>
      <c r="W796" s="1" t="s">
        <v>38</v>
      </c>
      <c r="X796" s="2">
        <v>44159</v>
      </c>
      <c r="Y796" s="2">
        <v>44168</v>
      </c>
      <c r="Z796" s="2">
        <v>44168</v>
      </c>
      <c r="AA796" s="2">
        <v>44153</v>
      </c>
      <c r="AB796" s="2">
        <v>44152</v>
      </c>
      <c r="AC796" s="1"/>
      <c r="AD796">
        <v>16</v>
      </c>
      <c r="AE796">
        <v>72</v>
      </c>
    </row>
    <row r="797" spans="1:31" x14ac:dyDescent="0.35">
      <c r="A797">
        <v>804</v>
      </c>
      <c r="B797" s="1"/>
      <c r="C797">
        <v>0</v>
      </c>
      <c r="D797" s="1"/>
      <c r="E797" s="1"/>
      <c r="F797" s="1" t="s">
        <v>30</v>
      </c>
      <c r="G797" s="1" t="s">
        <v>2929</v>
      </c>
      <c r="H797" s="1" t="s">
        <v>2930</v>
      </c>
      <c r="I797" s="1"/>
      <c r="J797" s="1" t="s">
        <v>2931</v>
      </c>
      <c r="K797" s="1"/>
      <c r="L797" s="1"/>
      <c r="M797" s="1" t="s">
        <v>197</v>
      </c>
      <c r="N797" s="1" t="s">
        <v>853</v>
      </c>
      <c r="O797" s="1" t="s">
        <v>854</v>
      </c>
      <c r="P797" s="1" t="s">
        <v>37</v>
      </c>
      <c r="Q797" s="1"/>
      <c r="R797" s="2">
        <v>44152</v>
      </c>
      <c r="S797" s="1"/>
      <c r="W797" s="1" t="s">
        <v>38</v>
      </c>
      <c r="X797" s="2">
        <v>44155</v>
      </c>
      <c r="Y797" s="2">
        <v>44153</v>
      </c>
      <c r="Z797" s="2">
        <v>44152</v>
      </c>
      <c r="AA797" s="2"/>
      <c r="AB797" s="2">
        <v>44152</v>
      </c>
      <c r="AC797" s="1"/>
      <c r="AD797">
        <v>0</v>
      </c>
      <c r="AE797">
        <v>72</v>
      </c>
    </row>
    <row r="798" spans="1:31" x14ac:dyDescent="0.35">
      <c r="A798">
        <v>805</v>
      </c>
      <c r="B798" s="1"/>
      <c r="C798">
        <v>0</v>
      </c>
      <c r="D798" s="1"/>
      <c r="E798" s="1"/>
      <c r="F798" s="1" t="s">
        <v>30</v>
      </c>
      <c r="G798" s="1" t="s">
        <v>2932</v>
      </c>
      <c r="H798" s="1" t="s">
        <v>2933</v>
      </c>
      <c r="I798" s="1"/>
      <c r="J798" s="1" t="s">
        <v>2934</v>
      </c>
      <c r="K798" s="1"/>
      <c r="L798" s="1"/>
      <c r="M798" s="1" t="s">
        <v>34</v>
      </c>
      <c r="N798" s="1" t="s">
        <v>245</v>
      </c>
      <c r="O798" s="1" t="s">
        <v>147</v>
      </c>
      <c r="P798" s="1" t="s">
        <v>379</v>
      </c>
      <c r="Q798" s="1"/>
      <c r="R798" s="2">
        <v>44152</v>
      </c>
      <c r="S798" s="1"/>
      <c r="W798" s="1" t="s">
        <v>38</v>
      </c>
      <c r="X798" s="2">
        <v>44159</v>
      </c>
      <c r="Y798" s="2">
        <v>44154</v>
      </c>
      <c r="Z798" s="2">
        <v>44154</v>
      </c>
      <c r="AA798" s="2">
        <v>44153</v>
      </c>
      <c r="AB798" s="2">
        <v>44152</v>
      </c>
      <c r="AC798" s="1"/>
      <c r="AD798">
        <v>2</v>
      </c>
      <c r="AE798">
        <v>72</v>
      </c>
    </row>
    <row r="799" spans="1:31" x14ac:dyDescent="0.35">
      <c r="A799">
        <v>806</v>
      </c>
      <c r="B799" s="1"/>
      <c r="C799">
        <v>0</v>
      </c>
      <c r="D799" s="1" t="s">
        <v>206</v>
      </c>
      <c r="E799" s="1" t="s">
        <v>2935</v>
      </c>
      <c r="F799" s="1" t="s">
        <v>30</v>
      </c>
      <c r="G799" s="1" t="s">
        <v>2936</v>
      </c>
      <c r="H799" s="1" t="s">
        <v>2937</v>
      </c>
      <c r="I799" s="1" t="s">
        <v>2938</v>
      </c>
      <c r="J799" s="1" t="s">
        <v>2939</v>
      </c>
      <c r="K799" s="1"/>
      <c r="L799" s="1"/>
      <c r="M799" s="1" t="s">
        <v>197</v>
      </c>
      <c r="N799" s="1" t="s">
        <v>97</v>
      </c>
      <c r="O799" s="1" t="s">
        <v>98</v>
      </c>
      <c r="P799" s="1" t="s">
        <v>99</v>
      </c>
      <c r="Q799" s="1"/>
      <c r="R799" s="2">
        <v>44154</v>
      </c>
      <c r="S799" s="1"/>
      <c r="W799" s="1" t="s">
        <v>38</v>
      </c>
      <c r="X799" s="2">
        <v>44156</v>
      </c>
      <c r="Y799" s="2">
        <v>44165</v>
      </c>
      <c r="Z799" s="2">
        <v>44155</v>
      </c>
      <c r="AA799" s="2">
        <v>44154</v>
      </c>
      <c r="AB799" s="2">
        <v>44154</v>
      </c>
      <c r="AC799" s="1"/>
      <c r="AD799">
        <v>1</v>
      </c>
      <c r="AE799">
        <v>70</v>
      </c>
    </row>
    <row r="800" spans="1:31" x14ac:dyDescent="0.35">
      <c r="A800">
        <v>807</v>
      </c>
      <c r="B800" s="1"/>
      <c r="C800">
        <v>0</v>
      </c>
      <c r="D800" s="1"/>
      <c r="E800" s="1"/>
      <c r="F800" s="1" t="s">
        <v>30</v>
      </c>
      <c r="G800" s="1" t="s">
        <v>2940</v>
      </c>
      <c r="H800" s="1" t="s">
        <v>2941</v>
      </c>
      <c r="I800" s="1"/>
      <c r="J800" s="1" t="s">
        <v>2942</v>
      </c>
      <c r="K800" s="1"/>
      <c r="L800" s="1"/>
      <c r="M800" s="1" t="s">
        <v>34</v>
      </c>
      <c r="N800" s="1" t="s">
        <v>437</v>
      </c>
      <c r="O800" s="1" t="s">
        <v>44</v>
      </c>
      <c r="P800" s="1" t="s">
        <v>278</v>
      </c>
      <c r="Q800" s="1"/>
      <c r="R800" s="2">
        <v>44154</v>
      </c>
      <c r="S800" s="1"/>
      <c r="W800" s="1" t="s">
        <v>38</v>
      </c>
      <c r="X800" s="2">
        <v>44161</v>
      </c>
      <c r="Y800" s="2">
        <v>44168</v>
      </c>
      <c r="Z800" s="2">
        <v>44159</v>
      </c>
      <c r="AA800" s="2">
        <v>44154</v>
      </c>
      <c r="AB800" s="2">
        <v>44154</v>
      </c>
      <c r="AC800" s="1"/>
      <c r="AD800">
        <v>5</v>
      </c>
      <c r="AE800">
        <v>70</v>
      </c>
    </row>
    <row r="801" spans="1:31" x14ac:dyDescent="0.35">
      <c r="A801">
        <v>808</v>
      </c>
      <c r="B801" s="1"/>
      <c r="C801">
        <v>0</v>
      </c>
      <c r="D801" s="1"/>
      <c r="E801" s="1"/>
      <c r="F801" s="1" t="s">
        <v>30</v>
      </c>
      <c r="G801" s="1" t="s">
        <v>2943</v>
      </c>
      <c r="H801" s="1" t="s">
        <v>2944</v>
      </c>
      <c r="I801" s="1"/>
      <c r="J801" s="1" t="s">
        <v>2945</v>
      </c>
      <c r="K801" s="1"/>
      <c r="L801" s="1"/>
      <c r="M801" s="1" t="s">
        <v>34</v>
      </c>
      <c r="N801" s="1" t="s">
        <v>437</v>
      </c>
      <c r="O801" s="1" t="s">
        <v>44</v>
      </c>
      <c r="P801" s="1" t="s">
        <v>278</v>
      </c>
      <c r="Q801" s="1"/>
      <c r="R801" s="2">
        <v>44154</v>
      </c>
      <c r="S801" s="1"/>
      <c r="W801" s="1" t="s">
        <v>38</v>
      </c>
      <c r="X801" s="2">
        <v>44161</v>
      </c>
      <c r="Y801" s="2">
        <v>44168</v>
      </c>
      <c r="Z801" s="2">
        <v>44154</v>
      </c>
      <c r="AA801" s="2">
        <v>44154</v>
      </c>
      <c r="AB801" s="2">
        <v>44154</v>
      </c>
      <c r="AC801" s="1"/>
      <c r="AD801">
        <v>0</v>
      </c>
      <c r="AE801">
        <v>70</v>
      </c>
    </row>
    <row r="802" spans="1:31" x14ac:dyDescent="0.35">
      <c r="A802">
        <v>809</v>
      </c>
      <c r="B802" s="1"/>
      <c r="C802">
        <v>0</v>
      </c>
      <c r="D802" s="1" t="s">
        <v>206</v>
      </c>
      <c r="E802" s="1" t="s">
        <v>2946</v>
      </c>
      <c r="F802" s="1" t="s">
        <v>30</v>
      </c>
      <c r="G802" s="1" t="s">
        <v>2947</v>
      </c>
      <c r="H802" s="1" t="s">
        <v>2948</v>
      </c>
      <c r="I802" s="1" t="s">
        <v>2949</v>
      </c>
      <c r="J802" s="1" t="s">
        <v>2950</v>
      </c>
      <c r="K802" s="1"/>
      <c r="L802" s="1"/>
      <c r="M802" s="1" t="s">
        <v>197</v>
      </c>
      <c r="N802" s="1" t="s">
        <v>97</v>
      </c>
      <c r="O802" s="1" t="s">
        <v>98</v>
      </c>
      <c r="P802" s="1" t="s">
        <v>37</v>
      </c>
      <c r="Q802" s="1"/>
      <c r="R802" s="2">
        <v>44154</v>
      </c>
      <c r="S802" s="1"/>
      <c r="W802" s="1" t="s">
        <v>38</v>
      </c>
      <c r="X802" s="2">
        <v>44161</v>
      </c>
      <c r="Y802" s="2">
        <v>44172</v>
      </c>
      <c r="Z802" s="2">
        <v>44169</v>
      </c>
      <c r="AA802" s="2">
        <v>44154</v>
      </c>
      <c r="AB802" s="2">
        <v>44154</v>
      </c>
      <c r="AC802" s="1"/>
      <c r="AD802">
        <v>15</v>
      </c>
      <c r="AE802">
        <v>70</v>
      </c>
    </row>
    <row r="803" spans="1:31" x14ac:dyDescent="0.35">
      <c r="A803">
        <v>810</v>
      </c>
      <c r="B803" s="1"/>
      <c r="C803">
        <v>0</v>
      </c>
      <c r="D803" s="1" t="s">
        <v>206</v>
      </c>
      <c r="E803" s="1" t="s">
        <v>2951</v>
      </c>
      <c r="F803" s="1" t="s">
        <v>30</v>
      </c>
      <c r="G803" s="1" t="s">
        <v>2952</v>
      </c>
      <c r="H803" s="1" t="s">
        <v>2953</v>
      </c>
      <c r="I803" s="1" t="s">
        <v>2954</v>
      </c>
      <c r="J803" s="1" t="s">
        <v>2955</v>
      </c>
      <c r="K803" s="1"/>
      <c r="L803" s="1"/>
      <c r="M803" s="1" t="s">
        <v>34</v>
      </c>
      <c r="N803" s="1" t="s">
        <v>97</v>
      </c>
      <c r="O803" s="1" t="s">
        <v>98</v>
      </c>
      <c r="P803" s="1" t="s">
        <v>99</v>
      </c>
      <c r="Q803" s="1"/>
      <c r="R803" s="2">
        <v>44154</v>
      </c>
      <c r="S803" s="1"/>
      <c r="W803" s="1" t="s">
        <v>38</v>
      </c>
      <c r="X803" s="2">
        <v>44161</v>
      </c>
      <c r="Y803" s="2">
        <v>44165</v>
      </c>
      <c r="Z803" s="2">
        <v>44158</v>
      </c>
      <c r="AA803" s="2">
        <v>44154</v>
      </c>
      <c r="AB803" s="2">
        <v>44154</v>
      </c>
      <c r="AC803" s="1"/>
      <c r="AD803">
        <v>4</v>
      </c>
      <c r="AE803">
        <v>70</v>
      </c>
    </row>
    <row r="804" spans="1:31" x14ac:dyDescent="0.35">
      <c r="A804">
        <v>811</v>
      </c>
      <c r="B804" s="1"/>
      <c r="C804">
        <v>0</v>
      </c>
      <c r="D804" s="1"/>
      <c r="E804" s="1"/>
      <c r="F804" s="1" t="s">
        <v>30</v>
      </c>
      <c r="G804" s="1" t="s">
        <v>2956</v>
      </c>
      <c r="H804" s="1" t="s">
        <v>2957</v>
      </c>
      <c r="I804" s="1"/>
      <c r="J804" s="1" t="s">
        <v>2958</v>
      </c>
      <c r="K804" s="1"/>
      <c r="L804" s="1"/>
      <c r="M804" s="1" t="s">
        <v>34</v>
      </c>
      <c r="N804" s="1" t="s">
        <v>245</v>
      </c>
      <c r="O804" s="1" t="s">
        <v>147</v>
      </c>
      <c r="P804" s="1" t="s">
        <v>37</v>
      </c>
      <c r="Q804" s="1"/>
      <c r="R804" s="2">
        <v>44154</v>
      </c>
      <c r="S804" s="1"/>
      <c r="W804" s="1" t="s">
        <v>38</v>
      </c>
      <c r="X804" s="2">
        <v>44161</v>
      </c>
      <c r="Y804" s="2">
        <v>44175</v>
      </c>
      <c r="Z804" s="2">
        <v>44173</v>
      </c>
      <c r="AA804" s="2">
        <v>44154</v>
      </c>
      <c r="AB804" s="2">
        <v>44154</v>
      </c>
      <c r="AC804" s="1"/>
      <c r="AD804">
        <v>19</v>
      </c>
      <c r="AE804">
        <v>70</v>
      </c>
    </row>
    <row r="805" spans="1:31" x14ac:dyDescent="0.35">
      <c r="A805">
        <v>812</v>
      </c>
      <c r="B805" s="1"/>
      <c r="C805">
        <v>0</v>
      </c>
      <c r="D805" s="1" t="s">
        <v>111</v>
      </c>
      <c r="E805" s="1" t="s">
        <v>2959</v>
      </c>
      <c r="F805" s="1" t="s">
        <v>30</v>
      </c>
      <c r="G805" s="1" t="s">
        <v>2960</v>
      </c>
      <c r="H805" s="1" t="s">
        <v>2961</v>
      </c>
      <c r="I805" s="1" t="s">
        <v>2962</v>
      </c>
      <c r="J805" s="1" t="s">
        <v>2963</v>
      </c>
      <c r="K805" s="1"/>
      <c r="L805" s="1"/>
      <c r="M805" s="1" t="s">
        <v>197</v>
      </c>
      <c r="N805" s="1" t="s">
        <v>97</v>
      </c>
      <c r="O805" s="1" t="s">
        <v>98</v>
      </c>
      <c r="P805" s="1" t="s">
        <v>99</v>
      </c>
      <c r="Q805" s="1"/>
      <c r="R805" s="2">
        <v>44154</v>
      </c>
      <c r="S805" s="1"/>
      <c r="W805" s="1" t="s">
        <v>38</v>
      </c>
      <c r="X805" s="2">
        <v>44161</v>
      </c>
      <c r="Y805" s="2">
        <v>44167</v>
      </c>
      <c r="Z805" s="2">
        <v>44166</v>
      </c>
      <c r="AA805" s="2">
        <v>44155</v>
      </c>
      <c r="AB805" s="2">
        <v>44154</v>
      </c>
      <c r="AC805" s="1"/>
      <c r="AD805">
        <v>12</v>
      </c>
      <c r="AE805">
        <v>70</v>
      </c>
    </row>
    <row r="806" spans="1:31" x14ac:dyDescent="0.35">
      <c r="A806">
        <v>813</v>
      </c>
      <c r="B806" s="1"/>
      <c r="C806">
        <v>0</v>
      </c>
      <c r="D806" s="1"/>
      <c r="E806" s="1"/>
      <c r="F806" s="1" t="s">
        <v>30</v>
      </c>
      <c r="G806" s="1" t="s">
        <v>2964</v>
      </c>
      <c r="H806" s="1" t="s">
        <v>2965</v>
      </c>
      <c r="I806" s="1"/>
      <c r="J806" s="1" t="s">
        <v>2966</v>
      </c>
      <c r="K806" s="1"/>
      <c r="L806" s="1"/>
      <c r="M806" s="1" t="s">
        <v>34</v>
      </c>
      <c r="N806" s="1" t="s">
        <v>43</v>
      </c>
      <c r="O806" s="1" t="s">
        <v>44</v>
      </c>
      <c r="P806" s="1" t="s">
        <v>37</v>
      </c>
      <c r="Q806" s="1"/>
      <c r="R806" s="2">
        <v>44155</v>
      </c>
      <c r="S806" s="1"/>
      <c r="W806" s="1" t="s">
        <v>38</v>
      </c>
      <c r="X806" s="2">
        <v>44162</v>
      </c>
      <c r="Y806" s="2">
        <v>44221</v>
      </c>
      <c r="Z806" s="2">
        <v>44216</v>
      </c>
      <c r="AA806" s="2">
        <v>44202</v>
      </c>
      <c r="AB806" s="2">
        <v>44155</v>
      </c>
      <c r="AC806" s="1"/>
      <c r="AD806">
        <v>61</v>
      </c>
      <c r="AE806">
        <v>69</v>
      </c>
    </row>
    <row r="807" spans="1:31" x14ac:dyDescent="0.35">
      <c r="A807">
        <v>814</v>
      </c>
      <c r="B807" s="1"/>
      <c r="C807">
        <v>0</v>
      </c>
      <c r="D807" s="1"/>
      <c r="E807" s="1"/>
      <c r="F807" s="1" t="s">
        <v>30</v>
      </c>
      <c r="G807" s="1" t="s">
        <v>2967</v>
      </c>
      <c r="H807" s="1" t="s">
        <v>2968</v>
      </c>
      <c r="I807" s="1"/>
      <c r="J807" s="1"/>
      <c r="K807" s="1" t="s">
        <v>116</v>
      </c>
      <c r="L807" s="1"/>
      <c r="M807" s="1" t="s">
        <v>34</v>
      </c>
      <c r="N807" s="1" t="s">
        <v>129</v>
      </c>
      <c r="O807" s="1" t="s">
        <v>44</v>
      </c>
      <c r="P807" s="1" t="s">
        <v>116</v>
      </c>
      <c r="Q807" s="1"/>
      <c r="R807" s="2">
        <v>44155</v>
      </c>
      <c r="S807" s="1"/>
      <c r="W807" s="1" t="s">
        <v>16</v>
      </c>
      <c r="X807" s="2">
        <v>44169</v>
      </c>
      <c r="Y807" s="2"/>
      <c r="Z807" s="2"/>
      <c r="AA807" s="2"/>
      <c r="AB807" s="2">
        <v>44155</v>
      </c>
      <c r="AC807" s="1"/>
      <c r="AE807">
        <v>69</v>
      </c>
    </row>
    <row r="808" spans="1:31" x14ac:dyDescent="0.35">
      <c r="A808">
        <v>815</v>
      </c>
      <c r="B808" s="1"/>
      <c r="C808">
        <v>0</v>
      </c>
      <c r="D808" s="1"/>
      <c r="E808" s="1" t="s">
        <v>2969</v>
      </c>
      <c r="F808" s="1" t="s">
        <v>30</v>
      </c>
      <c r="G808" s="1" t="s">
        <v>2970</v>
      </c>
      <c r="H808" s="1" t="s">
        <v>2971</v>
      </c>
      <c r="I808" s="1"/>
      <c r="J808" s="1" t="s">
        <v>2972</v>
      </c>
      <c r="K808" s="1" t="s">
        <v>37</v>
      </c>
      <c r="L808" s="1"/>
      <c r="M808" s="1" t="s">
        <v>197</v>
      </c>
      <c r="N808" s="1" t="s">
        <v>245</v>
      </c>
      <c r="O808" s="1" t="s">
        <v>147</v>
      </c>
      <c r="P808" s="1" t="s">
        <v>37</v>
      </c>
      <c r="Q808" s="1"/>
      <c r="R808" s="2">
        <v>44158</v>
      </c>
      <c r="S808" s="1"/>
      <c r="W808" s="1" t="s">
        <v>118</v>
      </c>
      <c r="X808" s="2">
        <v>44168</v>
      </c>
      <c r="Y808" s="2"/>
      <c r="Z808" s="2">
        <v>44186</v>
      </c>
      <c r="AA808" s="2">
        <v>44158</v>
      </c>
      <c r="AB808" s="2">
        <v>44158</v>
      </c>
      <c r="AC808" s="1"/>
      <c r="AD808">
        <v>28</v>
      </c>
      <c r="AE808">
        <v>66</v>
      </c>
    </row>
    <row r="809" spans="1:31" x14ac:dyDescent="0.35">
      <c r="A809">
        <v>816</v>
      </c>
      <c r="B809" s="1"/>
      <c r="C809">
        <v>0</v>
      </c>
      <c r="D809" s="1"/>
      <c r="E809" s="1"/>
      <c r="F809" s="1" t="s">
        <v>30</v>
      </c>
      <c r="G809" s="1" t="s">
        <v>2973</v>
      </c>
      <c r="H809" s="1" t="s">
        <v>2974</v>
      </c>
      <c r="I809" s="1"/>
      <c r="J809" s="1"/>
      <c r="K809" s="1" t="s">
        <v>116</v>
      </c>
      <c r="L809" s="1"/>
      <c r="M809" s="1" t="s">
        <v>34</v>
      </c>
      <c r="N809" s="1" t="s">
        <v>2975</v>
      </c>
      <c r="O809" s="1" t="s">
        <v>2976</v>
      </c>
      <c r="P809" s="1" t="s">
        <v>116</v>
      </c>
      <c r="Q809" s="1"/>
      <c r="R809" s="2">
        <v>44158</v>
      </c>
      <c r="S809" s="1"/>
      <c r="W809" s="1" t="s">
        <v>118</v>
      </c>
      <c r="X809" s="2">
        <v>44165</v>
      </c>
      <c r="Y809" s="2"/>
      <c r="Z809" s="2"/>
      <c r="AA809" s="2">
        <v>44159</v>
      </c>
      <c r="AB809" s="2">
        <v>44158</v>
      </c>
      <c r="AC809" s="1"/>
      <c r="AE809">
        <v>66</v>
      </c>
    </row>
    <row r="810" spans="1:31" x14ac:dyDescent="0.35">
      <c r="A810">
        <v>817</v>
      </c>
      <c r="B810" s="1"/>
      <c r="C810">
        <v>0</v>
      </c>
      <c r="D810" s="1"/>
      <c r="E810" s="1"/>
      <c r="F810" s="1" t="s">
        <v>30</v>
      </c>
      <c r="G810" s="1" t="s">
        <v>2977</v>
      </c>
      <c r="H810" s="1" t="s">
        <v>2978</v>
      </c>
      <c r="I810" s="1"/>
      <c r="J810" s="1" t="s">
        <v>2979</v>
      </c>
      <c r="K810" s="1"/>
      <c r="L810" s="1"/>
      <c r="M810" s="1" t="s">
        <v>197</v>
      </c>
      <c r="N810" s="1" t="s">
        <v>437</v>
      </c>
      <c r="O810" s="1" t="s">
        <v>44</v>
      </c>
      <c r="P810" s="1" t="s">
        <v>278</v>
      </c>
      <c r="Q810" s="1"/>
      <c r="R810" s="2">
        <v>44159</v>
      </c>
      <c r="S810" s="1"/>
      <c r="W810" s="1" t="s">
        <v>38</v>
      </c>
      <c r="X810" s="2">
        <v>44171</v>
      </c>
      <c r="Y810" s="2">
        <v>44168</v>
      </c>
      <c r="Z810" s="2">
        <v>44167</v>
      </c>
      <c r="AA810" s="2">
        <v>44159</v>
      </c>
      <c r="AB810" s="2">
        <v>44159</v>
      </c>
      <c r="AC810" s="1"/>
      <c r="AD810">
        <v>8</v>
      </c>
      <c r="AE810">
        <v>65</v>
      </c>
    </row>
    <row r="811" spans="1:31" x14ac:dyDescent="0.35">
      <c r="A811">
        <v>818</v>
      </c>
      <c r="B811" s="1"/>
      <c r="C811">
        <v>0</v>
      </c>
      <c r="D811" s="1"/>
      <c r="E811" s="1"/>
      <c r="F811" s="1" t="s">
        <v>30</v>
      </c>
      <c r="G811" s="1" t="s">
        <v>2980</v>
      </c>
      <c r="H811" s="1" t="s">
        <v>2981</v>
      </c>
      <c r="I811" s="1"/>
      <c r="J811" s="1" t="s">
        <v>2982</v>
      </c>
      <c r="K811" s="1"/>
      <c r="L811" s="1"/>
      <c r="M811" s="1" t="s">
        <v>197</v>
      </c>
      <c r="N811" s="1" t="s">
        <v>43</v>
      </c>
      <c r="O811" s="1" t="s">
        <v>44</v>
      </c>
      <c r="P811" s="1" t="s">
        <v>37</v>
      </c>
      <c r="Q811" s="1"/>
      <c r="R811" s="2">
        <v>44159</v>
      </c>
      <c r="S811" s="1"/>
      <c r="W811" s="1" t="s">
        <v>38</v>
      </c>
      <c r="X811" s="2">
        <v>44162</v>
      </c>
      <c r="Y811" s="2">
        <v>44173</v>
      </c>
      <c r="Z811" s="2">
        <v>44169</v>
      </c>
      <c r="AA811" s="2"/>
      <c r="AB811" s="2">
        <v>44159</v>
      </c>
      <c r="AC811" s="1"/>
      <c r="AD811">
        <v>10</v>
      </c>
      <c r="AE811">
        <v>65</v>
      </c>
    </row>
    <row r="812" spans="1:31" x14ac:dyDescent="0.35">
      <c r="A812">
        <v>819</v>
      </c>
      <c r="B812" s="1"/>
      <c r="C812">
        <v>0</v>
      </c>
      <c r="D812" s="1"/>
      <c r="E812" s="1"/>
      <c r="F812" s="1" t="s">
        <v>30</v>
      </c>
      <c r="G812" s="1" t="s">
        <v>2983</v>
      </c>
      <c r="H812" s="1" t="s">
        <v>2984</v>
      </c>
      <c r="I812" s="1" t="s">
        <v>2985</v>
      </c>
      <c r="J812" s="1" t="s">
        <v>2986</v>
      </c>
      <c r="K812" s="1"/>
      <c r="L812" s="1"/>
      <c r="M812" s="1" t="s">
        <v>197</v>
      </c>
      <c r="N812" s="1" t="s">
        <v>880</v>
      </c>
      <c r="O812" s="1" t="s">
        <v>44</v>
      </c>
      <c r="P812" s="1" t="s">
        <v>43</v>
      </c>
      <c r="Q812" s="1" t="s">
        <v>44</v>
      </c>
      <c r="R812" s="2">
        <v>44160</v>
      </c>
      <c r="S812" s="1"/>
      <c r="W812" s="1" t="s">
        <v>38</v>
      </c>
      <c r="X812" s="2">
        <v>44162</v>
      </c>
      <c r="Y812" s="2">
        <v>44165</v>
      </c>
      <c r="Z812" s="2">
        <v>44160</v>
      </c>
      <c r="AA812" s="2">
        <v>44160</v>
      </c>
      <c r="AB812" s="2">
        <v>44160</v>
      </c>
      <c r="AC812" s="1"/>
      <c r="AD812">
        <v>0</v>
      </c>
      <c r="AE812">
        <v>64</v>
      </c>
    </row>
    <row r="813" spans="1:31" x14ac:dyDescent="0.35">
      <c r="A813">
        <v>820</v>
      </c>
      <c r="B813" s="1"/>
      <c r="C813">
        <v>0</v>
      </c>
      <c r="D813" s="1"/>
      <c r="E813" s="1"/>
      <c r="F813" s="1" t="s">
        <v>30</v>
      </c>
      <c r="G813" s="1" t="s">
        <v>2987</v>
      </c>
      <c r="H813" s="1" t="s">
        <v>2988</v>
      </c>
      <c r="I813" s="1"/>
      <c r="J813" s="1" t="s">
        <v>2989</v>
      </c>
      <c r="K813" s="1"/>
      <c r="L813" s="1"/>
      <c r="M813" s="1" t="s">
        <v>197</v>
      </c>
      <c r="N813" s="1" t="s">
        <v>43</v>
      </c>
      <c r="O813" s="1" t="s">
        <v>44</v>
      </c>
      <c r="P813" s="1" t="s">
        <v>63</v>
      </c>
      <c r="Q813" s="1"/>
      <c r="R813" s="2">
        <v>44160</v>
      </c>
      <c r="S813" s="1"/>
      <c r="W813" s="1" t="s">
        <v>38</v>
      </c>
      <c r="X813" s="2">
        <v>44162</v>
      </c>
      <c r="Y813" s="2">
        <v>44166</v>
      </c>
      <c r="Z813" s="2">
        <v>44160</v>
      </c>
      <c r="AA813" s="2"/>
      <c r="AB813" s="2">
        <v>44160</v>
      </c>
      <c r="AC813" s="1"/>
      <c r="AD813">
        <v>0</v>
      </c>
      <c r="AE813">
        <v>64</v>
      </c>
    </row>
    <row r="814" spans="1:31" x14ac:dyDescent="0.35">
      <c r="A814">
        <v>821</v>
      </c>
      <c r="B814" s="1"/>
      <c r="C814">
        <v>0</v>
      </c>
      <c r="D814" s="1"/>
      <c r="E814" s="1"/>
      <c r="F814" s="1" t="s">
        <v>30</v>
      </c>
      <c r="G814" s="1" t="s">
        <v>2990</v>
      </c>
      <c r="H814" s="1" t="s">
        <v>2991</v>
      </c>
      <c r="I814" s="1"/>
      <c r="J814" s="1" t="s">
        <v>2992</v>
      </c>
      <c r="K814" s="1"/>
      <c r="L814" s="1"/>
      <c r="M814" s="1" t="s">
        <v>34</v>
      </c>
      <c r="N814" s="1" t="s">
        <v>43</v>
      </c>
      <c r="O814" s="1" t="s">
        <v>44</v>
      </c>
      <c r="P814" s="1" t="s">
        <v>37</v>
      </c>
      <c r="Q814" s="1"/>
      <c r="R814" s="2">
        <v>44160</v>
      </c>
      <c r="S814" s="1"/>
      <c r="W814" s="1" t="s">
        <v>38</v>
      </c>
      <c r="X814" s="2">
        <v>44166</v>
      </c>
      <c r="Y814" s="2">
        <v>44182</v>
      </c>
      <c r="Z814" s="2">
        <v>44181</v>
      </c>
      <c r="AA814" s="2">
        <v>44174</v>
      </c>
      <c r="AB814" s="2">
        <v>44160</v>
      </c>
      <c r="AC814" s="1"/>
      <c r="AD814">
        <v>21</v>
      </c>
      <c r="AE814">
        <v>64</v>
      </c>
    </row>
    <row r="815" spans="1:31" x14ac:dyDescent="0.35">
      <c r="A815">
        <v>822</v>
      </c>
      <c r="B815" s="1"/>
      <c r="C815">
        <v>0</v>
      </c>
      <c r="D815" s="1"/>
      <c r="E815" s="1"/>
      <c r="F815" s="1" t="s">
        <v>30</v>
      </c>
      <c r="G815" s="1" t="s">
        <v>2993</v>
      </c>
      <c r="H815" s="1" t="s">
        <v>2994</v>
      </c>
      <c r="I815" s="1"/>
      <c r="J815" s="1" t="s">
        <v>2995</v>
      </c>
      <c r="K815" s="1"/>
      <c r="L815" s="1"/>
      <c r="M815" s="1" t="s">
        <v>34</v>
      </c>
      <c r="N815" s="1" t="s">
        <v>245</v>
      </c>
      <c r="O815" s="1" t="s">
        <v>147</v>
      </c>
      <c r="P815" s="1" t="s">
        <v>2996</v>
      </c>
      <c r="Q815" s="1" t="s">
        <v>2906</v>
      </c>
      <c r="R815" s="2">
        <v>44160</v>
      </c>
      <c r="S815" s="1"/>
      <c r="W815" s="1" t="s">
        <v>38</v>
      </c>
      <c r="X815" s="2">
        <v>44167</v>
      </c>
      <c r="Y815" s="2">
        <v>44203</v>
      </c>
      <c r="Z815" s="2">
        <v>44203</v>
      </c>
      <c r="AA815" s="2">
        <v>44160</v>
      </c>
      <c r="AB815" s="2">
        <v>44160</v>
      </c>
      <c r="AC815" s="1"/>
      <c r="AD815">
        <v>43</v>
      </c>
      <c r="AE815">
        <v>64</v>
      </c>
    </row>
    <row r="816" spans="1:31" x14ac:dyDescent="0.35">
      <c r="A816">
        <v>823</v>
      </c>
      <c r="B816" s="1"/>
      <c r="C816">
        <v>0</v>
      </c>
      <c r="D816" s="1"/>
      <c r="E816" s="1" t="s">
        <v>2997</v>
      </c>
      <c r="F816" s="1" t="s">
        <v>30</v>
      </c>
      <c r="G816" s="1" t="s">
        <v>2998</v>
      </c>
      <c r="H816" s="1" t="s">
        <v>2999</v>
      </c>
      <c r="I816" s="1"/>
      <c r="J816" s="1" t="s">
        <v>3000</v>
      </c>
      <c r="K816" s="1"/>
      <c r="L816" s="1"/>
      <c r="M816" s="1" t="s">
        <v>197</v>
      </c>
      <c r="N816" s="1" t="s">
        <v>880</v>
      </c>
      <c r="O816" s="1" t="s">
        <v>44</v>
      </c>
      <c r="P816" s="1" t="s">
        <v>37</v>
      </c>
      <c r="Q816" s="1"/>
      <c r="R816" s="2">
        <v>44163</v>
      </c>
      <c r="S816" s="1" t="s">
        <v>2997</v>
      </c>
      <c r="W816" s="1" t="s">
        <v>38</v>
      </c>
      <c r="X816" s="2">
        <v>44166</v>
      </c>
      <c r="Y816" s="2">
        <v>44182</v>
      </c>
      <c r="Z816" s="2">
        <v>44179</v>
      </c>
      <c r="AA816" s="2">
        <v>44175</v>
      </c>
      <c r="AB816" s="2">
        <v>44163</v>
      </c>
      <c r="AC816" s="1"/>
      <c r="AD816">
        <v>16</v>
      </c>
      <c r="AE816">
        <v>61</v>
      </c>
    </row>
    <row r="817" spans="1:31" x14ac:dyDescent="0.35">
      <c r="A817">
        <v>824</v>
      </c>
      <c r="B817" s="1"/>
      <c r="C817">
        <v>0</v>
      </c>
      <c r="D817" s="1"/>
      <c r="E817" s="1" t="s">
        <v>3001</v>
      </c>
      <c r="F817" s="1" t="s">
        <v>30</v>
      </c>
      <c r="G817" s="1" t="s">
        <v>3002</v>
      </c>
      <c r="H817" s="1" t="s">
        <v>3003</v>
      </c>
      <c r="I817" s="1"/>
      <c r="J817" s="1" t="s">
        <v>3004</v>
      </c>
      <c r="K817" s="1"/>
      <c r="L817" s="1"/>
      <c r="M817" s="1" t="s">
        <v>34</v>
      </c>
      <c r="N817" s="1" t="s">
        <v>880</v>
      </c>
      <c r="O817" s="1" t="s">
        <v>44</v>
      </c>
      <c r="P817" s="1" t="s">
        <v>43</v>
      </c>
      <c r="Q817" s="1" t="s">
        <v>44</v>
      </c>
      <c r="R817" s="2">
        <v>44163</v>
      </c>
      <c r="S817" s="1"/>
      <c r="W817" s="1" t="s">
        <v>38</v>
      </c>
      <c r="X817" s="2">
        <v>44170</v>
      </c>
      <c r="Y817" s="2">
        <v>44187</v>
      </c>
      <c r="Z817" s="2">
        <v>44183</v>
      </c>
      <c r="AA817" s="2">
        <v>44186</v>
      </c>
      <c r="AB817" s="2">
        <v>44163</v>
      </c>
      <c r="AC817" s="1"/>
      <c r="AD817">
        <v>20</v>
      </c>
      <c r="AE817">
        <v>61</v>
      </c>
    </row>
    <row r="818" spans="1:31" x14ac:dyDescent="0.35">
      <c r="A818">
        <v>825</v>
      </c>
      <c r="B818" s="1"/>
      <c r="C818">
        <v>0</v>
      </c>
      <c r="D818" s="1"/>
      <c r="E818" s="1"/>
      <c r="F818" s="1" t="s">
        <v>30</v>
      </c>
      <c r="G818" s="1" t="s">
        <v>3005</v>
      </c>
      <c r="H818" s="1" t="s">
        <v>3006</v>
      </c>
      <c r="I818" s="1"/>
      <c r="J818" s="1" t="s">
        <v>3007</v>
      </c>
      <c r="K818" s="1"/>
      <c r="L818" s="1"/>
      <c r="M818" s="1" t="s">
        <v>34</v>
      </c>
      <c r="N818" s="1" t="s">
        <v>245</v>
      </c>
      <c r="O818" s="1" t="s">
        <v>147</v>
      </c>
      <c r="P818" s="1" t="s">
        <v>379</v>
      </c>
      <c r="Q818" s="1"/>
      <c r="R818" s="2">
        <v>44165</v>
      </c>
      <c r="S818" s="1"/>
      <c r="W818" s="1" t="s">
        <v>38</v>
      </c>
      <c r="X818" s="2">
        <v>44172</v>
      </c>
      <c r="Y818" s="2">
        <v>44168</v>
      </c>
      <c r="Z818" s="2">
        <v>44167</v>
      </c>
      <c r="AA818" s="2">
        <v>44165</v>
      </c>
      <c r="AB818" s="2">
        <v>44165</v>
      </c>
      <c r="AC818" s="1"/>
      <c r="AD818">
        <v>2</v>
      </c>
      <c r="AE818">
        <v>59</v>
      </c>
    </row>
    <row r="819" spans="1:31" x14ac:dyDescent="0.35">
      <c r="A819">
        <v>826</v>
      </c>
      <c r="B819" s="1"/>
      <c r="C819">
        <v>0</v>
      </c>
      <c r="D819" s="1" t="s">
        <v>206</v>
      </c>
      <c r="E819" s="1" t="s">
        <v>3008</v>
      </c>
      <c r="F819" s="1" t="s">
        <v>30</v>
      </c>
      <c r="G819" s="1" t="s">
        <v>3009</v>
      </c>
      <c r="H819" s="1" t="s">
        <v>3010</v>
      </c>
      <c r="I819" s="1" t="s">
        <v>3011</v>
      </c>
      <c r="J819" s="1" t="s">
        <v>3012</v>
      </c>
      <c r="K819" s="1"/>
      <c r="L819" s="1"/>
      <c r="M819" s="1" t="s">
        <v>34</v>
      </c>
      <c r="N819" s="1" t="s">
        <v>97</v>
      </c>
      <c r="O819" s="1" t="s">
        <v>98</v>
      </c>
      <c r="P819" s="1" t="s">
        <v>99</v>
      </c>
      <c r="Q819" s="1"/>
      <c r="R819" s="2">
        <v>44165</v>
      </c>
      <c r="S819" s="1"/>
      <c r="W819" s="1" t="s">
        <v>38</v>
      </c>
      <c r="X819" s="2">
        <v>44172</v>
      </c>
      <c r="Y819" s="2">
        <v>44167</v>
      </c>
      <c r="Z819" s="2">
        <v>44165</v>
      </c>
      <c r="AA819" s="2">
        <v>44165</v>
      </c>
      <c r="AB819" s="2">
        <v>44165</v>
      </c>
      <c r="AC819" s="1"/>
      <c r="AD819">
        <v>0</v>
      </c>
      <c r="AE819">
        <v>59</v>
      </c>
    </row>
    <row r="820" spans="1:31" x14ac:dyDescent="0.35">
      <c r="A820">
        <v>827</v>
      </c>
      <c r="B820" s="1"/>
      <c r="C820">
        <v>0</v>
      </c>
      <c r="D820" s="1"/>
      <c r="E820" s="1"/>
      <c r="F820" s="1" t="s">
        <v>30</v>
      </c>
      <c r="G820" s="1" t="s">
        <v>3013</v>
      </c>
      <c r="H820" s="1" t="s">
        <v>3014</v>
      </c>
      <c r="I820" s="1"/>
      <c r="J820" s="1" t="s">
        <v>3015</v>
      </c>
      <c r="K820" s="1"/>
      <c r="L820" s="1"/>
      <c r="M820" s="1" t="s">
        <v>197</v>
      </c>
      <c r="N820" s="1" t="s">
        <v>43</v>
      </c>
      <c r="O820" s="1" t="s">
        <v>44</v>
      </c>
      <c r="P820" s="1" t="s">
        <v>37</v>
      </c>
      <c r="Q820" s="1"/>
      <c r="R820" s="2">
        <v>44165</v>
      </c>
      <c r="S820" s="1"/>
      <c r="W820" s="1" t="s">
        <v>38</v>
      </c>
      <c r="X820" s="2">
        <v>44169</v>
      </c>
      <c r="Y820" s="2">
        <v>44167</v>
      </c>
      <c r="Z820" s="2">
        <v>44166</v>
      </c>
      <c r="AA820" s="2"/>
      <c r="AB820" s="2">
        <v>44165</v>
      </c>
      <c r="AC820" s="1"/>
      <c r="AD820">
        <v>1</v>
      </c>
      <c r="AE820">
        <v>59</v>
      </c>
    </row>
    <row r="821" spans="1:31" x14ac:dyDescent="0.35">
      <c r="A821">
        <v>828</v>
      </c>
      <c r="B821" s="1"/>
      <c r="C821">
        <v>0</v>
      </c>
      <c r="D821" s="1"/>
      <c r="E821" s="1"/>
      <c r="F821" s="1" t="s">
        <v>30</v>
      </c>
      <c r="G821" s="1" t="s">
        <v>3016</v>
      </c>
      <c r="H821" s="1" t="s">
        <v>3017</v>
      </c>
      <c r="I821" s="1" t="s">
        <v>3018</v>
      </c>
      <c r="J821" s="1" t="s">
        <v>3019</v>
      </c>
      <c r="K821" s="1"/>
      <c r="L821" s="1"/>
      <c r="M821" s="1" t="s">
        <v>34</v>
      </c>
      <c r="N821" s="1" t="s">
        <v>245</v>
      </c>
      <c r="O821" s="1" t="s">
        <v>147</v>
      </c>
      <c r="P821" s="1" t="s">
        <v>379</v>
      </c>
      <c r="Q821" s="1"/>
      <c r="R821" s="2">
        <v>44166</v>
      </c>
      <c r="S821" s="1"/>
      <c r="W821" s="1" t="s">
        <v>38</v>
      </c>
      <c r="X821" s="2">
        <v>44173</v>
      </c>
      <c r="Y821" s="2">
        <v>44182</v>
      </c>
      <c r="Z821" s="2">
        <v>44175</v>
      </c>
      <c r="AA821" s="2">
        <v>44166</v>
      </c>
      <c r="AB821" s="2">
        <v>44166</v>
      </c>
      <c r="AC821" s="1"/>
      <c r="AD821">
        <v>9</v>
      </c>
      <c r="AE821">
        <v>58</v>
      </c>
    </row>
    <row r="822" spans="1:31" x14ac:dyDescent="0.35">
      <c r="A822">
        <v>829</v>
      </c>
      <c r="B822" s="1"/>
      <c r="C822">
        <v>0</v>
      </c>
      <c r="D822" s="1"/>
      <c r="E822" s="1"/>
      <c r="F822" s="1" t="s">
        <v>30</v>
      </c>
      <c r="G822" s="1" t="s">
        <v>3020</v>
      </c>
      <c r="H822" s="1" t="s">
        <v>3021</v>
      </c>
      <c r="I822" s="1" t="s">
        <v>3022</v>
      </c>
      <c r="J822" s="1" t="s">
        <v>3023</v>
      </c>
      <c r="K822" s="1"/>
      <c r="L822" s="1"/>
      <c r="M822" s="1" t="s">
        <v>34</v>
      </c>
      <c r="N822" s="1" t="s">
        <v>245</v>
      </c>
      <c r="O822" s="1" t="s">
        <v>147</v>
      </c>
      <c r="P822" s="1" t="s">
        <v>379</v>
      </c>
      <c r="Q822" s="1"/>
      <c r="R822" s="2">
        <v>44166</v>
      </c>
      <c r="S822" s="1"/>
      <c r="W822" s="1" t="s">
        <v>38</v>
      </c>
      <c r="X822" s="2">
        <v>44173</v>
      </c>
      <c r="Y822" s="2">
        <v>44168</v>
      </c>
      <c r="Z822" s="2">
        <v>44167</v>
      </c>
      <c r="AA822" s="2">
        <v>44166</v>
      </c>
      <c r="AB822" s="2">
        <v>44166</v>
      </c>
      <c r="AC822" s="1"/>
      <c r="AD822">
        <v>1</v>
      </c>
      <c r="AE822">
        <v>58</v>
      </c>
    </row>
    <row r="823" spans="1:31" x14ac:dyDescent="0.35">
      <c r="A823">
        <v>830</v>
      </c>
      <c r="B823" s="1"/>
      <c r="C823">
        <v>0</v>
      </c>
      <c r="D823" s="1"/>
      <c r="E823" s="1"/>
      <c r="F823" s="1" t="s">
        <v>30</v>
      </c>
      <c r="G823" s="1" t="s">
        <v>3024</v>
      </c>
      <c r="H823" s="1" t="s">
        <v>3025</v>
      </c>
      <c r="I823" s="1"/>
      <c r="J823" s="1" t="s">
        <v>3026</v>
      </c>
      <c r="K823" s="1" t="s">
        <v>37</v>
      </c>
      <c r="L823" s="1"/>
      <c r="M823" s="1" t="s">
        <v>197</v>
      </c>
      <c r="N823" s="1" t="s">
        <v>276</v>
      </c>
      <c r="O823" s="1" t="s">
        <v>277</v>
      </c>
      <c r="P823" s="1" t="s">
        <v>37</v>
      </c>
      <c r="Q823" s="1"/>
      <c r="R823" s="2">
        <v>44167</v>
      </c>
      <c r="S823" s="1"/>
      <c r="W823" s="1" t="s">
        <v>1053</v>
      </c>
      <c r="X823" s="2">
        <v>44178</v>
      </c>
      <c r="Y823" s="2"/>
      <c r="Z823" s="2">
        <v>44175</v>
      </c>
      <c r="AA823" s="2">
        <v>44173</v>
      </c>
      <c r="AB823" s="2">
        <v>44167</v>
      </c>
      <c r="AC823" s="1"/>
      <c r="AD823">
        <v>8</v>
      </c>
      <c r="AE823">
        <v>57</v>
      </c>
    </row>
    <row r="824" spans="1:31" x14ac:dyDescent="0.35">
      <c r="A824">
        <v>831</v>
      </c>
      <c r="B824" s="1"/>
      <c r="C824">
        <v>0</v>
      </c>
      <c r="D824" s="1"/>
      <c r="E824" s="1"/>
      <c r="F824" s="1" t="s">
        <v>30</v>
      </c>
      <c r="G824" s="1" t="s">
        <v>3027</v>
      </c>
      <c r="H824" s="1" t="s">
        <v>3028</v>
      </c>
      <c r="I824" s="1"/>
      <c r="J824" s="1" t="s">
        <v>3029</v>
      </c>
      <c r="K824" s="1"/>
      <c r="L824" s="1"/>
      <c r="M824" s="1" t="s">
        <v>34</v>
      </c>
      <c r="N824" s="1" t="s">
        <v>1464</v>
      </c>
      <c r="O824" s="1" t="s">
        <v>1465</v>
      </c>
      <c r="P824" s="1" t="s">
        <v>164</v>
      </c>
      <c r="Q824" s="1"/>
      <c r="R824" s="2">
        <v>44167</v>
      </c>
      <c r="S824" s="1"/>
      <c r="W824" s="1" t="s">
        <v>38</v>
      </c>
      <c r="X824" s="2">
        <v>44174</v>
      </c>
      <c r="Y824" s="2">
        <v>44175</v>
      </c>
      <c r="Z824" s="2">
        <v>44173</v>
      </c>
      <c r="AA824" s="2"/>
      <c r="AB824" s="2">
        <v>44167</v>
      </c>
      <c r="AC824" s="1"/>
      <c r="AD824">
        <v>6</v>
      </c>
      <c r="AE824">
        <v>57</v>
      </c>
    </row>
    <row r="825" spans="1:31" x14ac:dyDescent="0.35">
      <c r="A825">
        <v>832</v>
      </c>
      <c r="B825" s="1"/>
      <c r="C825">
        <v>0</v>
      </c>
      <c r="D825" s="1"/>
      <c r="E825" s="1" t="s">
        <v>3030</v>
      </c>
      <c r="F825" s="1" t="s">
        <v>30</v>
      </c>
      <c r="G825" s="1" t="s">
        <v>3031</v>
      </c>
      <c r="H825" s="1" t="s">
        <v>3032</v>
      </c>
      <c r="I825" s="1" t="s">
        <v>3033</v>
      </c>
      <c r="J825" s="1" t="s">
        <v>3034</v>
      </c>
      <c r="K825" s="1"/>
      <c r="L825" s="1"/>
      <c r="M825" s="1" t="s">
        <v>197</v>
      </c>
      <c r="N825" s="1" t="s">
        <v>266</v>
      </c>
      <c r="O825" s="1" t="s">
        <v>267</v>
      </c>
      <c r="P825" s="1" t="s">
        <v>164</v>
      </c>
      <c r="Q825" s="1"/>
      <c r="R825" s="2">
        <v>44167</v>
      </c>
      <c r="S825" s="1"/>
      <c r="W825" s="1" t="s">
        <v>38</v>
      </c>
      <c r="X825" s="2">
        <v>44175</v>
      </c>
      <c r="Y825" s="2">
        <v>44175</v>
      </c>
      <c r="Z825" s="2">
        <v>44173</v>
      </c>
      <c r="AA825" s="2"/>
      <c r="AB825" s="2">
        <v>44167</v>
      </c>
      <c r="AC825" s="1"/>
      <c r="AD825">
        <v>6</v>
      </c>
      <c r="AE825">
        <v>57</v>
      </c>
    </row>
    <row r="826" spans="1:31" x14ac:dyDescent="0.35">
      <c r="A826">
        <v>833</v>
      </c>
      <c r="B826" s="1"/>
      <c r="C826">
        <v>0</v>
      </c>
      <c r="D826" s="1" t="s">
        <v>206</v>
      </c>
      <c r="E826" s="1" t="s">
        <v>3035</v>
      </c>
      <c r="F826" s="1" t="s">
        <v>30</v>
      </c>
      <c r="G826" s="1" t="s">
        <v>3036</v>
      </c>
      <c r="H826" s="1" t="s">
        <v>3037</v>
      </c>
      <c r="I826" s="1" t="s">
        <v>3038</v>
      </c>
      <c r="J826" s="1" t="s">
        <v>3039</v>
      </c>
      <c r="K826" s="1"/>
      <c r="L826" s="1"/>
      <c r="M826" s="1" t="s">
        <v>197</v>
      </c>
      <c r="N826" s="1" t="s">
        <v>97</v>
      </c>
      <c r="O826" s="1" t="s">
        <v>98</v>
      </c>
      <c r="P826" s="1" t="s">
        <v>99</v>
      </c>
      <c r="Q826" s="1"/>
      <c r="R826" s="2">
        <v>44168</v>
      </c>
      <c r="S826" s="1"/>
      <c r="W826" s="1" t="s">
        <v>38</v>
      </c>
      <c r="X826" s="2">
        <v>44178</v>
      </c>
      <c r="Y826" s="2">
        <v>44181</v>
      </c>
      <c r="Z826" s="2">
        <v>44180</v>
      </c>
      <c r="AA826" s="2">
        <v>44169</v>
      </c>
      <c r="AB826" s="2">
        <v>44168</v>
      </c>
      <c r="AC826" s="1"/>
      <c r="AD826">
        <v>12</v>
      </c>
      <c r="AE826">
        <v>56</v>
      </c>
    </row>
    <row r="827" spans="1:31" x14ac:dyDescent="0.35">
      <c r="A827">
        <v>834</v>
      </c>
      <c r="B827" s="1"/>
      <c r="C827">
        <v>0</v>
      </c>
      <c r="D827" s="1"/>
      <c r="E827" s="1"/>
      <c r="F827" s="1" t="s">
        <v>30</v>
      </c>
      <c r="G827" s="1" t="s">
        <v>3040</v>
      </c>
      <c r="H827" s="1" t="s">
        <v>3041</v>
      </c>
      <c r="I827" s="1"/>
      <c r="J827" s="1" t="s">
        <v>3042</v>
      </c>
      <c r="K827" s="1"/>
      <c r="L827" s="1"/>
      <c r="M827" s="1" t="s">
        <v>197</v>
      </c>
      <c r="N827" s="1" t="s">
        <v>43</v>
      </c>
      <c r="O827" s="1" t="s">
        <v>44</v>
      </c>
      <c r="P827" s="1" t="s">
        <v>37</v>
      </c>
      <c r="Q827" s="1"/>
      <c r="R827" s="2">
        <v>44169</v>
      </c>
      <c r="S827" s="1"/>
      <c r="W827" s="1" t="s">
        <v>38</v>
      </c>
      <c r="X827" s="2">
        <v>44171</v>
      </c>
      <c r="Y827" s="2">
        <v>44175</v>
      </c>
      <c r="Z827" s="2">
        <v>44175</v>
      </c>
      <c r="AA827" s="2">
        <v>44173</v>
      </c>
      <c r="AB827" s="2">
        <v>44169</v>
      </c>
      <c r="AC827" s="1"/>
      <c r="AD827">
        <v>6</v>
      </c>
      <c r="AE827">
        <v>55</v>
      </c>
    </row>
    <row r="828" spans="1:31" x14ac:dyDescent="0.35">
      <c r="A828">
        <v>835</v>
      </c>
      <c r="B828" s="1"/>
      <c r="C828">
        <v>0</v>
      </c>
      <c r="D828" s="1" t="s">
        <v>3043</v>
      </c>
      <c r="E828" s="1" t="s">
        <v>1379</v>
      </c>
      <c r="F828" s="1" t="s">
        <v>30</v>
      </c>
      <c r="G828" s="1" t="s">
        <v>3044</v>
      </c>
      <c r="H828" s="1" t="s">
        <v>3045</v>
      </c>
      <c r="I828" s="1" t="s">
        <v>3046</v>
      </c>
      <c r="J828" s="1" t="s">
        <v>3047</v>
      </c>
      <c r="K828" s="1"/>
      <c r="L828" s="1"/>
      <c r="M828" s="1" t="s">
        <v>197</v>
      </c>
      <c r="N828" s="1" t="s">
        <v>97</v>
      </c>
      <c r="O828" s="1" t="s">
        <v>98</v>
      </c>
      <c r="P828" s="1" t="s">
        <v>99</v>
      </c>
      <c r="Q828" s="1"/>
      <c r="R828" s="2">
        <v>44172</v>
      </c>
      <c r="S828" s="1"/>
      <c r="W828" s="1" t="s">
        <v>38</v>
      </c>
      <c r="X828" s="2">
        <v>44178</v>
      </c>
      <c r="Y828" s="2">
        <v>44181</v>
      </c>
      <c r="Z828" s="2">
        <v>44180</v>
      </c>
      <c r="AA828" s="2">
        <v>44173</v>
      </c>
      <c r="AB828" s="2">
        <v>44172</v>
      </c>
      <c r="AC828" s="1"/>
      <c r="AD828">
        <v>8</v>
      </c>
      <c r="AE828">
        <v>52</v>
      </c>
    </row>
    <row r="829" spans="1:31" x14ac:dyDescent="0.35">
      <c r="A829">
        <v>836</v>
      </c>
      <c r="B829" s="1"/>
      <c r="C829">
        <v>0</v>
      </c>
      <c r="D829" s="1" t="s">
        <v>206</v>
      </c>
      <c r="E829" s="1" t="s">
        <v>3048</v>
      </c>
      <c r="F829" s="1" t="s">
        <v>30</v>
      </c>
      <c r="G829" s="1" t="s">
        <v>3049</v>
      </c>
      <c r="H829" s="1" t="s">
        <v>3050</v>
      </c>
      <c r="I829" s="1" t="s">
        <v>3051</v>
      </c>
      <c r="J829" s="1" t="s">
        <v>3052</v>
      </c>
      <c r="K829" s="1"/>
      <c r="L829" s="1"/>
      <c r="M829" s="1" t="s">
        <v>197</v>
      </c>
      <c r="N829" s="1" t="s">
        <v>97</v>
      </c>
      <c r="O829" s="1" t="s">
        <v>98</v>
      </c>
      <c r="P829" s="1" t="s">
        <v>99</v>
      </c>
      <c r="Q829" s="1"/>
      <c r="R829" s="2">
        <v>44172</v>
      </c>
      <c r="S829" s="1"/>
      <c r="W829" s="1" t="s">
        <v>38</v>
      </c>
      <c r="X829" s="2">
        <v>44175</v>
      </c>
      <c r="Y829" s="2">
        <v>44181</v>
      </c>
      <c r="Z829" s="2">
        <v>44180</v>
      </c>
      <c r="AA829" s="2">
        <v>44173</v>
      </c>
      <c r="AB829" s="2">
        <v>44172</v>
      </c>
      <c r="AC829" s="1"/>
      <c r="AD829">
        <v>8</v>
      </c>
      <c r="AE829">
        <v>52</v>
      </c>
    </row>
    <row r="830" spans="1:31" x14ac:dyDescent="0.35">
      <c r="A830">
        <v>837</v>
      </c>
      <c r="B830" s="1"/>
      <c r="C830">
        <v>0</v>
      </c>
      <c r="D830" s="1"/>
      <c r="E830" s="1" t="s">
        <v>3053</v>
      </c>
      <c r="F830" s="1" t="s">
        <v>30</v>
      </c>
      <c r="G830" s="1" t="s">
        <v>3054</v>
      </c>
      <c r="H830" s="1" t="s">
        <v>3055</v>
      </c>
      <c r="I830" s="1"/>
      <c r="J830" s="1" t="s">
        <v>3056</v>
      </c>
      <c r="K830" s="1"/>
      <c r="L830" s="1"/>
      <c r="M830" s="1" t="s">
        <v>34</v>
      </c>
      <c r="N830" s="1" t="s">
        <v>378</v>
      </c>
      <c r="O830" s="1" t="s">
        <v>147</v>
      </c>
      <c r="P830" s="1" t="s">
        <v>379</v>
      </c>
      <c r="Q830" s="1"/>
      <c r="R830" s="2">
        <v>44174</v>
      </c>
      <c r="S830" s="1"/>
      <c r="W830" s="1" t="s">
        <v>38</v>
      </c>
      <c r="X830" s="2">
        <v>44181</v>
      </c>
      <c r="Y830" s="2">
        <v>44179</v>
      </c>
      <c r="Z830" s="2">
        <v>44179</v>
      </c>
      <c r="AA830" s="2">
        <v>44175</v>
      </c>
      <c r="AB830" s="2">
        <v>44174</v>
      </c>
      <c r="AC830" s="1"/>
      <c r="AD830">
        <v>5</v>
      </c>
      <c r="AE830">
        <v>50</v>
      </c>
    </row>
    <row r="831" spans="1:31" x14ac:dyDescent="0.35">
      <c r="A831">
        <v>838</v>
      </c>
      <c r="B831" s="1"/>
      <c r="C831">
        <v>0</v>
      </c>
      <c r="D831" s="1"/>
      <c r="E831" s="1"/>
      <c r="F831" s="1" t="s">
        <v>30</v>
      </c>
      <c r="G831" s="1" t="s">
        <v>3057</v>
      </c>
      <c r="H831" s="1" t="s">
        <v>3058</v>
      </c>
      <c r="I831" s="1"/>
      <c r="J831" s="1" t="s">
        <v>3059</v>
      </c>
      <c r="K831" s="1"/>
      <c r="L831" s="1"/>
      <c r="M831" s="1" t="s">
        <v>34</v>
      </c>
      <c r="N831" s="1" t="s">
        <v>437</v>
      </c>
      <c r="O831" s="1" t="s">
        <v>44</v>
      </c>
      <c r="P831" s="1" t="s">
        <v>278</v>
      </c>
      <c r="Q831" s="1"/>
      <c r="R831" s="2">
        <v>44174</v>
      </c>
      <c r="S831" s="1"/>
      <c r="W831" s="1" t="s">
        <v>38</v>
      </c>
      <c r="X831" s="2">
        <v>44181</v>
      </c>
      <c r="Y831" s="2">
        <v>44186</v>
      </c>
      <c r="Z831" s="2">
        <v>44180</v>
      </c>
      <c r="AA831" s="2">
        <v>44175</v>
      </c>
      <c r="AB831" s="2">
        <v>44174</v>
      </c>
      <c r="AC831" s="1"/>
      <c r="AD831">
        <v>6</v>
      </c>
      <c r="AE831">
        <v>50</v>
      </c>
    </row>
    <row r="832" spans="1:31" x14ac:dyDescent="0.35">
      <c r="A832">
        <v>839</v>
      </c>
      <c r="B832" s="1"/>
      <c r="C832">
        <v>0</v>
      </c>
      <c r="D832" s="1"/>
      <c r="E832" s="1"/>
      <c r="F832" s="1" t="s">
        <v>30</v>
      </c>
      <c r="G832" s="1" t="s">
        <v>3060</v>
      </c>
      <c r="H832" s="1" t="s">
        <v>3061</v>
      </c>
      <c r="I832" s="1"/>
      <c r="J832" s="1"/>
      <c r="K832" s="1" t="s">
        <v>99</v>
      </c>
      <c r="L832" s="1"/>
      <c r="M832" s="1" t="s">
        <v>197</v>
      </c>
      <c r="N832" s="1" t="s">
        <v>245</v>
      </c>
      <c r="O832" s="1" t="s">
        <v>147</v>
      </c>
      <c r="P832" s="1" t="s">
        <v>99</v>
      </c>
      <c r="Q832" s="1"/>
      <c r="R832" s="2">
        <v>44174</v>
      </c>
      <c r="S832" s="1"/>
      <c r="W832" s="1" t="s">
        <v>118</v>
      </c>
      <c r="X832" s="2">
        <v>44178</v>
      </c>
      <c r="Y832" s="2"/>
      <c r="Z832" s="2"/>
      <c r="AA832" s="2">
        <v>44175</v>
      </c>
      <c r="AB832" s="2">
        <v>44174</v>
      </c>
      <c r="AC832" s="1"/>
      <c r="AE832">
        <v>50</v>
      </c>
    </row>
    <row r="833" spans="1:31" x14ac:dyDescent="0.35">
      <c r="A833">
        <v>840</v>
      </c>
      <c r="B833" s="1"/>
      <c r="C833">
        <v>0</v>
      </c>
      <c r="D833" s="1"/>
      <c r="E833" s="1"/>
      <c r="F833" s="1" t="s">
        <v>30</v>
      </c>
      <c r="G833" s="1" t="s">
        <v>3062</v>
      </c>
      <c r="H833" s="1" t="s">
        <v>3063</v>
      </c>
      <c r="I833" s="1"/>
      <c r="J833" s="1" t="s">
        <v>3064</v>
      </c>
      <c r="K833" s="1" t="s">
        <v>437</v>
      </c>
      <c r="L833" s="1" t="s">
        <v>44</v>
      </c>
      <c r="M833" s="1" t="s">
        <v>197</v>
      </c>
      <c r="N833" s="1" t="s">
        <v>437</v>
      </c>
      <c r="O833" s="1" t="s">
        <v>44</v>
      </c>
      <c r="P833" s="1" t="s">
        <v>379</v>
      </c>
      <c r="Q833" s="1"/>
      <c r="R833" s="2">
        <v>44174</v>
      </c>
      <c r="S833" s="1"/>
      <c r="W833" s="1" t="s">
        <v>1053</v>
      </c>
      <c r="X833" s="2">
        <v>44182</v>
      </c>
      <c r="Y833" s="2"/>
      <c r="Z833" s="2">
        <v>44217</v>
      </c>
      <c r="AA833" s="2">
        <v>44204</v>
      </c>
      <c r="AB833" s="2">
        <v>44174</v>
      </c>
      <c r="AC833" s="1"/>
      <c r="AD833">
        <v>43</v>
      </c>
      <c r="AE833">
        <v>50</v>
      </c>
    </row>
    <row r="834" spans="1:31" x14ac:dyDescent="0.35">
      <c r="A834">
        <v>841</v>
      </c>
      <c r="B834" s="1"/>
      <c r="C834">
        <v>0</v>
      </c>
      <c r="D834" s="1"/>
      <c r="E834" s="1"/>
      <c r="F834" s="1" t="s">
        <v>30</v>
      </c>
      <c r="G834" s="1" t="s">
        <v>3065</v>
      </c>
      <c r="H834" s="1" t="s">
        <v>3066</v>
      </c>
      <c r="I834" s="1"/>
      <c r="J834" s="1" t="s">
        <v>3067</v>
      </c>
      <c r="K834" s="1"/>
      <c r="L834" s="1"/>
      <c r="M834" s="1" t="s">
        <v>197</v>
      </c>
      <c r="N834" s="1" t="s">
        <v>245</v>
      </c>
      <c r="O834" s="1" t="s">
        <v>147</v>
      </c>
      <c r="P834" s="1" t="s">
        <v>379</v>
      </c>
      <c r="Q834" s="1"/>
      <c r="R834" s="2">
        <v>44175</v>
      </c>
      <c r="S834" s="1"/>
      <c r="W834" s="1" t="s">
        <v>38</v>
      </c>
      <c r="X834" s="2">
        <v>44178</v>
      </c>
      <c r="Y834" s="2">
        <v>44182</v>
      </c>
      <c r="Z834" s="2">
        <v>44180</v>
      </c>
      <c r="AA834" s="2">
        <v>44175</v>
      </c>
      <c r="AB834" s="2">
        <v>44175</v>
      </c>
      <c r="AC834" s="1"/>
      <c r="AD834">
        <v>5</v>
      </c>
      <c r="AE834">
        <v>49</v>
      </c>
    </row>
    <row r="835" spans="1:31" x14ac:dyDescent="0.35">
      <c r="A835">
        <v>842</v>
      </c>
      <c r="B835" s="1"/>
      <c r="C835">
        <v>0</v>
      </c>
      <c r="D835" s="1" t="s">
        <v>206</v>
      </c>
      <c r="E835" s="1" t="s">
        <v>3068</v>
      </c>
      <c r="F835" s="1" t="s">
        <v>30</v>
      </c>
      <c r="G835" s="1" t="s">
        <v>3069</v>
      </c>
      <c r="H835" s="1" t="s">
        <v>3070</v>
      </c>
      <c r="I835" s="1" t="s">
        <v>3071</v>
      </c>
      <c r="J835" s="1" t="s">
        <v>3072</v>
      </c>
      <c r="K835" s="1"/>
      <c r="L835" s="1"/>
      <c r="M835" s="1" t="s">
        <v>34</v>
      </c>
      <c r="N835" s="1" t="s">
        <v>97</v>
      </c>
      <c r="O835" s="1" t="s">
        <v>98</v>
      </c>
      <c r="P835" s="1" t="s">
        <v>99</v>
      </c>
      <c r="Q835" s="1"/>
      <c r="R835" s="2">
        <v>44175</v>
      </c>
      <c r="S835" s="1"/>
      <c r="W835" s="1" t="s">
        <v>38</v>
      </c>
      <c r="X835" s="2">
        <v>44182</v>
      </c>
      <c r="Y835" s="2">
        <v>44182</v>
      </c>
      <c r="Z835" s="2">
        <v>44181</v>
      </c>
      <c r="AA835" s="2">
        <v>44175</v>
      </c>
      <c r="AB835" s="2">
        <v>44175</v>
      </c>
      <c r="AC835" s="1"/>
      <c r="AD835">
        <v>6</v>
      </c>
      <c r="AE835">
        <v>49</v>
      </c>
    </row>
    <row r="836" spans="1:31" x14ac:dyDescent="0.35">
      <c r="A836">
        <v>843</v>
      </c>
      <c r="B836" s="1"/>
      <c r="C836">
        <v>0</v>
      </c>
      <c r="D836" s="1"/>
      <c r="E836" s="1"/>
      <c r="F836" s="1" t="s">
        <v>30</v>
      </c>
      <c r="G836" s="1" t="s">
        <v>3073</v>
      </c>
      <c r="H836" s="1" t="s">
        <v>3074</v>
      </c>
      <c r="I836" s="1"/>
      <c r="J836" s="1" t="s">
        <v>3075</v>
      </c>
      <c r="K836" s="1"/>
      <c r="L836" s="1"/>
      <c r="M836" s="1" t="s">
        <v>34</v>
      </c>
      <c r="N836" s="1" t="s">
        <v>437</v>
      </c>
      <c r="O836" s="1" t="s">
        <v>44</v>
      </c>
      <c r="P836" s="1" t="s">
        <v>200</v>
      </c>
      <c r="Q836" s="1"/>
      <c r="R836" s="2">
        <v>44175</v>
      </c>
      <c r="S836" s="1"/>
      <c r="W836" s="1" t="s">
        <v>38</v>
      </c>
      <c r="X836" s="2">
        <v>44182</v>
      </c>
      <c r="Y836" s="2">
        <v>44186</v>
      </c>
      <c r="Z836" s="2">
        <v>44181</v>
      </c>
      <c r="AA836" s="2">
        <v>44175</v>
      </c>
      <c r="AB836" s="2">
        <v>44175</v>
      </c>
      <c r="AC836" s="1"/>
      <c r="AD836">
        <v>6</v>
      </c>
      <c r="AE836">
        <v>49</v>
      </c>
    </row>
    <row r="837" spans="1:31" x14ac:dyDescent="0.35">
      <c r="A837">
        <v>844</v>
      </c>
      <c r="B837" s="1"/>
      <c r="C837">
        <v>0</v>
      </c>
      <c r="D837" s="1"/>
      <c r="E837" s="1" t="s">
        <v>3076</v>
      </c>
      <c r="F837" s="1" t="s">
        <v>30</v>
      </c>
      <c r="G837" s="1" t="s">
        <v>3077</v>
      </c>
      <c r="H837" s="1" t="s">
        <v>3078</v>
      </c>
      <c r="I837" s="1"/>
      <c r="J837" s="1" t="s">
        <v>3079</v>
      </c>
      <c r="K837" s="1"/>
      <c r="L837" s="1"/>
      <c r="M837" s="1" t="s">
        <v>34</v>
      </c>
      <c r="N837" s="1" t="s">
        <v>378</v>
      </c>
      <c r="O837" s="1" t="s">
        <v>147</v>
      </c>
      <c r="P837" s="1" t="s">
        <v>379</v>
      </c>
      <c r="Q837" s="1"/>
      <c r="R837" s="2">
        <v>44175</v>
      </c>
      <c r="S837" s="1"/>
      <c r="W837" s="1" t="s">
        <v>38</v>
      </c>
      <c r="X837" s="2">
        <v>44182</v>
      </c>
      <c r="Y837" s="2">
        <v>44186</v>
      </c>
      <c r="Z837" s="2">
        <v>44186</v>
      </c>
      <c r="AA837" s="2">
        <v>44175</v>
      </c>
      <c r="AB837" s="2">
        <v>44175</v>
      </c>
      <c r="AC837" s="1"/>
      <c r="AD837">
        <v>11</v>
      </c>
      <c r="AE837">
        <v>49</v>
      </c>
    </row>
    <row r="838" spans="1:31" x14ac:dyDescent="0.35">
      <c r="A838">
        <v>845</v>
      </c>
      <c r="B838" s="1"/>
      <c r="C838">
        <v>0</v>
      </c>
      <c r="D838" s="1"/>
      <c r="E838" s="1" t="s">
        <v>3080</v>
      </c>
      <c r="F838" s="1" t="s">
        <v>30</v>
      </c>
      <c r="G838" s="1" t="s">
        <v>3081</v>
      </c>
      <c r="H838" s="1" t="s">
        <v>3082</v>
      </c>
      <c r="I838" s="1" t="s">
        <v>3083</v>
      </c>
      <c r="J838" s="1" t="s">
        <v>3084</v>
      </c>
      <c r="K838" s="1"/>
      <c r="L838" s="1"/>
      <c r="M838" s="1" t="s">
        <v>117</v>
      </c>
      <c r="N838" s="1" t="s">
        <v>129</v>
      </c>
      <c r="O838" s="1" t="s">
        <v>44</v>
      </c>
      <c r="P838" s="1" t="s">
        <v>37</v>
      </c>
      <c r="Q838" s="1"/>
      <c r="R838" s="2">
        <v>44176</v>
      </c>
      <c r="S838" s="1"/>
      <c r="W838" s="1" t="s">
        <v>38</v>
      </c>
      <c r="X838" s="2">
        <v>44185</v>
      </c>
      <c r="Y838" s="2">
        <v>44180</v>
      </c>
      <c r="Z838" s="2">
        <v>44176</v>
      </c>
      <c r="AA838" s="2"/>
      <c r="AB838" s="2">
        <v>44176</v>
      </c>
      <c r="AC838" s="1"/>
      <c r="AD838">
        <v>0</v>
      </c>
      <c r="AE838">
        <v>48</v>
      </c>
    </row>
    <row r="839" spans="1:31" x14ac:dyDescent="0.35">
      <c r="A839">
        <v>846</v>
      </c>
      <c r="B839" s="1"/>
      <c r="C839">
        <v>0</v>
      </c>
      <c r="D839" s="1"/>
      <c r="E839" s="1"/>
      <c r="F839" s="1" t="s">
        <v>30</v>
      </c>
      <c r="G839" s="1" t="s">
        <v>3085</v>
      </c>
      <c r="H839" s="1" t="s">
        <v>3086</v>
      </c>
      <c r="I839" s="1"/>
      <c r="J839" s="1" t="s">
        <v>3087</v>
      </c>
      <c r="K839" s="1"/>
      <c r="L839" s="1"/>
      <c r="M839" s="1" t="s">
        <v>34</v>
      </c>
      <c r="N839" s="1" t="s">
        <v>853</v>
      </c>
      <c r="O839" s="1" t="s">
        <v>854</v>
      </c>
      <c r="P839" s="1" t="s">
        <v>37</v>
      </c>
      <c r="Q839" s="1"/>
      <c r="R839" s="2">
        <v>44176</v>
      </c>
      <c r="S839" s="1"/>
      <c r="W839" s="1" t="s">
        <v>38</v>
      </c>
      <c r="X839" s="2">
        <v>44183</v>
      </c>
      <c r="Y839" s="2">
        <v>44182</v>
      </c>
      <c r="Z839" s="2">
        <v>44180</v>
      </c>
      <c r="AA839" s="2">
        <v>44180</v>
      </c>
      <c r="AB839" s="2">
        <v>44176</v>
      </c>
      <c r="AC839" s="1"/>
      <c r="AD839">
        <v>4</v>
      </c>
      <c r="AE839">
        <v>48</v>
      </c>
    </row>
    <row r="840" spans="1:31" x14ac:dyDescent="0.35">
      <c r="A840">
        <v>847</v>
      </c>
      <c r="B840" s="1"/>
      <c r="C840">
        <v>0</v>
      </c>
      <c r="D840" s="1" t="s">
        <v>206</v>
      </c>
      <c r="E840" s="1" t="s">
        <v>3088</v>
      </c>
      <c r="F840" s="1" t="s">
        <v>30</v>
      </c>
      <c r="G840" s="1" t="s">
        <v>3089</v>
      </c>
      <c r="H840" s="1" t="s">
        <v>3090</v>
      </c>
      <c r="I840" s="1" t="s">
        <v>3091</v>
      </c>
      <c r="J840" s="1" t="s">
        <v>3092</v>
      </c>
      <c r="K840" s="1"/>
      <c r="L840" s="1"/>
      <c r="M840" s="1" t="s">
        <v>34</v>
      </c>
      <c r="N840" s="1" t="s">
        <v>97</v>
      </c>
      <c r="O840" s="1" t="s">
        <v>98</v>
      </c>
      <c r="P840" s="1" t="s">
        <v>99</v>
      </c>
      <c r="Q840" s="1"/>
      <c r="R840" s="2">
        <v>44179</v>
      </c>
      <c r="S840" s="1"/>
      <c r="W840" s="1" t="s">
        <v>38</v>
      </c>
      <c r="X840" s="2">
        <v>44186</v>
      </c>
      <c r="Y840" s="2">
        <v>44182</v>
      </c>
      <c r="Z840" s="2">
        <v>44181</v>
      </c>
      <c r="AA840" s="2">
        <v>44180</v>
      </c>
      <c r="AB840" s="2">
        <v>44179</v>
      </c>
      <c r="AC840" s="1"/>
      <c r="AD840">
        <v>2</v>
      </c>
      <c r="AE840">
        <v>45</v>
      </c>
    </row>
    <row r="841" spans="1:31" x14ac:dyDescent="0.35">
      <c r="A841">
        <v>848</v>
      </c>
      <c r="B841" s="1"/>
      <c r="C841">
        <v>0</v>
      </c>
      <c r="D841" s="1"/>
      <c r="E841" s="1"/>
      <c r="F841" s="1" t="s">
        <v>30</v>
      </c>
      <c r="G841" s="1" t="s">
        <v>3093</v>
      </c>
      <c r="H841" s="1" t="s">
        <v>3094</v>
      </c>
      <c r="I841" s="1"/>
      <c r="J841" s="1" t="s">
        <v>3095</v>
      </c>
      <c r="K841" s="1"/>
      <c r="L841" s="1"/>
      <c r="M841" s="1" t="s">
        <v>34</v>
      </c>
      <c r="N841" s="1" t="s">
        <v>276</v>
      </c>
      <c r="O841" s="1" t="s">
        <v>277</v>
      </c>
      <c r="P841" s="1" t="s">
        <v>278</v>
      </c>
      <c r="Q841" s="1"/>
      <c r="R841" s="2">
        <v>44180</v>
      </c>
      <c r="S841" s="1"/>
      <c r="W841" s="1" t="s">
        <v>38</v>
      </c>
      <c r="X841" s="2">
        <v>44187</v>
      </c>
      <c r="Y841" s="2">
        <v>44203</v>
      </c>
      <c r="Z841" s="2">
        <v>44187</v>
      </c>
      <c r="AA841" s="2">
        <v>44182</v>
      </c>
      <c r="AB841" s="2">
        <v>44180</v>
      </c>
      <c r="AC841" s="1"/>
      <c r="AD841">
        <v>7</v>
      </c>
      <c r="AE841">
        <v>44</v>
      </c>
    </row>
    <row r="842" spans="1:31" x14ac:dyDescent="0.35">
      <c r="A842">
        <v>849</v>
      </c>
      <c r="B842" s="1"/>
      <c r="C842">
        <v>0</v>
      </c>
      <c r="D842" s="1" t="s">
        <v>111</v>
      </c>
      <c r="E842" s="1" t="s">
        <v>3096</v>
      </c>
      <c r="F842" s="1" t="s">
        <v>30</v>
      </c>
      <c r="G842" s="1" t="s">
        <v>3097</v>
      </c>
      <c r="H842" s="1" t="s">
        <v>3098</v>
      </c>
      <c r="I842" s="1" t="s">
        <v>3099</v>
      </c>
      <c r="J842" s="1" t="s">
        <v>3100</v>
      </c>
      <c r="K842" s="1" t="s">
        <v>37</v>
      </c>
      <c r="L842" s="1"/>
      <c r="M842" s="1" t="s">
        <v>197</v>
      </c>
      <c r="N842" s="1" t="s">
        <v>97</v>
      </c>
      <c r="O842" s="1" t="s">
        <v>98</v>
      </c>
      <c r="P842" s="1" t="s">
        <v>37</v>
      </c>
      <c r="Q842" s="1"/>
      <c r="R842" s="2">
        <v>44182</v>
      </c>
      <c r="S842" s="1"/>
      <c r="W842" s="1" t="s">
        <v>118</v>
      </c>
      <c r="X842" s="2">
        <v>44203</v>
      </c>
      <c r="Y842" s="2"/>
      <c r="Z842" s="2">
        <v>44217</v>
      </c>
      <c r="AA842" s="2">
        <v>44217</v>
      </c>
      <c r="AB842" s="2">
        <v>44182</v>
      </c>
      <c r="AC842" s="1"/>
      <c r="AD842">
        <v>35</v>
      </c>
      <c r="AE842">
        <v>42</v>
      </c>
    </row>
    <row r="843" spans="1:31" x14ac:dyDescent="0.35">
      <c r="A843">
        <v>850</v>
      </c>
      <c r="B843" s="1"/>
      <c r="C843">
        <v>0</v>
      </c>
      <c r="D843" s="1"/>
      <c r="E843" s="1"/>
      <c r="F843" s="1" t="s">
        <v>30</v>
      </c>
      <c r="G843" s="1" t="s">
        <v>3101</v>
      </c>
      <c r="H843" s="1" t="s">
        <v>3102</v>
      </c>
      <c r="I843" s="1"/>
      <c r="J843" s="1" t="s">
        <v>3103</v>
      </c>
      <c r="K843" s="1" t="s">
        <v>200</v>
      </c>
      <c r="L843" s="1"/>
      <c r="M843" s="1" t="s">
        <v>197</v>
      </c>
      <c r="N843" s="1" t="s">
        <v>198</v>
      </c>
      <c r="O843" s="1" t="s">
        <v>199</v>
      </c>
      <c r="P843" s="1" t="s">
        <v>200</v>
      </c>
      <c r="Q843" s="1"/>
      <c r="R843" s="2">
        <v>44183</v>
      </c>
      <c r="S843" s="1"/>
      <c r="W843" s="1" t="s">
        <v>118</v>
      </c>
      <c r="X843" s="2">
        <v>44189</v>
      </c>
      <c r="Y843" s="2"/>
      <c r="Z843" s="2">
        <v>44201</v>
      </c>
      <c r="AA843" s="2">
        <v>44209</v>
      </c>
      <c r="AB843" s="2">
        <v>44183</v>
      </c>
      <c r="AC843" s="1"/>
      <c r="AD843">
        <v>18</v>
      </c>
      <c r="AE843">
        <v>41</v>
      </c>
    </row>
    <row r="844" spans="1:31" x14ac:dyDescent="0.35">
      <c r="A844">
        <v>851</v>
      </c>
      <c r="B844" s="1"/>
      <c r="C844">
        <v>0</v>
      </c>
      <c r="D844" s="1"/>
      <c r="E844" s="1"/>
      <c r="F844" s="1" t="s">
        <v>30</v>
      </c>
      <c r="G844" s="1" t="s">
        <v>3104</v>
      </c>
      <c r="H844" s="1" t="s">
        <v>3105</v>
      </c>
      <c r="I844" s="1"/>
      <c r="J844" s="1" t="s">
        <v>3106</v>
      </c>
      <c r="K844" s="1"/>
      <c r="L844" s="1"/>
      <c r="M844" s="1" t="s">
        <v>197</v>
      </c>
      <c r="N844" s="1" t="s">
        <v>3107</v>
      </c>
      <c r="O844" s="1" t="s">
        <v>394</v>
      </c>
      <c r="P844" s="1" t="s">
        <v>37</v>
      </c>
      <c r="Q844" s="1"/>
      <c r="R844" s="2">
        <v>44186</v>
      </c>
      <c r="S844" s="1"/>
      <c r="W844" s="1" t="s">
        <v>38</v>
      </c>
      <c r="X844" s="2">
        <v>44183</v>
      </c>
      <c r="Y844" s="2">
        <v>44210</v>
      </c>
      <c r="Z844" s="2">
        <v>44210</v>
      </c>
      <c r="AA844" s="2">
        <v>44187</v>
      </c>
      <c r="AB844" s="2">
        <v>44186</v>
      </c>
      <c r="AC844" s="1"/>
      <c r="AD844">
        <v>24</v>
      </c>
      <c r="AE844">
        <v>38</v>
      </c>
    </row>
    <row r="845" spans="1:31" x14ac:dyDescent="0.35">
      <c r="A845">
        <v>852</v>
      </c>
      <c r="B845" s="1"/>
      <c r="C845">
        <v>0</v>
      </c>
      <c r="D845" s="1"/>
      <c r="E845" s="1"/>
      <c r="F845" s="1" t="s">
        <v>30</v>
      </c>
      <c r="G845" s="1" t="s">
        <v>3108</v>
      </c>
      <c r="H845" s="1" t="s">
        <v>3109</v>
      </c>
      <c r="I845" s="1"/>
      <c r="J845" s="1" t="s">
        <v>3110</v>
      </c>
      <c r="K845" s="1"/>
      <c r="L845" s="1"/>
      <c r="M845" s="1" t="s">
        <v>34</v>
      </c>
      <c r="N845" s="1" t="s">
        <v>483</v>
      </c>
      <c r="O845" s="1" t="s">
        <v>484</v>
      </c>
      <c r="P845" s="1" t="s">
        <v>37</v>
      </c>
      <c r="Q845" s="1"/>
      <c r="R845" s="2">
        <v>44186</v>
      </c>
      <c r="S845" s="1"/>
      <c r="W845" s="1" t="s">
        <v>38</v>
      </c>
      <c r="X845" s="2">
        <v>44193</v>
      </c>
      <c r="Y845" s="2">
        <v>44203</v>
      </c>
      <c r="Z845" s="2">
        <v>44201</v>
      </c>
      <c r="AA845" s="2">
        <v>44187</v>
      </c>
      <c r="AB845" s="2">
        <v>44186</v>
      </c>
      <c r="AC845" s="1"/>
      <c r="AD845">
        <v>15</v>
      </c>
      <c r="AE845">
        <v>38</v>
      </c>
    </row>
    <row r="846" spans="1:31" x14ac:dyDescent="0.35">
      <c r="A846">
        <v>853</v>
      </c>
      <c r="B846" s="1"/>
      <c r="C846">
        <v>0</v>
      </c>
      <c r="D846" s="1" t="s">
        <v>206</v>
      </c>
      <c r="E846" s="1" t="s">
        <v>3111</v>
      </c>
      <c r="F846" s="1" t="s">
        <v>30</v>
      </c>
      <c r="G846" s="1" t="s">
        <v>3112</v>
      </c>
      <c r="H846" s="1" t="s">
        <v>3113</v>
      </c>
      <c r="I846" s="1" t="s">
        <v>3114</v>
      </c>
      <c r="J846" s="1" t="s">
        <v>665</v>
      </c>
      <c r="K846" s="1" t="s">
        <v>99</v>
      </c>
      <c r="L846" s="1"/>
      <c r="M846" s="1" t="s">
        <v>197</v>
      </c>
      <c r="N846" s="1" t="s">
        <v>97</v>
      </c>
      <c r="O846" s="1" t="s">
        <v>98</v>
      </c>
      <c r="P846" s="1" t="s">
        <v>99</v>
      </c>
      <c r="Q846" s="1"/>
      <c r="R846" s="2">
        <v>44187</v>
      </c>
      <c r="S846" s="1"/>
      <c r="W846" s="1" t="s">
        <v>118</v>
      </c>
      <c r="X846" s="2">
        <v>44224</v>
      </c>
      <c r="Y846" s="2"/>
      <c r="Z846" s="2"/>
      <c r="AA846" s="2">
        <v>44201</v>
      </c>
      <c r="AB846" s="2">
        <v>44187</v>
      </c>
      <c r="AC846" s="1"/>
      <c r="AE846">
        <v>37</v>
      </c>
    </row>
    <row r="847" spans="1:31" x14ac:dyDescent="0.35">
      <c r="A847">
        <v>854</v>
      </c>
      <c r="B847" s="1"/>
      <c r="C847">
        <v>0</v>
      </c>
      <c r="D847" s="1"/>
      <c r="E847" s="1"/>
      <c r="F847" s="1" t="s">
        <v>30</v>
      </c>
      <c r="G847" s="1" t="s">
        <v>3115</v>
      </c>
      <c r="H847" s="1" t="s">
        <v>3116</v>
      </c>
      <c r="I847" s="1"/>
      <c r="J847" s="1" t="s">
        <v>3117</v>
      </c>
      <c r="K847" s="1"/>
      <c r="L847" s="1"/>
      <c r="M847" s="1" t="s">
        <v>34</v>
      </c>
      <c r="N847" s="1" t="s">
        <v>3118</v>
      </c>
      <c r="O847" s="1" t="s">
        <v>3119</v>
      </c>
      <c r="P847" s="1" t="s">
        <v>278</v>
      </c>
      <c r="Q847" s="1"/>
      <c r="R847" s="2">
        <v>44187</v>
      </c>
      <c r="S847" s="1"/>
      <c r="W847" s="1" t="s">
        <v>38</v>
      </c>
      <c r="X847" s="2">
        <v>44194</v>
      </c>
      <c r="Y847" s="2">
        <v>44200</v>
      </c>
      <c r="Z847" s="2">
        <v>44200</v>
      </c>
      <c r="AA847" s="2">
        <v>44193</v>
      </c>
      <c r="AB847" s="2">
        <v>44187</v>
      </c>
      <c r="AC847" s="1"/>
      <c r="AD847">
        <v>13</v>
      </c>
      <c r="AE847">
        <v>37</v>
      </c>
    </row>
    <row r="848" spans="1:31" x14ac:dyDescent="0.35">
      <c r="A848">
        <v>855</v>
      </c>
      <c r="B848" s="1"/>
      <c r="C848">
        <v>0</v>
      </c>
      <c r="D848" s="1"/>
      <c r="E848" s="1"/>
      <c r="F848" s="1" t="s">
        <v>30</v>
      </c>
      <c r="G848" s="1" t="s">
        <v>3120</v>
      </c>
      <c r="H848" s="1" t="s">
        <v>3121</v>
      </c>
      <c r="I848" s="1"/>
      <c r="J848" s="1" t="s">
        <v>3122</v>
      </c>
      <c r="K848" s="1" t="s">
        <v>278</v>
      </c>
      <c r="L848" s="1"/>
      <c r="M848" s="1" t="s">
        <v>34</v>
      </c>
      <c r="N848" s="1" t="s">
        <v>2257</v>
      </c>
      <c r="O848" s="1" t="s">
        <v>586</v>
      </c>
      <c r="P848" s="1" t="s">
        <v>278</v>
      </c>
      <c r="Q848" s="1"/>
      <c r="R848" s="2">
        <v>44218</v>
      </c>
      <c r="S848" s="1"/>
      <c r="W848" s="1" t="s">
        <v>16</v>
      </c>
      <c r="X848" s="2">
        <v>44194</v>
      </c>
      <c r="Y848" s="2">
        <v>44217</v>
      </c>
      <c r="Z848" s="2">
        <v>44202</v>
      </c>
      <c r="AA848" s="2">
        <v>44201</v>
      </c>
      <c r="AB848" s="2">
        <v>44187</v>
      </c>
      <c r="AC848" s="1"/>
      <c r="AD848">
        <v>15</v>
      </c>
      <c r="AE848">
        <v>37</v>
      </c>
    </row>
    <row r="849" spans="1:31" x14ac:dyDescent="0.35">
      <c r="A849">
        <v>856</v>
      </c>
      <c r="B849" s="1"/>
      <c r="C849">
        <v>0</v>
      </c>
      <c r="D849" s="1"/>
      <c r="E849" s="1"/>
      <c r="F849" s="1" t="s">
        <v>30</v>
      </c>
      <c r="G849" s="1" t="s">
        <v>3123</v>
      </c>
      <c r="H849" s="1" t="s">
        <v>3124</v>
      </c>
      <c r="I849" s="1"/>
      <c r="J849" s="1" t="s">
        <v>3125</v>
      </c>
      <c r="K849" s="1" t="s">
        <v>116</v>
      </c>
      <c r="L849" s="1"/>
      <c r="M849" s="1" t="s">
        <v>197</v>
      </c>
      <c r="N849" s="1" t="s">
        <v>245</v>
      </c>
      <c r="O849" s="1" t="s">
        <v>147</v>
      </c>
      <c r="P849" s="1" t="s">
        <v>116</v>
      </c>
      <c r="Q849" s="1"/>
      <c r="R849" s="2">
        <v>44188</v>
      </c>
      <c r="S849" s="1"/>
      <c r="W849" s="1" t="s">
        <v>118</v>
      </c>
      <c r="X849" s="2">
        <v>44195</v>
      </c>
      <c r="Y849" s="2"/>
      <c r="Z849" s="2">
        <v>44201</v>
      </c>
      <c r="AA849" s="2">
        <v>44204</v>
      </c>
      <c r="AB849" s="2">
        <v>44188</v>
      </c>
      <c r="AC849" s="1"/>
      <c r="AD849">
        <v>13</v>
      </c>
      <c r="AE849">
        <v>36</v>
      </c>
    </row>
    <row r="850" spans="1:31" x14ac:dyDescent="0.35">
      <c r="A850">
        <v>857</v>
      </c>
      <c r="B850" s="1"/>
      <c r="C850">
        <v>0</v>
      </c>
      <c r="D850" s="1"/>
      <c r="E850" s="1"/>
      <c r="F850" s="1" t="s">
        <v>30</v>
      </c>
      <c r="G850" s="1" t="s">
        <v>3126</v>
      </c>
      <c r="H850" s="1" t="s">
        <v>3127</v>
      </c>
      <c r="I850" s="1" t="s">
        <v>3128</v>
      </c>
      <c r="J850" s="1" t="s">
        <v>3129</v>
      </c>
      <c r="K850" s="1"/>
      <c r="L850" s="1"/>
      <c r="M850" s="1" t="s">
        <v>34</v>
      </c>
      <c r="N850" s="1" t="s">
        <v>483</v>
      </c>
      <c r="O850" s="1" t="s">
        <v>484</v>
      </c>
      <c r="P850" s="1" t="s">
        <v>37</v>
      </c>
      <c r="Q850" s="1"/>
      <c r="R850" s="2">
        <v>44193</v>
      </c>
      <c r="S850" s="1"/>
      <c r="W850" s="1" t="s">
        <v>38</v>
      </c>
      <c r="X850" s="2">
        <v>44200</v>
      </c>
      <c r="Y850" s="2">
        <v>44203</v>
      </c>
      <c r="Z850" s="2">
        <v>44200</v>
      </c>
      <c r="AA850" s="2">
        <v>44193</v>
      </c>
      <c r="AB850" s="2">
        <v>44193</v>
      </c>
      <c r="AC850" s="1"/>
      <c r="AD850">
        <v>7</v>
      </c>
      <c r="AE850">
        <v>31</v>
      </c>
    </row>
    <row r="851" spans="1:31" x14ac:dyDescent="0.35">
      <c r="A851">
        <v>858</v>
      </c>
      <c r="B851" s="1"/>
      <c r="C851">
        <v>0</v>
      </c>
      <c r="D851" s="1"/>
      <c r="E851" s="1"/>
      <c r="F851" s="1" t="s">
        <v>30</v>
      </c>
      <c r="G851" s="1" t="s">
        <v>3130</v>
      </c>
      <c r="H851" s="1" t="s">
        <v>3131</v>
      </c>
      <c r="I851" s="1"/>
      <c r="J851" s="1"/>
      <c r="K851" s="1" t="s">
        <v>37</v>
      </c>
      <c r="L851" s="1"/>
      <c r="M851" s="1" t="s">
        <v>34</v>
      </c>
      <c r="N851" s="1" t="s">
        <v>880</v>
      </c>
      <c r="O851" s="1" t="s">
        <v>44</v>
      </c>
      <c r="P851" s="1" t="s">
        <v>37</v>
      </c>
      <c r="Q851" s="1"/>
      <c r="R851" s="2">
        <v>44200</v>
      </c>
      <c r="S851" s="1"/>
      <c r="W851" s="1" t="s">
        <v>118</v>
      </c>
      <c r="X851" s="2">
        <v>44200</v>
      </c>
      <c r="Y851" s="2"/>
      <c r="Z851" s="2"/>
      <c r="AA851" s="2">
        <v>44200</v>
      </c>
      <c r="AB851" s="2">
        <v>44193</v>
      </c>
      <c r="AC851" s="1"/>
      <c r="AE851">
        <v>31</v>
      </c>
    </row>
    <row r="852" spans="1:31" x14ac:dyDescent="0.35">
      <c r="A852">
        <v>859</v>
      </c>
      <c r="B852" s="1"/>
      <c r="C852">
        <v>0</v>
      </c>
      <c r="D852" s="1"/>
      <c r="E852" s="1"/>
      <c r="F852" s="1" t="s">
        <v>30</v>
      </c>
      <c r="G852" s="1" t="s">
        <v>3132</v>
      </c>
      <c r="H852" s="1" t="s">
        <v>3133</v>
      </c>
      <c r="I852" s="1"/>
      <c r="J852" s="1" t="s">
        <v>3134</v>
      </c>
      <c r="K852" s="1"/>
      <c r="L852" s="1"/>
      <c r="M852" s="1" t="s">
        <v>34</v>
      </c>
      <c r="N852" s="1" t="s">
        <v>245</v>
      </c>
      <c r="O852" s="1" t="s">
        <v>147</v>
      </c>
      <c r="P852" s="1" t="s">
        <v>379</v>
      </c>
      <c r="Q852" s="1"/>
      <c r="R852" s="2">
        <v>44195</v>
      </c>
      <c r="S852" s="1"/>
      <c r="W852" s="1" t="s">
        <v>38</v>
      </c>
      <c r="X852" s="2">
        <v>44202</v>
      </c>
      <c r="Y852" s="2">
        <v>44203</v>
      </c>
      <c r="Z852" s="2">
        <v>44202</v>
      </c>
      <c r="AA852" s="2">
        <v>44196</v>
      </c>
      <c r="AB852" s="2">
        <v>44195</v>
      </c>
      <c r="AC852" s="1"/>
      <c r="AD852">
        <v>7</v>
      </c>
      <c r="AE852">
        <v>29</v>
      </c>
    </row>
    <row r="853" spans="1:31" x14ac:dyDescent="0.35">
      <c r="A853">
        <v>860</v>
      </c>
      <c r="B853" s="1"/>
      <c r="C853">
        <v>0</v>
      </c>
      <c r="D853" s="1"/>
      <c r="E853" s="1"/>
      <c r="F853" s="1" t="s">
        <v>30</v>
      </c>
      <c r="G853" s="1" t="s">
        <v>3135</v>
      </c>
      <c r="H853" s="1" t="s">
        <v>3136</v>
      </c>
      <c r="I853" s="1"/>
      <c r="J853" s="1" t="s">
        <v>3137</v>
      </c>
      <c r="K853" s="1"/>
      <c r="L853" s="1"/>
      <c r="M853" s="1" t="s">
        <v>34</v>
      </c>
      <c r="N853" s="1" t="s">
        <v>245</v>
      </c>
      <c r="O853" s="1" t="s">
        <v>147</v>
      </c>
      <c r="P853" s="1" t="s">
        <v>379</v>
      </c>
      <c r="Q853" s="1"/>
      <c r="R853" s="2">
        <v>44195</v>
      </c>
      <c r="S853" s="1"/>
      <c r="W853" s="1" t="s">
        <v>38</v>
      </c>
      <c r="X853" s="2">
        <v>44202</v>
      </c>
      <c r="Y853" s="2">
        <v>44203</v>
      </c>
      <c r="Z853" s="2">
        <v>44202</v>
      </c>
      <c r="AA853" s="2">
        <v>44195</v>
      </c>
      <c r="AB853" s="2">
        <v>44195</v>
      </c>
      <c r="AC853" s="1"/>
      <c r="AD853">
        <v>7</v>
      </c>
      <c r="AE853">
        <v>29</v>
      </c>
    </row>
    <row r="854" spans="1:31" x14ac:dyDescent="0.35">
      <c r="A854">
        <v>861</v>
      </c>
      <c r="B854" s="1"/>
      <c r="C854">
        <v>0</v>
      </c>
      <c r="D854" s="1"/>
      <c r="E854" s="1"/>
      <c r="F854" s="1" t="s">
        <v>30</v>
      </c>
      <c r="G854" s="1" t="s">
        <v>3138</v>
      </c>
      <c r="H854" s="1" t="s">
        <v>3139</v>
      </c>
      <c r="I854" s="1"/>
      <c r="J854" s="1" t="s">
        <v>3140</v>
      </c>
      <c r="K854" s="1"/>
      <c r="L854" s="1"/>
      <c r="M854" s="1" t="s">
        <v>34</v>
      </c>
      <c r="N854" s="1" t="s">
        <v>3141</v>
      </c>
      <c r="O854" s="1" t="s">
        <v>62</v>
      </c>
      <c r="P854" s="1" t="s">
        <v>200</v>
      </c>
      <c r="Q854" s="1"/>
      <c r="R854" s="2">
        <v>44196</v>
      </c>
      <c r="S854" s="1"/>
      <c r="W854" s="1" t="s">
        <v>38</v>
      </c>
      <c r="X854" s="2">
        <v>44203</v>
      </c>
      <c r="Y854" s="2">
        <v>44204</v>
      </c>
      <c r="Z854" s="2">
        <v>44202</v>
      </c>
      <c r="AA854" s="2">
        <v>44196</v>
      </c>
      <c r="AB854" s="2">
        <v>44196</v>
      </c>
      <c r="AC854" s="1"/>
      <c r="AD854">
        <v>6</v>
      </c>
      <c r="AE854">
        <v>28</v>
      </c>
    </row>
    <row r="855" spans="1:31" x14ac:dyDescent="0.35">
      <c r="A855">
        <v>862</v>
      </c>
      <c r="B855" s="1"/>
      <c r="C855">
        <v>0</v>
      </c>
      <c r="D855" s="1" t="s">
        <v>3142</v>
      </c>
      <c r="E855" s="1" t="s">
        <v>3143</v>
      </c>
      <c r="F855" s="1" t="s">
        <v>30</v>
      </c>
      <c r="G855" s="1" t="s">
        <v>3144</v>
      </c>
      <c r="H855" s="1" t="s">
        <v>3145</v>
      </c>
      <c r="I855" s="1" t="s">
        <v>3146</v>
      </c>
      <c r="J855" s="1" t="s">
        <v>3147</v>
      </c>
      <c r="K855" s="1"/>
      <c r="L855" s="1"/>
      <c r="M855" s="1" t="s">
        <v>34</v>
      </c>
      <c r="N855" s="1" t="s">
        <v>97</v>
      </c>
      <c r="O855" s="1" t="s">
        <v>98</v>
      </c>
      <c r="P855" s="1" t="s">
        <v>37</v>
      </c>
      <c r="Q855" s="1"/>
      <c r="R855" s="2">
        <v>44200</v>
      </c>
      <c r="S855" s="1"/>
      <c r="W855" s="1" t="s">
        <v>38</v>
      </c>
      <c r="X855" s="2">
        <v>44207</v>
      </c>
      <c r="Y855" s="2">
        <v>44202</v>
      </c>
      <c r="Z855" s="2">
        <v>44201</v>
      </c>
      <c r="AA855" s="2">
        <v>44201</v>
      </c>
      <c r="AB855" s="2">
        <v>44200</v>
      </c>
      <c r="AC855" s="1"/>
      <c r="AD855">
        <v>1</v>
      </c>
      <c r="AE855">
        <v>24</v>
      </c>
    </row>
    <row r="856" spans="1:31" x14ac:dyDescent="0.35">
      <c r="A856">
        <v>863</v>
      </c>
      <c r="B856" s="1"/>
      <c r="C856">
        <v>0</v>
      </c>
      <c r="D856" s="1"/>
      <c r="E856" s="1"/>
      <c r="F856" s="1" t="s">
        <v>30</v>
      </c>
      <c r="G856" s="1" t="s">
        <v>3148</v>
      </c>
      <c r="H856" s="1" t="s">
        <v>3149</v>
      </c>
      <c r="I856" s="1"/>
      <c r="J856" s="1" t="s">
        <v>3150</v>
      </c>
      <c r="K856" s="1"/>
      <c r="L856" s="1"/>
      <c r="M856" s="1" t="s">
        <v>197</v>
      </c>
      <c r="N856" s="1" t="s">
        <v>245</v>
      </c>
      <c r="O856" s="1" t="s">
        <v>147</v>
      </c>
      <c r="P856" s="1" t="s">
        <v>37</v>
      </c>
      <c r="Q856" s="1"/>
      <c r="R856" s="2">
        <v>44201</v>
      </c>
      <c r="S856" s="1"/>
      <c r="W856" s="1" t="s">
        <v>38</v>
      </c>
      <c r="X856" s="2">
        <v>44211</v>
      </c>
      <c r="Y856" s="2">
        <v>44217</v>
      </c>
      <c r="Z856" s="2">
        <v>44215</v>
      </c>
      <c r="AA856" s="2">
        <v>44202</v>
      </c>
      <c r="AB856" s="2">
        <v>44201</v>
      </c>
      <c r="AC856" s="1"/>
      <c r="AD856">
        <v>14</v>
      </c>
      <c r="AE856">
        <v>23</v>
      </c>
    </row>
    <row r="857" spans="1:31" x14ac:dyDescent="0.35">
      <c r="A857">
        <v>864</v>
      </c>
      <c r="B857" s="1"/>
      <c r="C857">
        <v>0</v>
      </c>
      <c r="D857" s="1"/>
      <c r="E857" s="1"/>
      <c r="F857" s="1" t="s">
        <v>30</v>
      </c>
      <c r="G857" s="1" t="s">
        <v>3151</v>
      </c>
      <c r="H857" s="1" t="s">
        <v>3152</v>
      </c>
      <c r="I857" s="1"/>
      <c r="J857" s="1" t="s">
        <v>3153</v>
      </c>
      <c r="K857" s="1" t="s">
        <v>37</v>
      </c>
      <c r="L857" s="1"/>
      <c r="M857" s="1" t="s">
        <v>34</v>
      </c>
      <c r="N857" s="1" t="s">
        <v>245</v>
      </c>
      <c r="O857" s="1" t="s">
        <v>147</v>
      </c>
      <c r="P857" s="1" t="s">
        <v>37</v>
      </c>
      <c r="Q857" s="1"/>
      <c r="R857" s="2">
        <v>44201</v>
      </c>
      <c r="S857" s="1"/>
      <c r="W857" s="1" t="s">
        <v>118</v>
      </c>
      <c r="X857" s="2">
        <v>44208</v>
      </c>
      <c r="Y857" s="2"/>
      <c r="Z857" s="2">
        <v>44216</v>
      </c>
      <c r="AA857" s="2">
        <v>44202</v>
      </c>
      <c r="AB857" s="2">
        <v>44201</v>
      </c>
      <c r="AC857" s="1"/>
      <c r="AD857">
        <v>15</v>
      </c>
      <c r="AE857">
        <v>23</v>
      </c>
    </row>
    <row r="858" spans="1:31" x14ac:dyDescent="0.35">
      <c r="A858">
        <v>865</v>
      </c>
      <c r="B858" s="1"/>
      <c r="C858">
        <v>0</v>
      </c>
      <c r="D858" s="1"/>
      <c r="E858" s="1"/>
      <c r="F858" s="1" t="s">
        <v>30</v>
      </c>
      <c r="G858" s="1" t="s">
        <v>3154</v>
      </c>
      <c r="H858" s="1" t="s">
        <v>3155</v>
      </c>
      <c r="I858" s="1"/>
      <c r="J858" s="1" t="s">
        <v>3156</v>
      </c>
      <c r="K858" s="1"/>
      <c r="L858" s="1"/>
      <c r="M858" s="1" t="s">
        <v>197</v>
      </c>
      <c r="N858" s="1" t="s">
        <v>192</v>
      </c>
      <c r="O858" s="1" t="s">
        <v>193</v>
      </c>
      <c r="P858" s="1" t="s">
        <v>63</v>
      </c>
      <c r="Q858" s="1"/>
      <c r="R858" s="2">
        <v>44203</v>
      </c>
      <c r="S858" s="1"/>
      <c r="W858" s="1" t="s">
        <v>38</v>
      </c>
      <c r="X858" s="2">
        <v>44205</v>
      </c>
      <c r="Y858" s="2">
        <v>44217</v>
      </c>
      <c r="Z858" s="2">
        <v>44214</v>
      </c>
      <c r="AA858" s="2">
        <v>44203</v>
      </c>
      <c r="AB858" s="2">
        <v>44203</v>
      </c>
      <c r="AC858" s="1"/>
      <c r="AD858">
        <v>11</v>
      </c>
      <c r="AE858">
        <v>21</v>
      </c>
    </row>
    <row r="859" spans="1:31" x14ac:dyDescent="0.35">
      <c r="A859">
        <v>866</v>
      </c>
      <c r="B859" s="1"/>
      <c r="C859">
        <v>0</v>
      </c>
      <c r="D859" s="1"/>
      <c r="E859" s="1" t="s">
        <v>3157</v>
      </c>
      <c r="F859" s="1" t="s">
        <v>30</v>
      </c>
      <c r="G859" s="1" t="s">
        <v>3158</v>
      </c>
      <c r="H859" s="1" t="s">
        <v>3159</v>
      </c>
      <c r="I859" s="1"/>
      <c r="J859" s="1" t="s">
        <v>3160</v>
      </c>
      <c r="K859" s="1"/>
      <c r="L859" s="1"/>
      <c r="M859" s="1" t="s">
        <v>34</v>
      </c>
      <c r="N859" s="1" t="s">
        <v>437</v>
      </c>
      <c r="O859" s="1" t="s">
        <v>44</v>
      </c>
      <c r="P859" s="1" t="s">
        <v>3161</v>
      </c>
      <c r="Q859" s="1" t="s">
        <v>2906</v>
      </c>
      <c r="R859" s="2">
        <v>44204</v>
      </c>
      <c r="S859" s="1"/>
      <c r="W859" s="1" t="s">
        <v>38</v>
      </c>
      <c r="X859" s="2">
        <v>44211</v>
      </c>
      <c r="Y859" s="2">
        <v>44217</v>
      </c>
      <c r="Z859" s="2">
        <v>44211</v>
      </c>
      <c r="AA859" s="2">
        <v>44211</v>
      </c>
      <c r="AB859" s="2">
        <v>44204</v>
      </c>
      <c r="AC859" s="1"/>
      <c r="AD859">
        <v>7</v>
      </c>
      <c r="AE859">
        <v>20</v>
      </c>
    </row>
    <row r="860" spans="1:31" x14ac:dyDescent="0.35">
      <c r="A860">
        <v>867</v>
      </c>
      <c r="B860" s="1"/>
      <c r="C860">
        <v>0</v>
      </c>
      <c r="D860" s="1"/>
      <c r="E860" s="1" t="s">
        <v>3162</v>
      </c>
      <c r="F860" s="1" t="s">
        <v>30</v>
      </c>
      <c r="G860" s="1" t="s">
        <v>3163</v>
      </c>
      <c r="H860" s="1" t="s">
        <v>3164</v>
      </c>
      <c r="I860" s="1"/>
      <c r="J860" s="1" t="s">
        <v>3165</v>
      </c>
      <c r="K860" s="1"/>
      <c r="L860" s="1"/>
      <c r="M860" s="1" t="s">
        <v>34</v>
      </c>
      <c r="N860" s="1" t="s">
        <v>437</v>
      </c>
      <c r="O860" s="1" t="s">
        <v>44</v>
      </c>
      <c r="P860" s="1" t="s">
        <v>278</v>
      </c>
      <c r="Q860" s="1"/>
      <c r="R860" s="2">
        <v>44204</v>
      </c>
      <c r="S860" s="1"/>
      <c r="W860" s="1" t="s">
        <v>38</v>
      </c>
      <c r="X860" s="2">
        <v>44211</v>
      </c>
      <c r="Y860" s="2">
        <v>44217</v>
      </c>
      <c r="Z860" s="2">
        <v>44211</v>
      </c>
      <c r="AA860" s="2">
        <v>44204</v>
      </c>
      <c r="AB860" s="2">
        <v>44204</v>
      </c>
      <c r="AC860" s="1"/>
      <c r="AD860">
        <v>7</v>
      </c>
      <c r="AE860">
        <v>20</v>
      </c>
    </row>
    <row r="861" spans="1:31" x14ac:dyDescent="0.35">
      <c r="A861">
        <v>868</v>
      </c>
      <c r="B861" s="1"/>
      <c r="C861">
        <v>0</v>
      </c>
      <c r="D861" s="1"/>
      <c r="E861" s="1"/>
      <c r="F861" s="1" t="s">
        <v>30</v>
      </c>
      <c r="G861" s="1" t="s">
        <v>3166</v>
      </c>
      <c r="H861" s="1" t="s">
        <v>3167</v>
      </c>
      <c r="I861" s="1" t="s">
        <v>3168</v>
      </c>
      <c r="J861" s="1" t="s">
        <v>3169</v>
      </c>
      <c r="K861" s="1"/>
      <c r="L861" s="1"/>
      <c r="M861" s="1" t="s">
        <v>197</v>
      </c>
      <c r="N861" s="1" t="s">
        <v>192</v>
      </c>
      <c r="O861" s="1" t="s">
        <v>193</v>
      </c>
      <c r="P861" s="1" t="s">
        <v>37</v>
      </c>
      <c r="Q861" s="1"/>
      <c r="R861" s="2">
        <v>44204</v>
      </c>
      <c r="S861" s="1"/>
      <c r="W861" s="1" t="s">
        <v>38</v>
      </c>
      <c r="X861" s="2">
        <v>44207</v>
      </c>
      <c r="Y861" s="2">
        <v>44217</v>
      </c>
      <c r="Z861" s="2">
        <v>44215</v>
      </c>
      <c r="AA861" s="2"/>
      <c r="AB861" s="2">
        <v>44204</v>
      </c>
      <c r="AC861" s="1"/>
      <c r="AD861">
        <v>11</v>
      </c>
      <c r="AE861">
        <v>20</v>
      </c>
    </row>
    <row r="862" spans="1:31" x14ac:dyDescent="0.35">
      <c r="A862">
        <v>869</v>
      </c>
      <c r="B862" s="1"/>
      <c r="C862">
        <v>0</v>
      </c>
      <c r="D862" s="1"/>
      <c r="E862" s="1"/>
      <c r="F862" s="1" t="s">
        <v>30</v>
      </c>
      <c r="G862" s="1" t="s">
        <v>3170</v>
      </c>
      <c r="H862" s="1" t="s">
        <v>3171</v>
      </c>
      <c r="I862" s="1"/>
      <c r="J862" s="1"/>
      <c r="K862" s="1" t="s">
        <v>37</v>
      </c>
      <c r="L862" s="1"/>
      <c r="M862" s="1" t="s">
        <v>197</v>
      </c>
      <c r="N862" s="1" t="s">
        <v>3141</v>
      </c>
      <c r="O862" s="1" t="s">
        <v>62</v>
      </c>
      <c r="P862" s="1" t="s">
        <v>37</v>
      </c>
      <c r="Q862" s="1"/>
      <c r="R862" s="2">
        <v>44207</v>
      </c>
      <c r="S862" s="1"/>
      <c r="W862" s="1" t="s">
        <v>118</v>
      </c>
      <c r="X862" s="2">
        <v>44214</v>
      </c>
      <c r="Y862" s="2"/>
      <c r="Z862" s="2"/>
      <c r="AA862" s="2">
        <v>44208</v>
      </c>
      <c r="AB862" s="2">
        <v>44207</v>
      </c>
      <c r="AC862" s="1"/>
      <c r="AE862">
        <v>17</v>
      </c>
    </row>
    <row r="863" spans="1:31" x14ac:dyDescent="0.35">
      <c r="A863">
        <v>870</v>
      </c>
      <c r="B863" s="1"/>
      <c r="C863">
        <v>0</v>
      </c>
      <c r="D863" s="1"/>
      <c r="E863" s="1" t="s">
        <v>3172</v>
      </c>
      <c r="F863" s="1" t="s">
        <v>30</v>
      </c>
      <c r="G863" s="1" t="s">
        <v>3173</v>
      </c>
      <c r="H863" s="1" t="s">
        <v>3174</v>
      </c>
      <c r="I863" s="1" t="s">
        <v>3175</v>
      </c>
      <c r="J863" s="1" t="s">
        <v>3176</v>
      </c>
      <c r="K863" s="1" t="s">
        <v>37</v>
      </c>
      <c r="L863" s="1"/>
      <c r="M863" s="1" t="s">
        <v>34</v>
      </c>
      <c r="N863" s="1" t="s">
        <v>245</v>
      </c>
      <c r="O863" s="1" t="s">
        <v>147</v>
      </c>
      <c r="P863" s="1" t="s">
        <v>37</v>
      </c>
      <c r="Q863" s="1"/>
      <c r="R863" s="2">
        <v>44208</v>
      </c>
      <c r="S863" s="1"/>
      <c r="W863" s="1" t="s">
        <v>118</v>
      </c>
      <c r="X863" s="2">
        <v>44215</v>
      </c>
      <c r="Y863" s="2"/>
      <c r="Z863" s="2">
        <v>44214</v>
      </c>
      <c r="AA863" s="2">
        <v>44217</v>
      </c>
      <c r="AB863" s="2">
        <v>44208</v>
      </c>
      <c r="AC863" s="1"/>
      <c r="AD863">
        <v>6</v>
      </c>
      <c r="AE863">
        <v>16</v>
      </c>
    </row>
    <row r="864" spans="1:31" x14ac:dyDescent="0.35">
      <c r="A864">
        <v>871</v>
      </c>
      <c r="B864" s="1"/>
      <c r="C864">
        <v>0</v>
      </c>
      <c r="D864" s="1"/>
      <c r="E864" s="1" t="s">
        <v>3177</v>
      </c>
      <c r="F864" s="1" t="s">
        <v>30</v>
      </c>
      <c r="G864" s="1" t="s">
        <v>3178</v>
      </c>
      <c r="H864" s="1" t="s">
        <v>3179</v>
      </c>
      <c r="I864" s="1"/>
      <c r="J864" s="1" t="s">
        <v>3180</v>
      </c>
      <c r="K864" s="1"/>
      <c r="L864" s="1"/>
      <c r="M864" s="1" t="s">
        <v>34</v>
      </c>
      <c r="N864" s="1" t="s">
        <v>378</v>
      </c>
      <c r="O864" s="1" t="s">
        <v>147</v>
      </c>
      <c r="P864" s="1" t="s">
        <v>379</v>
      </c>
      <c r="Q864" s="1"/>
      <c r="R864" s="2">
        <v>44208</v>
      </c>
      <c r="S864" s="1"/>
      <c r="W864" s="1" t="s">
        <v>38</v>
      </c>
      <c r="X864" s="2">
        <v>44215</v>
      </c>
      <c r="Y864" s="2">
        <v>44209</v>
      </c>
      <c r="Z864" s="2">
        <v>44209</v>
      </c>
      <c r="AA864" s="2">
        <v>44209</v>
      </c>
      <c r="AB864" s="2">
        <v>44208</v>
      </c>
      <c r="AC864" s="1"/>
      <c r="AD864">
        <v>1</v>
      </c>
      <c r="AE864">
        <v>16</v>
      </c>
    </row>
    <row r="865" spans="1:31" x14ac:dyDescent="0.35">
      <c r="A865">
        <v>872</v>
      </c>
      <c r="B865" s="1"/>
      <c r="C865">
        <v>0</v>
      </c>
      <c r="D865" s="1"/>
      <c r="E865" s="1"/>
      <c r="F865" s="1" t="s">
        <v>30</v>
      </c>
      <c r="G865" s="1" t="s">
        <v>3181</v>
      </c>
      <c r="H865" s="1" t="s">
        <v>3182</v>
      </c>
      <c r="I865" s="1"/>
      <c r="J865" s="1"/>
      <c r="K865" s="1" t="s">
        <v>37</v>
      </c>
      <c r="L865" s="1"/>
      <c r="M865" s="1" t="s">
        <v>197</v>
      </c>
      <c r="N865" s="1" t="s">
        <v>129</v>
      </c>
      <c r="O865" s="1" t="s">
        <v>44</v>
      </c>
      <c r="P865" s="1" t="s">
        <v>37</v>
      </c>
      <c r="Q865" s="1"/>
      <c r="R865" s="2">
        <v>44208</v>
      </c>
      <c r="S865" s="1"/>
      <c r="V865">
        <v>1</v>
      </c>
      <c r="W865" s="1" t="s">
        <v>16</v>
      </c>
      <c r="X865" s="2">
        <v>44220</v>
      </c>
      <c r="Y865" s="2"/>
      <c r="Z865" s="2"/>
      <c r="AA865" s="2"/>
      <c r="AB865" s="2">
        <v>44208</v>
      </c>
      <c r="AC865" s="1"/>
      <c r="AE865">
        <v>16</v>
      </c>
    </row>
    <row r="866" spans="1:31" x14ac:dyDescent="0.35">
      <c r="A866">
        <v>873</v>
      </c>
      <c r="B866" s="1"/>
      <c r="C866">
        <v>0</v>
      </c>
      <c r="D866" s="1"/>
      <c r="E866" s="1" t="s">
        <v>3183</v>
      </c>
      <c r="F866" s="1" t="s">
        <v>30</v>
      </c>
      <c r="G866" s="1" t="s">
        <v>3184</v>
      </c>
      <c r="H866" s="1" t="s">
        <v>3185</v>
      </c>
      <c r="I866" s="1" t="s">
        <v>3186</v>
      </c>
      <c r="J866" s="1" t="s">
        <v>3187</v>
      </c>
      <c r="K866" s="1"/>
      <c r="L866" s="1"/>
      <c r="M866" s="1" t="s">
        <v>34</v>
      </c>
      <c r="N866" s="1" t="s">
        <v>245</v>
      </c>
      <c r="O866" s="1" t="s">
        <v>147</v>
      </c>
      <c r="P866" s="1" t="s">
        <v>379</v>
      </c>
      <c r="Q866" s="1"/>
      <c r="R866" s="2">
        <v>44209</v>
      </c>
      <c r="S866" s="1"/>
      <c r="W866" s="1" t="s">
        <v>38</v>
      </c>
      <c r="X866" s="2">
        <v>44216</v>
      </c>
      <c r="Y866" s="2">
        <v>44217</v>
      </c>
      <c r="Z866" s="2">
        <v>44211</v>
      </c>
      <c r="AA866" s="2">
        <v>44210</v>
      </c>
      <c r="AB866" s="2">
        <v>44209</v>
      </c>
      <c r="AC866" s="1"/>
      <c r="AD866">
        <v>2</v>
      </c>
      <c r="AE866">
        <v>15</v>
      </c>
    </row>
    <row r="867" spans="1:31" x14ac:dyDescent="0.35">
      <c r="A867">
        <v>874</v>
      </c>
      <c r="B867" s="1"/>
      <c r="C867">
        <v>0</v>
      </c>
      <c r="D867" s="1"/>
      <c r="E867" s="1"/>
      <c r="F867" s="1" t="s">
        <v>30</v>
      </c>
      <c r="G867" s="1" t="s">
        <v>3188</v>
      </c>
      <c r="H867" s="1" t="s">
        <v>3189</v>
      </c>
      <c r="I867" s="1"/>
      <c r="J867" s="1" t="s">
        <v>3190</v>
      </c>
      <c r="K867" s="1"/>
      <c r="L867" s="1"/>
      <c r="M867" s="1" t="s">
        <v>197</v>
      </c>
      <c r="N867" s="1" t="s">
        <v>3191</v>
      </c>
      <c r="O867" s="1" t="s">
        <v>2825</v>
      </c>
      <c r="P867" s="1" t="s">
        <v>37</v>
      </c>
      <c r="Q867" s="1"/>
      <c r="R867" s="2">
        <v>44209</v>
      </c>
      <c r="S867" s="1"/>
      <c r="W867" s="1" t="s">
        <v>38</v>
      </c>
      <c r="X867" s="2">
        <v>44220</v>
      </c>
      <c r="Y867" s="2">
        <v>44217</v>
      </c>
      <c r="Z867" s="2">
        <v>44217</v>
      </c>
      <c r="AA867" s="2"/>
      <c r="AB867" s="2">
        <v>44209</v>
      </c>
      <c r="AC867" s="1"/>
      <c r="AD867">
        <v>8</v>
      </c>
      <c r="AE867">
        <v>15</v>
      </c>
    </row>
    <row r="868" spans="1:31" x14ac:dyDescent="0.35">
      <c r="A868">
        <v>875</v>
      </c>
      <c r="B868" s="1"/>
      <c r="C868">
        <v>0</v>
      </c>
      <c r="D868" s="1" t="s">
        <v>111</v>
      </c>
      <c r="E868" s="1" t="s">
        <v>1379</v>
      </c>
      <c r="F868" s="1" t="s">
        <v>30</v>
      </c>
      <c r="G868" s="1" t="s">
        <v>3192</v>
      </c>
      <c r="H868" s="1" t="s">
        <v>3193</v>
      </c>
      <c r="I868" s="1" t="s">
        <v>3194</v>
      </c>
      <c r="J868" s="1" t="s">
        <v>3195</v>
      </c>
      <c r="K868" s="1" t="s">
        <v>99</v>
      </c>
      <c r="L868" s="1"/>
      <c r="M868" s="1" t="s">
        <v>34</v>
      </c>
      <c r="N868" s="1" t="s">
        <v>97</v>
      </c>
      <c r="O868" s="1" t="s">
        <v>98</v>
      </c>
      <c r="P868" s="1" t="s">
        <v>99</v>
      </c>
      <c r="Q868" s="1"/>
      <c r="R868" s="2">
        <v>44210</v>
      </c>
      <c r="S868" s="1"/>
      <c r="W868" s="1" t="s">
        <v>118</v>
      </c>
      <c r="X868" s="2">
        <v>44217</v>
      </c>
      <c r="Y868" s="2"/>
      <c r="Z868" s="2">
        <v>44210</v>
      </c>
      <c r="AA868" s="2">
        <v>44211</v>
      </c>
      <c r="AB868" s="2">
        <v>44210</v>
      </c>
      <c r="AC868" s="1"/>
      <c r="AD868">
        <v>0</v>
      </c>
      <c r="AE868">
        <v>14</v>
      </c>
    </row>
    <row r="869" spans="1:31" x14ac:dyDescent="0.35">
      <c r="A869">
        <v>876</v>
      </c>
      <c r="B869" s="1"/>
      <c r="C869">
        <v>0</v>
      </c>
      <c r="D869" s="1" t="s">
        <v>206</v>
      </c>
      <c r="E869" s="1" t="s">
        <v>3196</v>
      </c>
      <c r="F869" s="1" t="s">
        <v>30</v>
      </c>
      <c r="G869" s="1" t="s">
        <v>3197</v>
      </c>
      <c r="H869" s="1" t="s">
        <v>3198</v>
      </c>
      <c r="I869" s="1" t="s">
        <v>3199</v>
      </c>
      <c r="J869" s="1"/>
      <c r="K869" s="1" t="s">
        <v>99</v>
      </c>
      <c r="L869" s="1"/>
      <c r="M869" s="1" t="s">
        <v>34</v>
      </c>
      <c r="N869" s="1" t="s">
        <v>97</v>
      </c>
      <c r="O869" s="1" t="s">
        <v>98</v>
      </c>
      <c r="P869" s="1" t="s">
        <v>99</v>
      </c>
      <c r="Q869" s="1"/>
      <c r="R869" s="2">
        <v>44210</v>
      </c>
      <c r="S869" s="1"/>
      <c r="W869" s="1" t="s">
        <v>118</v>
      </c>
      <c r="X869" s="2">
        <v>44217</v>
      </c>
      <c r="Y869" s="2"/>
      <c r="Z869" s="2"/>
      <c r="AA869" s="2">
        <v>44210</v>
      </c>
      <c r="AB869" s="2">
        <v>44210</v>
      </c>
      <c r="AC869" s="1"/>
      <c r="AE869">
        <v>14</v>
      </c>
    </row>
    <row r="870" spans="1:31" x14ac:dyDescent="0.35">
      <c r="A870">
        <v>877</v>
      </c>
      <c r="B870" s="1"/>
      <c r="C870">
        <v>0</v>
      </c>
      <c r="D870" s="1"/>
      <c r="E870" s="1"/>
      <c r="F870" s="1" t="s">
        <v>30</v>
      </c>
      <c r="G870" s="1" t="s">
        <v>3200</v>
      </c>
      <c r="H870" s="1" t="s">
        <v>3201</v>
      </c>
      <c r="I870" s="1"/>
      <c r="J870" s="1" t="s">
        <v>3202</v>
      </c>
      <c r="K870" s="1"/>
      <c r="L870" s="1"/>
      <c r="M870" s="1" t="s">
        <v>34</v>
      </c>
      <c r="N870" s="1" t="s">
        <v>245</v>
      </c>
      <c r="O870" s="1" t="s">
        <v>147</v>
      </c>
      <c r="P870" s="1" t="s">
        <v>63</v>
      </c>
      <c r="Q870" s="1"/>
      <c r="R870" s="2">
        <v>44210</v>
      </c>
      <c r="S870" s="1"/>
      <c r="W870" s="1" t="s">
        <v>38</v>
      </c>
      <c r="X870" s="2">
        <v>44217</v>
      </c>
      <c r="Y870" s="2">
        <v>44211</v>
      </c>
      <c r="Z870" s="2">
        <v>44211</v>
      </c>
      <c r="AA870" s="2">
        <v>44210</v>
      </c>
      <c r="AB870" s="2">
        <v>44210</v>
      </c>
      <c r="AC870" s="1"/>
      <c r="AD870">
        <v>1</v>
      </c>
      <c r="AE870">
        <v>14</v>
      </c>
    </row>
    <row r="871" spans="1:31" x14ac:dyDescent="0.35">
      <c r="A871">
        <v>878</v>
      </c>
      <c r="B871" s="1"/>
      <c r="C871">
        <v>0</v>
      </c>
      <c r="D871" s="1"/>
      <c r="E871" s="1" t="s">
        <v>3203</v>
      </c>
      <c r="F871" s="1" t="s">
        <v>30</v>
      </c>
      <c r="G871" s="1" t="s">
        <v>3204</v>
      </c>
      <c r="H871" s="1" t="s">
        <v>3205</v>
      </c>
      <c r="I871" s="1" t="s">
        <v>3206</v>
      </c>
      <c r="J871" s="1" t="s">
        <v>3207</v>
      </c>
      <c r="K871" s="1"/>
      <c r="L871" s="1"/>
      <c r="M871" s="1" t="s">
        <v>34</v>
      </c>
      <c r="N871" s="1" t="s">
        <v>43</v>
      </c>
      <c r="O871" s="1" t="s">
        <v>44</v>
      </c>
      <c r="P871" s="1" t="s">
        <v>63</v>
      </c>
      <c r="Q871" s="1"/>
      <c r="R871" s="2">
        <v>44211</v>
      </c>
      <c r="S871" s="1"/>
      <c r="W871" s="1" t="s">
        <v>38</v>
      </c>
      <c r="X871" s="2">
        <v>44217</v>
      </c>
      <c r="Y871" s="2">
        <v>44211</v>
      </c>
      <c r="Z871" s="2">
        <v>44211</v>
      </c>
      <c r="AA871" s="2">
        <v>44211</v>
      </c>
      <c r="AB871" s="2">
        <v>44211</v>
      </c>
      <c r="AC871" s="1"/>
      <c r="AD871">
        <v>0</v>
      </c>
      <c r="AE871">
        <v>13</v>
      </c>
    </row>
    <row r="872" spans="1:31" x14ac:dyDescent="0.35">
      <c r="A872">
        <v>879</v>
      </c>
      <c r="B872" s="1"/>
      <c r="C872">
        <v>0</v>
      </c>
      <c r="D872" s="1"/>
      <c r="E872" s="1"/>
      <c r="F872" s="1" t="s">
        <v>30</v>
      </c>
      <c r="G872" s="1" t="s">
        <v>3208</v>
      </c>
      <c r="H872" s="1" t="s">
        <v>3209</v>
      </c>
      <c r="I872" s="1"/>
      <c r="J872" s="1" t="s">
        <v>3210</v>
      </c>
      <c r="K872" s="1"/>
      <c r="L872" s="1"/>
      <c r="M872" s="1" t="s">
        <v>34</v>
      </c>
      <c r="N872" s="1" t="s">
        <v>348</v>
      </c>
      <c r="O872" s="1" t="s">
        <v>44</v>
      </c>
      <c r="P872" s="1" t="s">
        <v>37</v>
      </c>
      <c r="Q872" s="1"/>
      <c r="R872" s="2">
        <v>44211</v>
      </c>
      <c r="S872" s="1"/>
      <c r="W872" s="1" t="s">
        <v>38</v>
      </c>
      <c r="X872" s="2">
        <v>44218</v>
      </c>
      <c r="Y872" s="2">
        <v>44217</v>
      </c>
      <c r="Z872" s="2">
        <v>44215</v>
      </c>
      <c r="AA872" s="2">
        <v>44211</v>
      </c>
      <c r="AB872" s="2">
        <v>44211</v>
      </c>
      <c r="AC872" s="1"/>
      <c r="AD872">
        <v>4</v>
      </c>
      <c r="AE872">
        <v>13</v>
      </c>
    </row>
    <row r="873" spans="1:31" x14ac:dyDescent="0.35">
      <c r="A873">
        <v>880</v>
      </c>
      <c r="B873" s="1"/>
      <c r="C873">
        <v>0</v>
      </c>
      <c r="D873" s="1"/>
      <c r="E873" s="1"/>
      <c r="F873" s="1" t="s">
        <v>30</v>
      </c>
      <c r="G873" s="1" t="s">
        <v>3211</v>
      </c>
      <c r="H873" s="1" t="s">
        <v>3212</v>
      </c>
      <c r="I873" s="1"/>
      <c r="J873" s="1" t="s">
        <v>3213</v>
      </c>
      <c r="K873" s="1"/>
      <c r="L873" s="1"/>
      <c r="M873" s="1" t="s">
        <v>197</v>
      </c>
      <c r="N873" s="1" t="s">
        <v>2231</v>
      </c>
      <c r="O873" s="1" t="s">
        <v>394</v>
      </c>
      <c r="P873" s="1" t="s">
        <v>116</v>
      </c>
      <c r="Q873" s="1"/>
      <c r="R873" s="2">
        <v>44211</v>
      </c>
      <c r="S873" s="1"/>
      <c r="W873" s="1" t="s">
        <v>38</v>
      </c>
      <c r="X873" s="2">
        <v>44214</v>
      </c>
      <c r="Y873" s="2">
        <v>44211</v>
      </c>
      <c r="Z873" s="2">
        <v>44211</v>
      </c>
      <c r="AA873" s="2">
        <v>44211</v>
      </c>
      <c r="AB873" s="2">
        <v>44211</v>
      </c>
      <c r="AC873" s="1"/>
      <c r="AD873">
        <v>0</v>
      </c>
      <c r="AE873">
        <v>13</v>
      </c>
    </row>
    <row r="874" spans="1:31" x14ac:dyDescent="0.35">
      <c r="A874">
        <v>881</v>
      </c>
      <c r="B874" s="1"/>
      <c r="C874">
        <v>0</v>
      </c>
      <c r="D874" s="1"/>
      <c r="E874" s="1"/>
      <c r="F874" s="1" t="s">
        <v>30</v>
      </c>
      <c r="G874" s="1" t="s">
        <v>3214</v>
      </c>
      <c r="H874" s="1" t="s">
        <v>3215</v>
      </c>
      <c r="I874" s="1"/>
      <c r="J874" s="1" t="s">
        <v>3216</v>
      </c>
      <c r="K874" s="1"/>
      <c r="L874" s="1"/>
      <c r="M874" s="1" t="s">
        <v>197</v>
      </c>
      <c r="N874" s="1" t="s">
        <v>2231</v>
      </c>
      <c r="O874" s="1" t="s">
        <v>394</v>
      </c>
      <c r="P874" s="1" t="s">
        <v>116</v>
      </c>
      <c r="Q874" s="1"/>
      <c r="R874" s="2">
        <v>44211</v>
      </c>
      <c r="S874" s="1"/>
      <c r="W874" s="1" t="s">
        <v>38</v>
      </c>
      <c r="X874" s="2">
        <v>44218</v>
      </c>
      <c r="Y874" s="2">
        <v>44222</v>
      </c>
      <c r="Z874" s="2">
        <v>44222</v>
      </c>
      <c r="AA874" s="2">
        <v>44211</v>
      </c>
      <c r="AB874" s="2">
        <v>44211</v>
      </c>
      <c r="AC874" s="1"/>
      <c r="AD874">
        <v>11</v>
      </c>
      <c r="AE874">
        <v>13</v>
      </c>
    </row>
    <row r="875" spans="1:31" x14ac:dyDescent="0.35">
      <c r="A875">
        <v>882</v>
      </c>
      <c r="B875" s="1"/>
      <c r="C875">
        <v>0</v>
      </c>
      <c r="D875" s="1"/>
      <c r="E875" s="1"/>
      <c r="F875" s="1" t="s">
        <v>30</v>
      </c>
      <c r="G875" s="1" t="s">
        <v>3217</v>
      </c>
      <c r="H875" s="1" t="s">
        <v>3218</v>
      </c>
      <c r="I875" s="1"/>
      <c r="J875" s="1"/>
      <c r="K875" s="1" t="s">
        <v>37</v>
      </c>
      <c r="L875" s="1"/>
      <c r="M875" s="1" t="s">
        <v>197</v>
      </c>
      <c r="N875" s="1" t="s">
        <v>2231</v>
      </c>
      <c r="O875" s="1" t="s">
        <v>394</v>
      </c>
      <c r="P875" s="1" t="s">
        <v>37</v>
      </c>
      <c r="Q875" s="1"/>
      <c r="R875" s="2">
        <v>44211</v>
      </c>
      <c r="S875" s="1"/>
      <c r="W875" s="1" t="s">
        <v>118</v>
      </c>
      <c r="X875" s="2">
        <v>44218</v>
      </c>
      <c r="Y875" s="2"/>
      <c r="Z875" s="2"/>
      <c r="AA875" s="2">
        <v>44211</v>
      </c>
      <c r="AB875" s="2">
        <v>44211</v>
      </c>
      <c r="AC875" s="1"/>
      <c r="AE875">
        <v>13</v>
      </c>
    </row>
    <row r="876" spans="1:31" x14ac:dyDescent="0.35">
      <c r="A876">
        <v>883</v>
      </c>
      <c r="B876" s="1"/>
      <c r="C876">
        <v>0</v>
      </c>
      <c r="D876" s="1"/>
      <c r="E876" s="1" t="s">
        <v>3219</v>
      </c>
      <c r="F876" s="1" t="s">
        <v>30</v>
      </c>
      <c r="G876" s="1" t="s">
        <v>3220</v>
      </c>
      <c r="H876" s="1" t="s">
        <v>3221</v>
      </c>
      <c r="I876" s="1"/>
      <c r="J876" s="1" t="s">
        <v>3222</v>
      </c>
      <c r="K876" s="1"/>
      <c r="L876" s="1"/>
      <c r="M876" s="1" t="s">
        <v>197</v>
      </c>
      <c r="N876" s="1" t="s">
        <v>3223</v>
      </c>
      <c r="O876" s="1" t="s">
        <v>44</v>
      </c>
      <c r="P876" s="1" t="s">
        <v>278</v>
      </c>
      <c r="Q876" s="1"/>
      <c r="R876" s="2">
        <v>44214</v>
      </c>
      <c r="S876" s="1"/>
      <c r="W876" s="1" t="s">
        <v>38</v>
      </c>
      <c r="X876" s="2">
        <v>44218</v>
      </c>
      <c r="Y876" s="2">
        <v>44223</v>
      </c>
      <c r="Z876" s="2">
        <v>44218</v>
      </c>
      <c r="AA876" s="2"/>
      <c r="AB876" s="2">
        <v>44214</v>
      </c>
      <c r="AC876" s="1"/>
      <c r="AD876">
        <v>4</v>
      </c>
      <c r="AE876">
        <v>10</v>
      </c>
    </row>
    <row r="877" spans="1:31" x14ac:dyDescent="0.35">
      <c r="A877">
        <v>884</v>
      </c>
      <c r="B877" s="1"/>
      <c r="C877">
        <v>0</v>
      </c>
      <c r="D877" s="1"/>
      <c r="E877" s="1"/>
      <c r="F877" s="1" t="s">
        <v>30</v>
      </c>
      <c r="G877" s="1" t="s">
        <v>3224</v>
      </c>
      <c r="H877" s="1" t="s">
        <v>3225</v>
      </c>
      <c r="I877" s="1"/>
      <c r="J877" s="1"/>
      <c r="K877" s="1" t="s">
        <v>116</v>
      </c>
      <c r="L877" s="1"/>
      <c r="M877" s="1" t="s">
        <v>197</v>
      </c>
      <c r="N877" s="1" t="s">
        <v>2231</v>
      </c>
      <c r="O877" s="1" t="s">
        <v>394</v>
      </c>
      <c r="P877" s="1" t="s">
        <v>116</v>
      </c>
      <c r="Q877" s="1"/>
      <c r="R877" s="2">
        <v>44214</v>
      </c>
      <c r="S877" s="1"/>
      <c r="W877" s="1" t="s">
        <v>118</v>
      </c>
      <c r="X877" s="2">
        <v>44217</v>
      </c>
      <c r="Y877" s="2"/>
      <c r="Z877" s="2"/>
      <c r="AA877" s="2">
        <v>44217</v>
      </c>
      <c r="AB877" s="2">
        <v>44214</v>
      </c>
      <c r="AC877" s="1"/>
      <c r="AE877">
        <v>10</v>
      </c>
    </row>
    <row r="878" spans="1:31" x14ac:dyDescent="0.35">
      <c r="A878">
        <v>885</v>
      </c>
      <c r="B878" s="1"/>
      <c r="C878">
        <v>0</v>
      </c>
      <c r="D878" s="1"/>
      <c r="E878" s="1"/>
      <c r="F878" s="1" t="s">
        <v>30</v>
      </c>
      <c r="G878" s="1" t="s">
        <v>3226</v>
      </c>
      <c r="H878" s="1" t="s">
        <v>3227</v>
      </c>
      <c r="I878" s="1"/>
      <c r="J878" s="1" t="s">
        <v>3228</v>
      </c>
      <c r="K878" s="1"/>
      <c r="L878" s="1"/>
      <c r="M878" s="1" t="s">
        <v>197</v>
      </c>
      <c r="N878" s="1" t="s">
        <v>2231</v>
      </c>
      <c r="O878" s="1" t="s">
        <v>394</v>
      </c>
      <c r="P878" s="1" t="s">
        <v>116</v>
      </c>
      <c r="Q878" s="1"/>
      <c r="R878" s="2">
        <v>44214</v>
      </c>
      <c r="S878" s="1"/>
      <c r="W878" s="1" t="s">
        <v>38</v>
      </c>
      <c r="X878" s="2">
        <v>44217</v>
      </c>
      <c r="Y878" s="2">
        <v>44222</v>
      </c>
      <c r="Z878" s="2">
        <v>44222</v>
      </c>
      <c r="AA878" s="2">
        <v>44217</v>
      </c>
      <c r="AB878" s="2">
        <v>44214</v>
      </c>
      <c r="AC878" s="1"/>
      <c r="AD878">
        <v>8</v>
      </c>
      <c r="AE878">
        <v>10</v>
      </c>
    </row>
    <row r="879" spans="1:31" x14ac:dyDescent="0.35">
      <c r="A879">
        <v>886</v>
      </c>
      <c r="B879" s="1"/>
      <c r="C879">
        <v>0</v>
      </c>
      <c r="D879" s="1"/>
      <c r="E879" s="1"/>
      <c r="F879" s="1" t="s">
        <v>30</v>
      </c>
      <c r="G879" s="1" t="s">
        <v>3229</v>
      </c>
      <c r="H879" s="1" t="s">
        <v>3230</v>
      </c>
      <c r="I879" s="1"/>
      <c r="J879" s="1"/>
      <c r="K879" s="1"/>
      <c r="L879" s="1"/>
      <c r="M879" s="1" t="s">
        <v>34</v>
      </c>
      <c r="N879" s="1" t="s">
        <v>245</v>
      </c>
      <c r="O879" s="1" t="s">
        <v>147</v>
      </c>
      <c r="P879" s="1" t="s">
        <v>164</v>
      </c>
      <c r="Q879" s="1"/>
      <c r="R879" s="2">
        <v>44217</v>
      </c>
      <c r="S879" s="1"/>
      <c r="W879" s="1" t="s">
        <v>38</v>
      </c>
      <c r="X879" s="2">
        <v>44224</v>
      </c>
      <c r="Y879" s="2">
        <v>44217</v>
      </c>
      <c r="Z879" s="2"/>
      <c r="AA879" s="2"/>
      <c r="AB879" s="2">
        <v>44217</v>
      </c>
      <c r="AC879" s="1"/>
      <c r="AE879">
        <v>7</v>
      </c>
    </row>
    <row r="880" spans="1:31" x14ac:dyDescent="0.35">
      <c r="A880">
        <v>887</v>
      </c>
      <c r="B880" s="1"/>
      <c r="C880">
        <v>0</v>
      </c>
      <c r="D880" s="1"/>
      <c r="E880" s="1"/>
      <c r="F880" s="1" t="s">
        <v>30</v>
      </c>
      <c r="G880" s="1" t="s">
        <v>3231</v>
      </c>
      <c r="H880" s="1" t="s">
        <v>3232</v>
      </c>
      <c r="I880" s="1" t="s">
        <v>3233</v>
      </c>
      <c r="J880" s="1" t="s">
        <v>3234</v>
      </c>
      <c r="K880" s="1"/>
      <c r="L880" s="1"/>
      <c r="M880" s="1" t="s">
        <v>34</v>
      </c>
      <c r="N880" s="1" t="s">
        <v>245</v>
      </c>
      <c r="O880" s="1" t="s">
        <v>147</v>
      </c>
      <c r="P880" s="1" t="s">
        <v>379</v>
      </c>
      <c r="Q880" s="1"/>
      <c r="R880" s="2">
        <v>44217</v>
      </c>
      <c r="S880" s="1"/>
      <c r="W880" s="1" t="s">
        <v>38</v>
      </c>
      <c r="X880" s="2">
        <v>44224</v>
      </c>
      <c r="Y880" s="2">
        <v>44218</v>
      </c>
      <c r="Z880" s="2">
        <v>44217</v>
      </c>
      <c r="AA880" s="2">
        <v>44217</v>
      </c>
      <c r="AB880" s="2">
        <v>44217</v>
      </c>
      <c r="AC880" s="1"/>
      <c r="AD880">
        <v>0</v>
      </c>
      <c r="AE880">
        <v>7</v>
      </c>
    </row>
    <row r="881" spans="1:31" x14ac:dyDescent="0.35">
      <c r="A881">
        <v>888</v>
      </c>
      <c r="B881" s="1"/>
      <c r="C881">
        <v>0</v>
      </c>
      <c r="D881" s="1"/>
      <c r="E881" s="1"/>
      <c r="F881" s="1" t="s">
        <v>30</v>
      </c>
      <c r="G881" s="1" t="s">
        <v>3235</v>
      </c>
      <c r="H881" s="1" t="s">
        <v>3236</v>
      </c>
      <c r="I881" s="1"/>
      <c r="J881" s="1"/>
      <c r="K881" s="1" t="s">
        <v>37</v>
      </c>
      <c r="L881" s="1"/>
      <c r="M881" s="1" t="s">
        <v>197</v>
      </c>
      <c r="N881" s="1" t="s">
        <v>853</v>
      </c>
      <c r="O881" s="1" t="s">
        <v>854</v>
      </c>
      <c r="P881" s="1" t="s">
        <v>37</v>
      </c>
      <c r="Q881" s="1"/>
      <c r="R881" s="2">
        <v>44217</v>
      </c>
      <c r="S881" s="1"/>
      <c r="W881" s="1" t="s">
        <v>118</v>
      </c>
      <c r="X881" s="2">
        <v>44224</v>
      </c>
      <c r="Y881" s="2"/>
      <c r="Z881" s="2"/>
      <c r="AA881" s="2">
        <v>44217</v>
      </c>
      <c r="AB881" s="2">
        <v>44217</v>
      </c>
      <c r="AC881" s="1"/>
      <c r="AE881">
        <v>7</v>
      </c>
    </row>
    <row r="882" spans="1:31" x14ac:dyDescent="0.35">
      <c r="A882">
        <v>889</v>
      </c>
      <c r="B882" s="1"/>
      <c r="C882">
        <v>0</v>
      </c>
      <c r="D882" s="1"/>
      <c r="E882" s="1"/>
      <c r="F882" s="1" t="s">
        <v>30</v>
      </c>
      <c r="G882" s="1" t="s">
        <v>3237</v>
      </c>
      <c r="H882" s="1" t="s">
        <v>3238</v>
      </c>
      <c r="I882" s="1"/>
      <c r="J882" s="1" t="s">
        <v>3239</v>
      </c>
      <c r="K882" s="1"/>
      <c r="L882" s="1"/>
      <c r="M882" s="1" t="s">
        <v>197</v>
      </c>
      <c r="N882" s="1" t="s">
        <v>348</v>
      </c>
      <c r="O882" s="1" t="s">
        <v>44</v>
      </c>
      <c r="P882" s="1" t="s">
        <v>63</v>
      </c>
      <c r="Q882" s="1"/>
      <c r="R882" s="2">
        <v>44218</v>
      </c>
      <c r="S882" s="1"/>
      <c r="W882" s="1" t="s">
        <v>38</v>
      </c>
      <c r="X882" s="2">
        <v>44225</v>
      </c>
      <c r="Y882" s="2">
        <v>44223</v>
      </c>
      <c r="Z882" s="2">
        <v>44223</v>
      </c>
      <c r="AA882" s="2"/>
      <c r="AB882" s="2">
        <v>44218</v>
      </c>
      <c r="AC882" s="1"/>
      <c r="AD882">
        <v>5</v>
      </c>
      <c r="AE882">
        <v>6</v>
      </c>
    </row>
    <row r="883" spans="1:31" x14ac:dyDescent="0.35">
      <c r="A883">
        <v>890</v>
      </c>
      <c r="B883" s="1"/>
      <c r="C883">
        <v>0</v>
      </c>
      <c r="D883" s="1"/>
      <c r="E883" s="1"/>
      <c r="F883" s="1" t="s">
        <v>30</v>
      </c>
      <c r="G883" s="1" t="s">
        <v>3240</v>
      </c>
      <c r="H883" s="1" t="s">
        <v>3241</v>
      </c>
      <c r="I883" s="1"/>
      <c r="J883" s="1" t="s">
        <v>3242</v>
      </c>
      <c r="K883" s="1"/>
      <c r="L883" s="1"/>
      <c r="M883" s="1" t="s">
        <v>197</v>
      </c>
      <c r="N883" s="1" t="s">
        <v>2231</v>
      </c>
      <c r="O883" s="1" t="s">
        <v>394</v>
      </c>
      <c r="P883" s="1" t="s">
        <v>116</v>
      </c>
      <c r="Q883" s="1"/>
      <c r="R883" s="2">
        <v>44218</v>
      </c>
      <c r="S883" s="1"/>
      <c r="W883" s="1" t="s">
        <v>38</v>
      </c>
      <c r="X883" s="2">
        <v>44221</v>
      </c>
      <c r="Y883" s="2">
        <v>44222</v>
      </c>
      <c r="Z883" s="2">
        <v>44222</v>
      </c>
      <c r="AA883" s="2">
        <v>44221</v>
      </c>
      <c r="AB883" s="2">
        <v>44218</v>
      </c>
      <c r="AC883" s="1"/>
      <c r="AD883">
        <v>4</v>
      </c>
      <c r="AE883">
        <v>6</v>
      </c>
    </row>
    <row r="884" spans="1:31" x14ac:dyDescent="0.35">
      <c r="A884">
        <v>891</v>
      </c>
      <c r="B884" s="1"/>
      <c r="C884">
        <v>0</v>
      </c>
      <c r="D884" s="1"/>
      <c r="E884" s="1"/>
      <c r="F884" s="1" t="s">
        <v>30</v>
      </c>
      <c r="G884" s="1" t="s">
        <v>3243</v>
      </c>
      <c r="H884" s="1" t="s">
        <v>3244</v>
      </c>
      <c r="I884" s="1"/>
      <c r="J884" s="1" t="s">
        <v>3245</v>
      </c>
      <c r="K884" s="1"/>
      <c r="L884" s="1"/>
      <c r="M884" s="1" t="s">
        <v>34</v>
      </c>
      <c r="N884" s="1" t="s">
        <v>880</v>
      </c>
      <c r="O884" s="1" t="s">
        <v>44</v>
      </c>
      <c r="P884" s="1" t="s">
        <v>164</v>
      </c>
      <c r="Q884" s="1"/>
      <c r="R884" s="2">
        <v>44218</v>
      </c>
      <c r="S884" s="1"/>
      <c r="W884" s="1" t="s">
        <v>38</v>
      </c>
      <c r="X884" s="2">
        <v>44225</v>
      </c>
      <c r="Y884" s="2">
        <v>44221</v>
      </c>
      <c r="Z884" s="2">
        <v>44221</v>
      </c>
      <c r="AA884" s="2"/>
      <c r="AB884" s="2">
        <v>44218</v>
      </c>
      <c r="AC884" s="1"/>
      <c r="AD884">
        <v>3</v>
      </c>
      <c r="AE884">
        <v>6</v>
      </c>
    </row>
    <row r="885" spans="1:31" x14ac:dyDescent="0.35">
      <c r="A885">
        <v>892</v>
      </c>
      <c r="B885" s="1"/>
      <c r="C885">
        <v>0</v>
      </c>
      <c r="D885" s="1"/>
      <c r="E885" s="1"/>
      <c r="F885" s="1" t="s">
        <v>30</v>
      </c>
      <c r="G885" s="1" t="s">
        <v>3246</v>
      </c>
      <c r="H885" s="1" t="s">
        <v>3247</v>
      </c>
      <c r="I885" s="1"/>
      <c r="J885" s="1"/>
      <c r="K885" s="1" t="s">
        <v>37</v>
      </c>
      <c r="L885" s="1"/>
      <c r="M885" s="1" t="s">
        <v>34</v>
      </c>
      <c r="N885" s="1" t="s">
        <v>245</v>
      </c>
      <c r="O885" s="1" t="s">
        <v>147</v>
      </c>
      <c r="P885" s="1" t="s">
        <v>37</v>
      </c>
      <c r="Q885" s="1"/>
      <c r="R885" s="2">
        <v>44221</v>
      </c>
      <c r="S885" s="1"/>
      <c r="W885" s="1" t="s">
        <v>118</v>
      </c>
      <c r="X885" s="2">
        <v>44228</v>
      </c>
      <c r="Y885" s="2"/>
      <c r="Z885" s="2"/>
      <c r="AA885" s="2">
        <v>44221</v>
      </c>
      <c r="AB885" s="2">
        <v>44221</v>
      </c>
      <c r="AC885" s="1"/>
      <c r="AE885">
        <v>3</v>
      </c>
    </row>
    <row r="886" spans="1:31" x14ac:dyDescent="0.35">
      <c r="A886">
        <v>893</v>
      </c>
      <c r="B886" s="1"/>
      <c r="C886">
        <v>0</v>
      </c>
      <c r="D886" s="1"/>
      <c r="E886" s="1"/>
      <c r="F886" s="1" t="s">
        <v>30</v>
      </c>
      <c r="G886" s="1" t="s">
        <v>3248</v>
      </c>
      <c r="H886" s="1" t="s">
        <v>3249</v>
      </c>
      <c r="I886" s="1"/>
      <c r="J886" s="1"/>
      <c r="K886" s="1" t="s">
        <v>63</v>
      </c>
      <c r="L886" s="1"/>
      <c r="M886" s="1" t="s">
        <v>34</v>
      </c>
      <c r="N886" s="1" t="s">
        <v>880</v>
      </c>
      <c r="O886" s="1" t="s">
        <v>44</v>
      </c>
      <c r="P886" s="1" t="s">
        <v>63</v>
      </c>
      <c r="Q886" s="1"/>
      <c r="R886" s="2">
        <v>44221</v>
      </c>
      <c r="S886" s="1"/>
      <c r="W886" s="1" t="s">
        <v>16</v>
      </c>
      <c r="X886" s="2">
        <v>44228</v>
      </c>
      <c r="Y886" s="2"/>
      <c r="Z886" s="2"/>
      <c r="AA886" s="2"/>
      <c r="AB886" s="2">
        <v>44221</v>
      </c>
      <c r="AC886" s="1"/>
      <c r="AE886">
        <v>3</v>
      </c>
    </row>
    <row r="887" spans="1:31" x14ac:dyDescent="0.35">
      <c r="A887">
        <v>894</v>
      </c>
      <c r="B887" s="1"/>
      <c r="C887">
        <v>0</v>
      </c>
      <c r="D887" s="1"/>
      <c r="E887" s="1"/>
      <c r="F887" s="1" t="s">
        <v>30</v>
      </c>
      <c r="G887" s="1" t="s">
        <v>3250</v>
      </c>
      <c r="H887" s="1" t="s">
        <v>3251</v>
      </c>
      <c r="I887" s="1"/>
      <c r="J887" s="1"/>
      <c r="K887" s="1" t="s">
        <v>37</v>
      </c>
      <c r="L887" s="1"/>
      <c r="M887" s="1" t="s">
        <v>34</v>
      </c>
      <c r="N887" s="1" t="s">
        <v>880</v>
      </c>
      <c r="O887" s="1" t="s">
        <v>44</v>
      </c>
      <c r="P887" s="1" t="s">
        <v>37</v>
      </c>
      <c r="Q887" s="1"/>
      <c r="R887" s="2">
        <v>44221</v>
      </c>
      <c r="S887" s="1"/>
      <c r="W887" s="1" t="s">
        <v>16</v>
      </c>
      <c r="X887" s="2">
        <v>44228</v>
      </c>
      <c r="Y887" s="2"/>
      <c r="Z887" s="2"/>
      <c r="AA887" s="2"/>
      <c r="AB887" s="2">
        <v>44221</v>
      </c>
      <c r="AC887" s="1"/>
      <c r="AE887">
        <v>3</v>
      </c>
    </row>
    <row r="888" spans="1:31" x14ac:dyDescent="0.35">
      <c r="A888">
        <v>895</v>
      </c>
      <c r="B888" s="1"/>
      <c r="C888">
        <v>0</v>
      </c>
      <c r="D888" s="1"/>
      <c r="E888" s="1"/>
      <c r="F888" s="1" t="s">
        <v>30</v>
      </c>
      <c r="G888" s="1" t="s">
        <v>3252</v>
      </c>
      <c r="H888" s="1" t="s">
        <v>3253</v>
      </c>
      <c r="I888" s="1"/>
      <c r="J888" s="1" t="s">
        <v>3254</v>
      </c>
      <c r="K888" s="1"/>
      <c r="L888" s="1"/>
      <c r="M888" s="1" t="s">
        <v>197</v>
      </c>
      <c r="N888" s="1" t="s">
        <v>43</v>
      </c>
      <c r="O888" s="1" t="s">
        <v>44</v>
      </c>
      <c r="P888" s="1" t="s">
        <v>63</v>
      </c>
      <c r="Q888" s="1"/>
      <c r="R888" s="2">
        <v>44222</v>
      </c>
      <c r="S888" s="1"/>
      <c r="W888" s="1" t="s">
        <v>38</v>
      </c>
      <c r="X888" s="2">
        <v>44224</v>
      </c>
      <c r="Y888" s="2">
        <v>44224</v>
      </c>
      <c r="Z888" s="2">
        <v>44224</v>
      </c>
      <c r="AA888" s="2"/>
      <c r="AB888" s="2">
        <v>44222</v>
      </c>
      <c r="AC888" s="1"/>
      <c r="AD888">
        <v>2</v>
      </c>
      <c r="AE888">
        <v>2</v>
      </c>
    </row>
    <row r="889" spans="1:31" x14ac:dyDescent="0.35">
      <c r="A889">
        <v>896</v>
      </c>
      <c r="B889" s="1"/>
      <c r="C889">
        <v>0</v>
      </c>
      <c r="D889" s="1"/>
      <c r="E889" s="1" t="s">
        <v>2780</v>
      </c>
      <c r="F889" s="1" t="s">
        <v>30</v>
      </c>
      <c r="G889" s="1" t="s">
        <v>3255</v>
      </c>
      <c r="H889" s="1" t="s">
        <v>3256</v>
      </c>
      <c r="I889" s="1"/>
      <c r="J889" s="1"/>
      <c r="K889" s="1" t="s">
        <v>99</v>
      </c>
      <c r="L889" s="1"/>
      <c r="M889" s="1" t="s">
        <v>34</v>
      </c>
      <c r="N889" s="1" t="s">
        <v>880</v>
      </c>
      <c r="O889" s="1" t="s">
        <v>44</v>
      </c>
      <c r="P889" s="1" t="s">
        <v>99</v>
      </c>
      <c r="Q889" s="1"/>
      <c r="R889" s="2">
        <v>44222</v>
      </c>
      <c r="S889" s="1"/>
      <c r="W889" s="1" t="s">
        <v>118</v>
      </c>
      <c r="X889" s="2">
        <v>44229</v>
      </c>
      <c r="Y889" s="2"/>
      <c r="Z889" s="2"/>
      <c r="AA889" s="2">
        <v>44222</v>
      </c>
      <c r="AB889" s="2">
        <v>44222</v>
      </c>
      <c r="AC889" s="1"/>
      <c r="AE889">
        <v>2</v>
      </c>
    </row>
    <row r="890" spans="1:31" x14ac:dyDescent="0.35">
      <c r="A890">
        <v>897</v>
      </c>
      <c r="B890" s="1"/>
      <c r="C890">
        <v>0</v>
      </c>
      <c r="D890" s="1"/>
      <c r="E890" s="1"/>
      <c r="F890" s="1" t="s">
        <v>30</v>
      </c>
      <c r="G890" s="1" t="s">
        <v>3257</v>
      </c>
      <c r="H890" s="1" t="s">
        <v>3258</v>
      </c>
      <c r="I890" s="1"/>
      <c r="J890" s="1" t="s">
        <v>3259</v>
      </c>
      <c r="K890" s="1"/>
      <c r="L890" s="1"/>
      <c r="M890" s="1" t="s">
        <v>197</v>
      </c>
      <c r="N890" s="1" t="s">
        <v>43</v>
      </c>
      <c r="O890" s="1" t="s">
        <v>44</v>
      </c>
      <c r="P890" s="1" t="s">
        <v>63</v>
      </c>
      <c r="Q890" s="1"/>
      <c r="R890" s="2">
        <v>44222</v>
      </c>
      <c r="S890" s="1"/>
      <c r="W890" s="1" t="s">
        <v>38</v>
      </c>
      <c r="X890" s="2">
        <v>44225</v>
      </c>
      <c r="Y890" s="2">
        <v>44223</v>
      </c>
      <c r="Z890" s="2">
        <v>44223</v>
      </c>
      <c r="AA890" s="2"/>
      <c r="AB890" s="2">
        <v>44222</v>
      </c>
      <c r="AC890" s="1"/>
      <c r="AD890">
        <v>1</v>
      </c>
      <c r="AE890">
        <v>2</v>
      </c>
    </row>
    <row r="891" spans="1:31" x14ac:dyDescent="0.35">
      <c r="A891">
        <v>899</v>
      </c>
      <c r="B891" s="1"/>
      <c r="C891">
        <v>0</v>
      </c>
      <c r="D891" s="1"/>
      <c r="E891" s="1"/>
      <c r="F891" s="1" t="s">
        <v>30</v>
      </c>
      <c r="G891" s="1" t="s">
        <v>3260</v>
      </c>
      <c r="H891" s="1" t="s">
        <v>3261</v>
      </c>
      <c r="I891" s="1"/>
      <c r="J891" s="1"/>
      <c r="K891" s="1" t="s">
        <v>37</v>
      </c>
      <c r="L891" s="1"/>
      <c r="M891" s="1" t="s">
        <v>197</v>
      </c>
      <c r="N891" s="1" t="s">
        <v>43</v>
      </c>
      <c r="O891" s="1" t="s">
        <v>44</v>
      </c>
      <c r="P891" s="1" t="s">
        <v>37</v>
      </c>
      <c r="Q891" s="1"/>
      <c r="R891" s="2">
        <v>44222</v>
      </c>
      <c r="S891" s="1"/>
      <c r="W891" s="1" t="s">
        <v>16</v>
      </c>
      <c r="X891" s="2">
        <v>44225</v>
      </c>
      <c r="Y891" s="2">
        <v>44222</v>
      </c>
      <c r="Z891" s="2"/>
      <c r="AA891" s="2"/>
      <c r="AB891" s="2">
        <v>44222</v>
      </c>
      <c r="AC891" s="1"/>
      <c r="AE891">
        <v>2</v>
      </c>
    </row>
    <row r="892" spans="1:31" x14ac:dyDescent="0.35">
      <c r="A892">
        <v>900</v>
      </c>
      <c r="B892" s="1"/>
      <c r="C892">
        <v>0</v>
      </c>
      <c r="D892" s="1"/>
      <c r="E892" s="1"/>
      <c r="F892" s="1" t="s">
        <v>30</v>
      </c>
      <c r="G892" s="1" t="s">
        <v>3262</v>
      </c>
      <c r="H892" s="1" t="s">
        <v>3263</v>
      </c>
      <c r="I892" s="1"/>
      <c r="J892" s="1"/>
      <c r="K892" s="1" t="s">
        <v>99</v>
      </c>
      <c r="L892" s="1"/>
      <c r="M892" s="1" t="s">
        <v>34</v>
      </c>
      <c r="N892" s="1" t="s">
        <v>245</v>
      </c>
      <c r="O892" s="1" t="s">
        <v>147</v>
      </c>
      <c r="P892" s="1" t="s">
        <v>99</v>
      </c>
      <c r="Q892" s="1"/>
      <c r="R892" s="2">
        <v>44223</v>
      </c>
      <c r="S892" s="1"/>
      <c r="W892" s="1" t="s">
        <v>118</v>
      </c>
      <c r="X892" s="2">
        <v>44230</v>
      </c>
      <c r="Y892" s="2"/>
      <c r="Z892" s="2"/>
      <c r="AA892" s="2">
        <v>44223</v>
      </c>
      <c r="AB892" s="2">
        <v>44223</v>
      </c>
      <c r="AC892" s="1"/>
      <c r="AE892">
        <v>1</v>
      </c>
    </row>
    <row r="893" spans="1:31" x14ac:dyDescent="0.35">
      <c r="A893">
        <v>901</v>
      </c>
      <c r="B893" s="1"/>
      <c r="C893">
        <v>0</v>
      </c>
      <c r="D893" s="1"/>
      <c r="E893" s="1"/>
      <c r="F893" s="1" t="s">
        <v>30</v>
      </c>
      <c r="G893" s="1" t="s">
        <v>3264</v>
      </c>
      <c r="H893" s="1" t="s">
        <v>3265</v>
      </c>
      <c r="I893" s="1"/>
      <c r="J893" s="1"/>
      <c r="K893" s="1" t="s">
        <v>379</v>
      </c>
      <c r="L893" s="1"/>
      <c r="M893" s="1" t="s">
        <v>197</v>
      </c>
      <c r="N893" s="1" t="s">
        <v>129</v>
      </c>
      <c r="O893" s="1" t="s">
        <v>44</v>
      </c>
      <c r="P893" s="1" t="s">
        <v>379</v>
      </c>
      <c r="Q893" s="1"/>
      <c r="R893" s="2">
        <v>44223</v>
      </c>
      <c r="S893" s="1"/>
      <c r="W893" s="1" t="s">
        <v>16</v>
      </c>
      <c r="X893" s="2">
        <v>44226</v>
      </c>
      <c r="Y893" s="2"/>
      <c r="Z893" s="2"/>
      <c r="AA893" s="2"/>
      <c r="AB893" s="2">
        <v>44223</v>
      </c>
      <c r="AC893" s="1"/>
      <c r="AE893">
        <v>1</v>
      </c>
    </row>
    <row r="894" spans="1:31" x14ac:dyDescent="0.35">
      <c r="A894">
        <v>902</v>
      </c>
      <c r="B894" s="1"/>
      <c r="C894">
        <v>0</v>
      </c>
      <c r="D894" s="1"/>
      <c r="E894" s="1"/>
      <c r="F894" s="1" t="s">
        <v>30</v>
      </c>
      <c r="G894" s="1" t="s">
        <v>3266</v>
      </c>
      <c r="H894" s="1" t="s">
        <v>3267</v>
      </c>
      <c r="I894" s="1"/>
      <c r="J894" s="1"/>
      <c r="K894" s="1" t="s">
        <v>116</v>
      </c>
      <c r="L894" s="1"/>
      <c r="M894" s="1" t="s">
        <v>34</v>
      </c>
      <c r="N894" s="1" t="s">
        <v>43</v>
      </c>
      <c r="O894" s="1" t="s">
        <v>44</v>
      </c>
      <c r="P894" s="1" t="s">
        <v>116</v>
      </c>
      <c r="Q894" s="1"/>
      <c r="R894" s="2">
        <v>44223</v>
      </c>
      <c r="S894" s="1"/>
      <c r="W894" s="1" t="s">
        <v>118</v>
      </c>
      <c r="X894" s="2">
        <v>44230</v>
      </c>
      <c r="Y894" s="2"/>
      <c r="Z894" s="2"/>
      <c r="AA894" s="2">
        <v>44224</v>
      </c>
      <c r="AB894" s="2">
        <v>44223</v>
      </c>
      <c r="AC894" s="1"/>
      <c r="AE894">
        <v>1</v>
      </c>
    </row>
    <row r="895" spans="1:31" x14ac:dyDescent="0.35">
      <c r="A895">
        <v>903</v>
      </c>
      <c r="B895" s="1"/>
      <c r="C895">
        <v>0</v>
      </c>
      <c r="D895" s="1"/>
      <c r="E895" s="1"/>
      <c r="F895" s="1" t="s">
        <v>30</v>
      </c>
      <c r="G895" s="1" t="s">
        <v>3268</v>
      </c>
      <c r="H895" s="1" t="s">
        <v>3269</v>
      </c>
      <c r="I895" s="1"/>
      <c r="J895" s="1"/>
      <c r="K895" s="1" t="s">
        <v>164</v>
      </c>
      <c r="L895" s="1"/>
      <c r="M895" s="1" t="s">
        <v>34</v>
      </c>
      <c r="N895" s="1" t="s">
        <v>245</v>
      </c>
      <c r="O895" s="1" t="s">
        <v>147</v>
      </c>
      <c r="P895" s="1" t="s">
        <v>164</v>
      </c>
      <c r="Q895" s="1"/>
      <c r="R895" s="2">
        <v>44224</v>
      </c>
      <c r="S895" s="1"/>
      <c r="W895" s="1" t="s">
        <v>16</v>
      </c>
      <c r="X895" s="2">
        <v>44231</v>
      </c>
      <c r="Y895" s="2"/>
      <c r="Z895" s="2"/>
      <c r="AA895" s="2"/>
      <c r="AB895" s="2">
        <v>44224</v>
      </c>
      <c r="AC895" s="1"/>
      <c r="AE895">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CC3D6-6FB7-4382-87A0-54263834F15B}">
  <sheetPr codeName="Sheet3"/>
  <dimension ref="C1:P50"/>
  <sheetViews>
    <sheetView tabSelected="1" topLeftCell="B1" workbookViewId="0">
      <selection activeCell="F24" sqref="F24"/>
    </sheetView>
  </sheetViews>
  <sheetFormatPr defaultRowHeight="14.5" x14ac:dyDescent="0.35"/>
  <cols>
    <col min="1" max="1" width="2.453125" customWidth="1"/>
    <col min="3" max="3" width="50.54296875" bestFit="1" customWidth="1"/>
    <col min="4" max="4" width="11.7265625" customWidth="1"/>
    <col min="13" max="13" width="50.81640625" bestFit="1" customWidth="1"/>
  </cols>
  <sheetData>
    <row r="1" spans="3:16" x14ac:dyDescent="0.35">
      <c r="L1" s="4">
        <v>62</v>
      </c>
      <c r="M1" s="7" t="s">
        <v>305</v>
      </c>
      <c r="N1" s="7" t="s">
        <v>34</v>
      </c>
      <c r="P1" t="str">
        <f>"RFI " &amp;L1&amp;" - "&amp;M1</f>
        <v>RFI 62 - Deco Lighting Family B Arm Question</v>
      </c>
    </row>
    <row r="2" spans="3:16" x14ac:dyDescent="0.35">
      <c r="L2" s="3">
        <v>92</v>
      </c>
      <c r="M2" s="8" t="s">
        <v>430</v>
      </c>
      <c r="N2" s="8" t="s">
        <v>34</v>
      </c>
      <c r="P2" t="str">
        <f t="shared" ref="P2:P50" si="0">"RFI " &amp;L2&amp;" - "&amp;M2</f>
        <v>RFI 92 - Tree RFI 1</v>
      </c>
    </row>
    <row r="3" spans="3:16" x14ac:dyDescent="0.35">
      <c r="L3" s="4">
        <v>288</v>
      </c>
      <c r="M3" s="7" t="s">
        <v>1147</v>
      </c>
      <c r="N3" s="7" t="s">
        <v>34</v>
      </c>
      <c r="P3" t="str">
        <f t="shared" si="0"/>
        <v>RFI 288 - Schonbek: Family B - Cast Arm Design</v>
      </c>
    </row>
    <row r="4" spans="3:16" x14ac:dyDescent="0.35">
      <c r="L4" s="3">
        <v>322</v>
      </c>
      <c r="M4" s="8" t="s">
        <v>1258</v>
      </c>
      <c r="N4" s="8" t="s">
        <v>34</v>
      </c>
      <c r="P4" t="str">
        <f t="shared" si="0"/>
        <v>RFI 322 - Glazing Clarifications</v>
      </c>
    </row>
    <row r="5" spans="3:16" x14ac:dyDescent="0.35">
      <c r="L5" s="4">
        <v>387</v>
      </c>
      <c r="M5" s="7" t="s">
        <v>1475</v>
      </c>
      <c r="N5" s="7" t="s">
        <v>34</v>
      </c>
      <c r="P5" t="str">
        <f t="shared" si="0"/>
        <v>RFI 387 - Restroom Mirrors at Wall Tile Transition</v>
      </c>
    </row>
    <row r="6" spans="3:16" x14ac:dyDescent="0.35">
      <c r="C6" s="5" t="s">
        <v>1432</v>
      </c>
      <c r="D6" s="2">
        <v>44055</v>
      </c>
      <c r="L6" s="3">
        <v>439</v>
      </c>
      <c r="M6" s="8" t="s">
        <v>1624</v>
      </c>
      <c r="N6" s="8" t="s">
        <v>34</v>
      </c>
      <c r="P6" t="str">
        <f t="shared" si="0"/>
        <v>RFI 439 - Stair tower Plaster base board</v>
      </c>
    </row>
    <row r="7" spans="3:16" x14ac:dyDescent="0.35">
      <c r="C7" s="5" t="s">
        <v>1431</v>
      </c>
      <c r="D7" s="6">
        <f>AVERAGEIFS(Rfi[Time to Answer], Rfi[Time to Answer], "&gt;=0", Rfi[Answer Marked On], "&lt;="&amp;D6, Rfi[Created Date], "&lt;="&amp;D6)</f>
        <v>17.015929203539823</v>
      </c>
      <c r="E7" s="6">
        <f>COUNTIFS(Rfi[Time to Answer], "&gt;=0", Rfi[Answer Marked On], "&lt;="&amp;D6, Rfi[Created Date], "&lt;="&amp;D6)</f>
        <v>565</v>
      </c>
      <c r="L7" s="4">
        <v>450</v>
      </c>
      <c r="M7" s="7" t="s">
        <v>1660</v>
      </c>
      <c r="N7" s="7" t="s">
        <v>34</v>
      </c>
      <c r="P7" t="str">
        <f t="shared" si="0"/>
        <v>RFI 450 - Door Hardware questions per meeting with architect 4-28-20</v>
      </c>
    </row>
    <row r="8" spans="3:16" x14ac:dyDescent="0.35">
      <c r="L8" s="3">
        <v>498</v>
      </c>
      <c r="M8" s="8" t="s">
        <v>1841</v>
      </c>
      <c r="N8" s="8" t="s">
        <v>197</v>
      </c>
      <c r="P8" t="str">
        <f t="shared" si="0"/>
        <v>RFI 498 - FSD requirements at level 2 instruction room A-3</v>
      </c>
    </row>
    <row r="9" spans="3:16" x14ac:dyDescent="0.35">
      <c r="C9" s="5" t="s">
        <v>1434</v>
      </c>
      <c r="D9" s="2">
        <v>44013</v>
      </c>
      <c r="L9" s="4">
        <v>519</v>
      </c>
      <c r="M9" s="7" t="s">
        <v>1923</v>
      </c>
      <c r="N9" s="7" t="s">
        <v>34</v>
      </c>
      <c r="P9" t="str">
        <f t="shared" si="0"/>
        <v>RFI 519 - Wood Stairs Sample</v>
      </c>
    </row>
    <row r="10" spans="3:16" x14ac:dyDescent="0.35">
      <c r="C10" s="5" t="s">
        <v>1433</v>
      </c>
      <c r="D10" s="2">
        <v>44043</v>
      </c>
      <c r="L10" s="3">
        <v>524</v>
      </c>
      <c r="M10" s="8" t="s">
        <v>1936</v>
      </c>
      <c r="N10" s="8" t="s">
        <v>197</v>
      </c>
      <c r="P10" t="str">
        <f t="shared" si="0"/>
        <v>RFI 524 - Missing FSD's at Level 0.5</v>
      </c>
    </row>
    <row r="11" spans="3:16" x14ac:dyDescent="0.35">
      <c r="C11" s="5" t="s">
        <v>1435</v>
      </c>
      <c r="D11" s="6">
        <f>AVERAGEIFS(Rfi[Time to Answer], Rfi[Time to Answer], "&gt;=0", Rfi[Answer Marked On], "&lt;="&amp;D10, Rfi[Answer Marked On], "&gt;="&amp;D9, Rfi[Created Date], "&lt;="&amp;D10)</f>
        <v>18.318181818181817</v>
      </c>
      <c r="L11" s="4">
        <v>540</v>
      </c>
      <c r="M11" s="7" t="s">
        <v>1987</v>
      </c>
      <c r="N11" s="7" t="s">
        <v>34</v>
      </c>
      <c r="P11" t="str">
        <f t="shared" si="0"/>
        <v>RFI 540 - Font Witness Desk Electrical Box and Conduits</v>
      </c>
    </row>
    <row r="12" spans="3:16" x14ac:dyDescent="0.35">
      <c r="L12" s="3">
        <v>548</v>
      </c>
      <c r="M12" s="8" t="s">
        <v>2015</v>
      </c>
      <c r="N12" s="8" t="s">
        <v>34</v>
      </c>
      <c r="P12" t="str">
        <f t="shared" si="0"/>
        <v>RFI 548 - FDC Location on South Fire Lane</v>
      </c>
    </row>
    <row r="13" spans="3:16" x14ac:dyDescent="0.35">
      <c r="C13" s="5" t="s">
        <v>1437</v>
      </c>
      <c r="D13" s="2">
        <v>44021</v>
      </c>
      <c r="L13" s="4">
        <v>551</v>
      </c>
      <c r="M13" s="7" t="s">
        <v>2023</v>
      </c>
      <c r="N13" s="7" t="s">
        <v>197</v>
      </c>
      <c r="P13" t="str">
        <f t="shared" si="0"/>
        <v>RFI 551 - Visitor Center Existing Main Irrigation Line</v>
      </c>
    </row>
    <row r="14" spans="3:16" x14ac:dyDescent="0.35">
      <c r="C14" s="5" t="s">
        <v>1436</v>
      </c>
      <c r="D14" s="6"/>
      <c r="E14" t="s">
        <v>1438</v>
      </c>
      <c r="L14" s="3">
        <v>557</v>
      </c>
      <c r="M14" s="8" t="s">
        <v>2038</v>
      </c>
      <c r="N14" s="8" t="s">
        <v>34</v>
      </c>
      <c r="P14" t="str">
        <f t="shared" si="0"/>
        <v>RFI 557 - Door handle height</v>
      </c>
    </row>
    <row r="15" spans="3:16" x14ac:dyDescent="0.35">
      <c r="D15" s="1"/>
      <c r="L15" s="4">
        <v>563</v>
      </c>
      <c r="M15" s="7" t="s">
        <v>2055</v>
      </c>
      <c r="N15" s="7" t="s">
        <v>197</v>
      </c>
      <c r="P15" t="str">
        <f t="shared" si="0"/>
        <v>RFI 563 - METAL-FRAMED SKYLIGHTS COLOR SELECTION</v>
      </c>
    </row>
    <row r="16" spans="3:16" x14ac:dyDescent="0.35">
      <c r="D16">
        <f t="array" ref="D16">SUM(IF(AND(Rfi[State] = "Closed",  ISBLANK(Rfi[Responded On])), 0, IF(ISBLANK(Rfi[Time to Answer]),Rfi[Time Since Created],Rfi[Time to Answer])))</f>
        <v>27689</v>
      </c>
      <c r="E16">
        <f>D16/460</f>
        <v>60.193478260869568</v>
      </c>
      <c r="L16" s="3">
        <v>571</v>
      </c>
      <c r="M16" s="8" t="s">
        <v>2080</v>
      </c>
      <c r="N16" s="8" t="s">
        <v>34</v>
      </c>
      <c r="P16" t="str">
        <f t="shared" si="0"/>
        <v>RFI 571 - Precast Concrete Unit Paving Response</v>
      </c>
    </row>
    <row r="17" spans="12:16" x14ac:dyDescent="0.35">
      <c r="L17" s="4">
        <v>574</v>
      </c>
      <c r="M17" s="7" t="s">
        <v>2087</v>
      </c>
      <c r="N17" s="7" t="s">
        <v>34</v>
      </c>
      <c r="P17" t="str">
        <f t="shared" si="0"/>
        <v>RFI 574 - Pneumatic Door Operators</v>
      </c>
    </row>
    <row r="18" spans="12:16" x14ac:dyDescent="0.35">
      <c r="L18" s="3">
        <v>584</v>
      </c>
      <c r="M18" s="8" t="s">
        <v>2115</v>
      </c>
      <c r="N18" s="8" t="s">
        <v>34</v>
      </c>
      <c r="P18" t="str">
        <f t="shared" si="0"/>
        <v>RFI 584 - Updated Lighting Layout RE: ASI_12 &amp; RFI_535</v>
      </c>
    </row>
    <row r="19" spans="12:16" x14ac:dyDescent="0.35">
      <c r="L19" s="4">
        <v>593</v>
      </c>
      <c r="M19" s="7" t="s">
        <v>2149</v>
      </c>
      <c r="N19" s="7" t="s">
        <v>34</v>
      </c>
      <c r="P19" t="str">
        <f t="shared" si="0"/>
        <v>RFI 593 - Pot Irrigation LI101</v>
      </c>
    </row>
    <row r="20" spans="12:16" x14ac:dyDescent="0.35">
      <c r="L20" s="3">
        <v>595</v>
      </c>
      <c r="M20" s="8" t="s">
        <v>2154</v>
      </c>
      <c r="N20" s="8" t="s">
        <v>34</v>
      </c>
      <c r="P20" t="str">
        <f t="shared" si="0"/>
        <v>RFI 595 - CCD 040 Flooring/Base Clarifications 1</v>
      </c>
    </row>
    <row r="21" spans="12:16" x14ac:dyDescent="0.35">
      <c r="L21" s="4">
        <v>596</v>
      </c>
      <c r="M21" s="7" t="s">
        <v>2156</v>
      </c>
      <c r="N21" s="7" t="s">
        <v>34</v>
      </c>
      <c r="P21" t="str">
        <f t="shared" si="0"/>
        <v>RFI 596 - CCD 040 Flooring/Base Clarifications 2</v>
      </c>
    </row>
    <row r="22" spans="12:16" x14ac:dyDescent="0.35">
      <c r="L22" s="3">
        <v>601</v>
      </c>
      <c r="M22" s="8" t="s">
        <v>2170</v>
      </c>
      <c r="N22" s="8" t="s">
        <v>197</v>
      </c>
      <c r="P22" t="str">
        <f t="shared" si="0"/>
        <v>RFI 601 - Landscape/Site footings detail clarification</v>
      </c>
    </row>
    <row r="23" spans="12:16" x14ac:dyDescent="0.35">
      <c r="L23" s="4">
        <v>602</v>
      </c>
      <c r="M23" s="7" t="s">
        <v>2172</v>
      </c>
      <c r="N23" s="7" t="s">
        <v>34</v>
      </c>
      <c r="P23" t="str">
        <f t="shared" si="0"/>
        <v>RFI 602 - Landscaping / Mechanical</v>
      </c>
    </row>
    <row r="24" spans="12:16" x14ac:dyDescent="0.35">
      <c r="L24" s="3">
        <v>603</v>
      </c>
      <c r="M24" s="8" t="s">
        <v>2175</v>
      </c>
      <c r="N24" s="8" t="s">
        <v>34</v>
      </c>
      <c r="P24" t="str">
        <f t="shared" si="0"/>
        <v>RFI 603 - Humidity and Duct Detectors</v>
      </c>
    </row>
    <row r="25" spans="12:16" x14ac:dyDescent="0.35">
      <c r="L25" s="4">
        <v>611</v>
      </c>
      <c r="M25" s="7" t="s">
        <v>2229</v>
      </c>
      <c r="N25" s="7" t="s">
        <v>34</v>
      </c>
      <c r="P25" t="str">
        <f t="shared" si="0"/>
        <v>RFI 611 - CCD 040 Stone and Tile Clarifications</v>
      </c>
    </row>
    <row r="26" spans="12:16" x14ac:dyDescent="0.35">
      <c r="L26" s="3">
        <v>612</v>
      </c>
      <c r="M26" s="8" t="s">
        <v>2232</v>
      </c>
      <c r="N26" s="8" t="s">
        <v>34</v>
      </c>
      <c r="P26" t="str">
        <f t="shared" si="0"/>
        <v>RFI 612 - CCD 54.4 Stone and Tile Questions</v>
      </c>
    </row>
    <row r="27" spans="12:16" x14ac:dyDescent="0.35">
      <c r="L27" s="4">
        <v>615</v>
      </c>
      <c r="M27" s="7" t="s">
        <v>2244</v>
      </c>
      <c r="N27" s="7" t="s">
        <v>197</v>
      </c>
      <c r="P27" t="str">
        <f t="shared" si="0"/>
        <v>RFI 615 - 4th Floor Ceiling North/South Wings</v>
      </c>
    </row>
    <row r="28" spans="12:16" x14ac:dyDescent="0.35">
      <c r="L28" s="3">
        <v>617</v>
      </c>
      <c r="M28" s="8" t="s">
        <v>2249</v>
      </c>
      <c r="N28" s="8" t="s">
        <v>197</v>
      </c>
      <c r="P28" t="str">
        <f t="shared" si="0"/>
        <v>RFI 617 - Annex / Addition Bldg - Interior Windows Types AA &amp; BB</v>
      </c>
    </row>
    <row r="29" spans="12:16" x14ac:dyDescent="0.35">
      <c r="L29" s="4">
        <v>619</v>
      </c>
      <c r="M29" s="7" t="s">
        <v>2255</v>
      </c>
      <c r="N29" s="7" t="s">
        <v>34</v>
      </c>
      <c r="P29" t="str">
        <f t="shared" si="0"/>
        <v>RFI 619 - Clear &amp; Grub Sod Areas</v>
      </c>
    </row>
    <row r="30" spans="12:16" x14ac:dyDescent="0.35">
      <c r="L30" s="3">
        <v>620</v>
      </c>
      <c r="M30" s="8" t="s">
        <v>2258</v>
      </c>
      <c r="N30" s="8" t="s">
        <v>34</v>
      </c>
      <c r="P30" t="str">
        <f t="shared" si="0"/>
        <v>RFI 620 - Mainline PSI</v>
      </c>
    </row>
    <row r="31" spans="12:16" x14ac:dyDescent="0.35">
      <c r="L31" s="4">
        <v>621</v>
      </c>
      <c r="M31" s="7" t="s">
        <v>2260</v>
      </c>
      <c r="N31" s="7" t="s">
        <v>197</v>
      </c>
      <c r="P31" t="str">
        <f t="shared" si="0"/>
        <v>RFI 621 - 4th floor lighting on lower ceilings</v>
      </c>
    </row>
    <row r="32" spans="12:16" x14ac:dyDescent="0.35">
      <c r="L32" s="3">
        <v>622</v>
      </c>
      <c r="M32" s="8" t="s">
        <v>1850</v>
      </c>
      <c r="N32" s="8" t="s">
        <v>34</v>
      </c>
      <c r="P32" t="str">
        <f t="shared" si="0"/>
        <v>RFI 622 - Generator Pad</v>
      </c>
    </row>
    <row r="33" spans="12:16" x14ac:dyDescent="0.35">
      <c r="L33" s="4">
        <v>623</v>
      </c>
      <c r="M33" s="7" t="s">
        <v>2265</v>
      </c>
      <c r="N33" s="7" t="s">
        <v>197</v>
      </c>
      <c r="P33" t="str">
        <f t="shared" si="0"/>
        <v>RFI 623 - Cut Columns on North Wall of Stair</v>
      </c>
    </row>
    <row r="34" spans="12:16" x14ac:dyDescent="0.35">
      <c r="L34" s="3">
        <v>624</v>
      </c>
      <c r="M34" s="8" t="s">
        <v>2268</v>
      </c>
      <c r="N34" s="8" t="s">
        <v>34</v>
      </c>
      <c r="P34" t="str">
        <f t="shared" si="0"/>
        <v>RFI 624 - LVL Spacing 2nd and 0.5 Levels</v>
      </c>
    </row>
    <row r="35" spans="12:16" x14ac:dyDescent="0.35">
      <c r="L35" s="4">
        <v>625</v>
      </c>
      <c r="M35" s="7" t="s">
        <v>2270</v>
      </c>
      <c r="N35" s="7" t="s">
        <v>34</v>
      </c>
      <c r="P35" t="str">
        <f t="shared" si="0"/>
        <v>RFI 625 - 2” main irrigation line in area A</v>
      </c>
    </row>
    <row r="36" spans="12:16" x14ac:dyDescent="0.35">
      <c r="L36" s="3">
        <v>626</v>
      </c>
      <c r="M36" s="8" t="s">
        <v>2273</v>
      </c>
      <c r="N36" s="8" t="s">
        <v>34</v>
      </c>
      <c r="P36" t="str">
        <f t="shared" si="0"/>
        <v>RFI 626 - Sewer, Landscaper shed sewer elevation and sewer line connec</v>
      </c>
    </row>
    <row r="37" spans="12:16" x14ac:dyDescent="0.35">
      <c r="L37" s="4">
        <v>627</v>
      </c>
      <c r="M37" s="7" t="s">
        <v>2277</v>
      </c>
      <c r="N37" s="7" t="s">
        <v>34</v>
      </c>
      <c r="P37" t="str">
        <f t="shared" si="0"/>
        <v>RFI 627 - CCD 040 Floor Finish Schedule</v>
      </c>
    </row>
    <row r="38" spans="12:16" x14ac:dyDescent="0.35">
      <c r="L38" s="3">
        <v>628</v>
      </c>
      <c r="M38" s="8" t="s">
        <v>2279</v>
      </c>
      <c r="N38" s="8" t="s">
        <v>34</v>
      </c>
      <c r="P38" t="str">
        <f t="shared" si="0"/>
        <v>RFI 628 - Concrete sidewalk dowels needed for the 2 part pour</v>
      </c>
    </row>
    <row r="39" spans="12:16" x14ac:dyDescent="0.35">
      <c r="L39" s="4">
        <v>629</v>
      </c>
      <c r="M39" s="7" t="s">
        <v>2281</v>
      </c>
      <c r="N39" s="7" t="s">
        <v>34</v>
      </c>
      <c r="P39" t="str">
        <f t="shared" si="0"/>
        <v>RFI 629 - Historic East Tower Crawl Space Slab and Penetrations</v>
      </c>
    </row>
    <row r="40" spans="12:16" x14ac:dyDescent="0.35">
      <c r="L40" s="3">
        <v>630</v>
      </c>
      <c r="M40" s="8" t="s">
        <v>2283</v>
      </c>
      <c r="N40" s="8" t="s">
        <v>34</v>
      </c>
      <c r="P40" t="str">
        <f t="shared" si="0"/>
        <v>RFI 630 - Brides exit drinking fountain drain</v>
      </c>
    </row>
    <row r="41" spans="12:16" x14ac:dyDescent="0.35">
      <c r="L41" s="4">
        <v>631</v>
      </c>
      <c r="M41" s="7" t="s">
        <v>2285</v>
      </c>
      <c r="N41" s="7" t="s">
        <v>34</v>
      </c>
      <c r="P41" t="str">
        <f t="shared" si="0"/>
        <v>RFI 631 - Door schedule question resulting from CCD54.4R2 revised door</v>
      </c>
    </row>
    <row r="42" spans="12:16" x14ac:dyDescent="0.35">
      <c r="L42" s="3">
        <v>632</v>
      </c>
      <c r="M42" s="8" t="s">
        <v>2288</v>
      </c>
      <c r="N42" s="8" t="s">
        <v>197</v>
      </c>
      <c r="P42" t="str">
        <f t="shared" si="0"/>
        <v>RFI 632 - Floor Box Furniture Coordination</v>
      </c>
    </row>
    <row r="43" spans="12:16" x14ac:dyDescent="0.35">
      <c r="L43" s="4">
        <v>633</v>
      </c>
      <c r="M43" s="7" t="s">
        <v>2290</v>
      </c>
      <c r="N43" s="7" t="s">
        <v>34</v>
      </c>
      <c r="P43" t="str">
        <f t="shared" si="0"/>
        <v>RFI 633 - Fabric for altars</v>
      </c>
    </row>
    <row r="44" spans="12:16" x14ac:dyDescent="0.35">
      <c r="L44" s="3">
        <v>634</v>
      </c>
      <c r="M44" s="8" t="s">
        <v>2291</v>
      </c>
      <c r="N44" s="8" t="s">
        <v>34</v>
      </c>
      <c r="P44" t="str">
        <f t="shared" si="0"/>
        <v>RFI 634 - Column Top of Pier Elevation</v>
      </c>
    </row>
    <row r="45" spans="12:16" x14ac:dyDescent="0.35">
      <c r="L45" s="4">
        <v>635</v>
      </c>
      <c r="M45" s="7" t="s">
        <v>2294</v>
      </c>
      <c r="N45" s="7" t="s">
        <v>34</v>
      </c>
      <c r="P45" t="str">
        <f t="shared" si="0"/>
        <v>RFI 635 - East Tower Dry Sprinkler system</v>
      </c>
    </row>
    <row r="46" spans="12:16" x14ac:dyDescent="0.35">
      <c r="L46" s="3">
        <v>636</v>
      </c>
      <c r="M46" s="8" t="s">
        <v>2296</v>
      </c>
      <c r="N46" s="8" t="s">
        <v>34</v>
      </c>
      <c r="P46" t="str">
        <f t="shared" si="0"/>
        <v>RFI 636 - Flat screen rm 042</v>
      </c>
    </row>
    <row r="47" spans="12:16" x14ac:dyDescent="0.35">
      <c r="L47" s="4">
        <v>637</v>
      </c>
      <c r="M47" s="7" t="s">
        <v>2298</v>
      </c>
      <c r="N47" s="7" t="s">
        <v>34</v>
      </c>
      <c r="P47" t="str">
        <f t="shared" si="0"/>
        <v>RFI 637 - AE140 - Annex Basement Dimensions</v>
      </c>
    </row>
    <row r="48" spans="12:16" x14ac:dyDescent="0.35">
      <c r="L48" s="3">
        <v>638</v>
      </c>
      <c r="M48" s="8" t="s">
        <v>2300</v>
      </c>
      <c r="N48" s="8" t="s">
        <v>34</v>
      </c>
      <c r="P48" t="str">
        <f t="shared" si="0"/>
        <v>RFI 638 - Dome Ceiling Finish Thickness Inquiry</v>
      </c>
    </row>
    <row r="49" spans="12:16" x14ac:dyDescent="0.35">
      <c r="L49" s="4"/>
      <c r="M49" s="7"/>
      <c r="N49" s="7"/>
      <c r="P49" t="str">
        <f t="shared" si="0"/>
        <v xml:space="preserve">RFI  - </v>
      </c>
    </row>
    <row r="50" spans="12:16" x14ac:dyDescent="0.35">
      <c r="L50" s="3"/>
      <c r="M50" s="8"/>
      <c r="N50" s="8"/>
      <c r="P50" t="str">
        <f t="shared" si="0"/>
        <v xml:space="preserve">RFI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1445-169E-4B69-B224-670CB965F4EA}">
  <sheetPr codeName="Sheet5">
    <pageSetUpPr fitToPage="1"/>
  </sheetPr>
  <dimension ref="A1:I649"/>
  <sheetViews>
    <sheetView view="pageLayout" zoomScaleNormal="100" workbookViewId="0">
      <selection activeCell="C654" sqref="C654"/>
    </sheetView>
  </sheetViews>
  <sheetFormatPr defaultRowHeight="14.5" x14ac:dyDescent="0.35"/>
  <cols>
    <col min="1" max="1" width="10.26953125" customWidth="1"/>
    <col min="2" max="2" width="10.08984375" bestFit="1" customWidth="1"/>
    <col min="3" max="3" width="71.08984375" customWidth="1"/>
    <col min="4" max="5" width="12.1796875" style="2" customWidth="1"/>
    <col min="6" max="6" width="21.7265625" style="2" customWidth="1"/>
    <col min="7" max="7" width="11.1796875" customWidth="1"/>
    <col min="8" max="8" width="6.36328125" customWidth="1"/>
    <col min="9" max="9" width="14.26953125" customWidth="1"/>
  </cols>
  <sheetData>
    <row r="1" spans="1:7" x14ac:dyDescent="0.35">
      <c r="A1" t="s">
        <v>11</v>
      </c>
      <c r="B1" t="s">
        <v>2357</v>
      </c>
      <c r="C1" t="s">
        <v>5</v>
      </c>
      <c r="D1" s="2" t="s">
        <v>2358</v>
      </c>
      <c r="E1" s="2" t="s">
        <v>2360</v>
      </c>
      <c r="F1" s="2" t="s">
        <v>2359</v>
      </c>
      <c r="G1" t="s">
        <v>21</v>
      </c>
    </row>
    <row r="2" spans="1:7" hidden="1" x14ac:dyDescent="0.35">
      <c r="A2" t="str">
        <f>Rfi[[#This Row],[Priority]]</f>
        <v>Medium</v>
      </c>
      <c r="B2">
        <f>Rfi[[#This Row],[Number]]</f>
        <v>1</v>
      </c>
      <c r="C2" t="str">
        <f>Rfi[[#This Row],[Subject]]</f>
        <v>Precast Questions Dimensions &amp; Elevations</v>
      </c>
      <c r="D2" s="2">
        <f>Rfi[[#This Row],[Sent]]</f>
        <v>43725</v>
      </c>
      <c r="E2" s="2">
        <f ca="1">TODAY()-Table2[[#This Row],[Date Sent]]</f>
        <v>577</v>
      </c>
      <c r="F2" s="1">
        <f>Rfi[[#This Row],[Ball In Court]]</f>
        <v>0</v>
      </c>
      <c r="G2" t="str">
        <f>Rfi[[#This Row],[State]]</f>
        <v>Closed</v>
      </c>
    </row>
    <row r="3" spans="1:7" hidden="1" x14ac:dyDescent="0.35">
      <c r="A3" t="str">
        <f>Rfi[[#This Row],[Priority]]</f>
        <v>Medium</v>
      </c>
      <c r="B3">
        <f>Rfi[[#This Row],[Number]]</f>
        <v>2</v>
      </c>
      <c r="C3" t="str">
        <f>Rfi[[#This Row],[Subject]]</f>
        <v>LEED Submittal Removal</v>
      </c>
      <c r="D3" s="2">
        <f>Rfi[[#This Row],[Sent]]</f>
        <v>43720</v>
      </c>
      <c r="E3" s="2">
        <f ca="1">TODAY()-Table2[[#This Row],[Date Sent]]</f>
        <v>582</v>
      </c>
      <c r="F3" s="1">
        <f>Rfi[[#This Row],[Ball In Court]]</f>
        <v>0</v>
      </c>
      <c r="G3" t="str">
        <f>Rfi[[#This Row],[State]]</f>
        <v>Closed</v>
      </c>
    </row>
    <row r="4" spans="1:7" hidden="1" x14ac:dyDescent="0.35">
      <c r="A4" t="str">
        <f>Rfi[[#This Row],[Priority]]</f>
        <v>Medium</v>
      </c>
      <c r="B4">
        <f>Rfi[[#This Row],[Number]]</f>
        <v>3</v>
      </c>
      <c r="C4" t="str">
        <f>Rfi[[#This Row],[Subject]]</f>
        <v>Panels Tilt Bracing</v>
      </c>
      <c r="D4" s="2">
        <f>Rfi[[#This Row],[Sent]]</f>
        <v>43734</v>
      </c>
      <c r="E4" s="2">
        <f ca="1">TODAY()-Table2[[#This Row],[Date Sent]]</f>
        <v>568</v>
      </c>
      <c r="F4" s="1">
        <f>Rfi[[#This Row],[Ball In Court]]</f>
        <v>0</v>
      </c>
      <c r="G4" t="str">
        <f>Rfi[[#This Row],[State]]</f>
        <v>Closed</v>
      </c>
    </row>
    <row r="5" spans="1:7" hidden="1" x14ac:dyDescent="0.35">
      <c r="A5" t="str">
        <f>Rfi[[#This Row],[Priority]]</f>
        <v>Medium</v>
      </c>
      <c r="B5">
        <f>Rfi[[#This Row],[Number]]</f>
        <v>4</v>
      </c>
      <c r="C5" t="str">
        <f>Rfi[[#This Row],[Subject]]</f>
        <v>Plan Review Questions</v>
      </c>
      <c r="D5" s="2">
        <f>Rfi[[#This Row],[Sent]]</f>
        <v>43748</v>
      </c>
      <c r="E5" s="2">
        <f ca="1">TODAY()-Table2[[#This Row],[Date Sent]]</f>
        <v>554</v>
      </c>
      <c r="F5" s="1">
        <f>Rfi[[#This Row],[Ball In Court]]</f>
        <v>0</v>
      </c>
      <c r="G5" t="str">
        <f>Rfi[[#This Row],[State]]</f>
        <v>Closed</v>
      </c>
    </row>
    <row r="6" spans="1:7" hidden="1" x14ac:dyDescent="0.35">
      <c r="A6" t="str">
        <f>Rfi[[#This Row],[Priority]]</f>
        <v>Medium</v>
      </c>
      <c r="B6">
        <f>Rfi[[#This Row],[Number]]</f>
        <v>5</v>
      </c>
      <c r="C6" t="str">
        <f>Rfi[[#This Row],[Subject]]</f>
        <v>precast openings</v>
      </c>
      <c r="D6" s="2">
        <f>Rfi[[#This Row],[Sent]]</f>
        <v>43753</v>
      </c>
      <c r="E6" s="2">
        <f ca="1">TODAY()-Table2[[#This Row],[Date Sent]]</f>
        <v>549</v>
      </c>
      <c r="F6" s="1">
        <f>Rfi[[#This Row],[Ball In Court]]</f>
        <v>0</v>
      </c>
      <c r="G6" t="str">
        <f>Rfi[[#This Row],[State]]</f>
        <v>Closed</v>
      </c>
    </row>
    <row r="7" spans="1:7" hidden="1" x14ac:dyDescent="0.35">
      <c r="A7" t="str">
        <f>Rfi[[#This Row],[Priority]]</f>
        <v>Medium</v>
      </c>
      <c r="B7">
        <f>Rfi[[#This Row],[Number]]</f>
        <v>6</v>
      </c>
      <c r="C7" t="str">
        <f>Rfi[[#This Row],[Subject]]</f>
        <v>AE 4136 Elevations</v>
      </c>
      <c r="D7" s="2">
        <f>Rfi[[#This Row],[Sent]]</f>
        <v>43759</v>
      </c>
      <c r="E7" s="2">
        <f ca="1">TODAY()-Table2[[#This Row],[Date Sent]]</f>
        <v>543</v>
      </c>
      <c r="F7" s="1">
        <f>Rfi[[#This Row],[Ball In Court]]</f>
        <v>0</v>
      </c>
      <c r="G7" t="str">
        <f>Rfi[[#This Row],[State]]</f>
        <v>Closed</v>
      </c>
    </row>
    <row r="8" spans="1:7" hidden="1" x14ac:dyDescent="0.35">
      <c r="A8" t="str">
        <f>Rfi[[#This Row],[Priority]]</f>
        <v>Medium</v>
      </c>
      <c r="B8">
        <f>Rfi[[#This Row],[Number]]</f>
        <v>7</v>
      </c>
      <c r="C8" t="str">
        <f>Rfi[[#This Row],[Subject]]</f>
        <v>Tie Rods</v>
      </c>
      <c r="D8" s="2">
        <f>Rfi[[#This Row],[Sent]]</f>
        <v>43762</v>
      </c>
      <c r="E8" s="2">
        <f ca="1">TODAY()-Table2[[#This Row],[Date Sent]]</f>
        <v>540</v>
      </c>
      <c r="F8" s="1">
        <f>Rfi[[#This Row],[Ball In Court]]</f>
        <v>0</v>
      </c>
      <c r="G8" t="str">
        <f>Rfi[[#This Row],[State]]</f>
        <v>Closed</v>
      </c>
    </row>
    <row r="9" spans="1:7" hidden="1" x14ac:dyDescent="0.35">
      <c r="A9" t="str">
        <f>Rfi[[#This Row],[Priority]]</f>
        <v>Medium</v>
      </c>
      <c r="B9">
        <f>Rfi[[#This Row],[Number]]</f>
        <v>8</v>
      </c>
      <c r="C9" t="str">
        <f>Rfi[[#This Row],[Subject]]</f>
        <v>Core Elevator &amp; Stairwell Walls</v>
      </c>
      <c r="D9" s="2">
        <f>Rfi[[#This Row],[Sent]]</f>
        <v>43762</v>
      </c>
      <c r="E9" s="2">
        <f ca="1">TODAY()-Table2[[#This Row],[Date Sent]]</f>
        <v>540</v>
      </c>
      <c r="F9" s="1">
        <f>Rfi[[#This Row],[Ball In Court]]</f>
        <v>0</v>
      </c>
      <c r="G9" t="str">
        <f>Rfi[[#This Row],[State]]</f>
        <v>Closed</v>
      </c>
    </row>
    <row r="10" spans="1:7" hidden="1" x14ac:dyDescent="0.35">
      <c r="A10" t="str">
        <f>Rfi[[#This Row],[Priority]]</f>
        <v>Medium</v>
      </c>
      <c r="B10">
        <f>Rfi[[#This Row],[Number]]</f>
        <v>9</v>
      </c>
      <c r="C10" t="str">
        <f>Rfi[[#This Row],[Subject]]</f>
        <v>Discrepancy in Structural &amp; Architectural Pages</v>
      </c>
      <c r="D10" s="2">
        <f>Rfi[[#This Row],[Sent]]</f>
        <v>43762</v>
      </c>
      <c r="E10" s="2">
        <f ca="1">TODAY()-Table2[[#This Row],[Date Sent]]</f>
        <v>540</v>
      </c>
      <c r="F10" s="1">
        <f>Rfi[[#This Row],[Ball In Court]]</f>
        <v>0</v>
      </c>
      <c r="G10" t="str">
        <f>Rfi[[#This Row],[State]]</f>
        <v>Closed</v>
      </c>
    </row>
    <row r="11" spans="1:7" hidden="1" x14ac:dyDescent="0.35">
      <c r="A11" t="str">
        <f>Rfi[[#This Row],[Priority]]</f>
        <v>Medium</v>
      </c>
      <c r="B11">
        <f>Rfi[[#This Row],[Number]]</f>
        <v>10</v>
      </c>
      <c r="C11" t="str">
        <f>Rfi[[#This Row],[Subject]]</f>
        <v>New Details for Jacket Walls</v>
      </c>
      <c r="D11" s="2">
        <f>Rfi[[#This Row],[Sent]]</f>
        <v>43762</v>
      </c>
      <c r="E11" s="2">
        <f ca="1">TODAY()-Table2[[#This Row],[Date Sent]]</f>
        <v>540</v>
      </c>
      <c r="F11" s="1">
        <f>Rfi[[#This Row],[Ball In Court]]</f>
        <v>0</v>
      </c>
      <c r="G11" t="str">
        <f>Rfi[[#This Row],[State]]</f>
        <v>Closed</v>
      </c>
    </row>
    <row r="12" spans="1:7" hidden="1" x14ac:dyDescent="0.35">
      <c r="A12" t="str">
        <f>Rfi[[#This Row],[Priority]]</f>
        <v>Medium</v>
      </c>
      <c r="B12">
        <f>Rfi[[#This Row],[Number]]</f>
        <v>11</v>
      </c>
      <c r="C12" t="str">
        <f>Rfi[[#This Row],[Subject]]</f>
        <v>Micropiles Location</v>
      </c>
      <c r="D12" s="2">
        <f>Rfi[[#This Row],[Sent]]</f>
        <v>43774</v>
      </c>
      <c r="E12" s="2">
        <f ca="1">TODAY()-Table2[[#This Row],[Date Sent]]</f>
        <v>528</v>
      </c>
      <c r="F12" s="1">
        <f>Rfi[[#This Row],[Ball In Court]]</f>
        <v>0</v>
      </c>
      <c r="G12" t="str">
        <f>Rfi[[#This Row],[State]]</f>
        <v>Closed</v>
      </c>
    </row>
    <row r="13" spans="1:7" hidden="1" x14ac:dyDescent="0.35">
      <c r="A13" t="str">
        <f>Rfi[[#This Row],[Priority]]</f>
        <v>Medium</v>
      </c>
      <c r="B13">
        <f>Rfi[[#This Row],[Number]]</f>
        <v>12</v>
      </c>
      <c r="C13" t="str">
        <f>Rfi[[#This Row],[Subject]]</f>
        <v>Underpinning Pier Location</v>
      </c>
      <c r="D13" s="2">
        <f>Rfi[[#This Row],[Sent]]</f>
        <v>43774</v>
      </c>
      <c r="E13" s="2">
        <f ca="1">TODAY()-Table2[[#This Row],[Date Sent]]</f>
        <v>528</v>
      </c>
      <c r="F13" s="1">
        <f>Rfi[[#This Row],[Ball In Court]]</f>
        <v>0</v>
      </c>
      <c r="G13" t="str">
        <f>Rfi[[#This Row],[State]]</f>
        <v>Closed</v>
      </c>
    </row>
    <row r="14" spans="1:7" hidden="1" x14ac:dyDescent="0.35">
      <c r="A14" t="str">
        <f>Rfi[[#This Row],[Priority]]</f>
        <v>Medium</v>
      </c>
      <c r="B14">
        <f>Rfi[[#This Row],[Number]]</f>
        <v>13</v>
      </c>
      <c r="C14" t="str">
        <f>Rfi[[#This Row],[Subject]]</f>
        <v>Compressible Sealant</v>
      </c>
      <c r="D14" s="2">
        <f>Rfi[[#This Row],[Sent]]</f>
        <v>43762</v>
      </c>
      <c r="E14" s="2">
        <f ca="1">TODAY()-Table2[[#This Row],[Date Sent]]</f>
        <v>540</v>
      </c>
      <c r="F14" s="1">
        <f>Rfi[[#This Row],[Ball In Court]]</f>
        <v>0</v>
      </c>
      <c r="G14" t="str">
        <f>Rfi[[#This Row],[State]]</f>
        <v>Closed</v>
      </c>
    </row>
    <row r="15" spans="1:7" hidden="1" x14ac:dyDescent="0.35">
      <c r="A15" t="str">
        <f>Rfi[[#This Row],[Priority]]</f>
        <v>Medium</v>
      </c>
      <c r="B15">
        <f>Rfi[[#This Row],[Number]]</f>
        <v>14</v>
      </c>
      <c r="C15" t="str">
        <f>Rfi[[#This Row],[Subject]]</f>
        <v>Interior Signage Plan</v>
      </c>
      <c r="D15" s="2">
        <f>Rfi[[#This Row],[Sent]]</f>
        <v>43767</v>
      </c>
      <c r="E15" s="2">
        <f ca="1">TODAY()-Table2[[#This Row],[Date Sent]]</f>
        <v>535</v>
      </c>
      <c r="F15" s="1">
        <f>Rfi[[#This Row],[Ball In Court]]</f>
        <v>0</v>
      </c>
      <c r="G15" t="str">
        <f>Rfi[[#This Row],[State]]</f>
        <v>Closed</v>
      </c>
    </row>
    <row r="16" spans="1:7" hidden="1" x14ac:dyDescent="0.35">
      <c r="A16" t="str">
        <f>Rfi[[#This Row],[Priority]]</f>
        <v>Medium</v>
      </c>
      <c r="B16">
        <f>Rfi[[#This Row],[Number]]</f>
        <v>15</v>
      </c>
      <c r="C16" t="str">
        <f>Rfi[[#This Row],[Subject]]</f>
        <v>Rectangular Duct Liner</v>
      </c>
      <c r="D16" s="2">
        <f>Rfi[[#This Row],[Sent]]</f>
        <v>43768</v>
      </c>
      <c r="E16" s="2">
        <f ca="1">TODAY()-Table2[[#This Row],[Date Sent]]</f>
        <v>534</v>
      </c>
      <c r="F16" s="1">
        <f>Rfi[[#This Row],[Ball In Court]]</f>
        <v>0</v>
      </c>
      <c r="G16" t="str">
        <f>Rfi[[#This Row],[State]]</f>
        <v>Closed</v>
      </c>
    </row>
    <row r="17" spans="1:7" hidden="1" x14ac:dyDescent="0.35">
      <c r="A17" t="str">
        <f>Rfi[[#This Row],[Priority]]</f>
        <v>Medium</v>
      </c>
      <c r="B17">
        <f>Rfi[[#This Row],[Number]]</f>
        <v>16</v>
      </c>
      <c r="C17" t="str">
        <f>Rfi[[#This Row],[Subject]]</f>
        <v>Temp. Cooling on Roof</v>
      </c>
      <c r="D17" s="2">
        <f>Rfi[[#This Row],[Sent]]</f>
        <v>43775</v>
      </c>
      <c r="E17" s="2">
        <f ca="1">TODAY()-Table2[[#This Row],[Date Sent]]</f>
        <v>527</v>
      </c>
      <c r="F17" s="1">
        <f>Rfi[[#This Row],[Ball In Court]]</f>
        <v>0</v>
      </c>
      <c r="G17" t="str">
        <f>Rfi[[#This Row],[State]]</f>
        <v>Closed</v>
      </c>
    </row>
    <row r="18" spans="1:7" hidden="1" x14ac:dyDescent="0.35">
      <c r="A18" t="str">
        <f>Rfi[[#This Row],[Priority]]</f>
        <v>Medium</v>
      </c>
      <c r="B18">
        <f>Rfi[[#This Row],[Number]]</f>
        <v>17</v>
      </c>
      <c r="C18" t="str">
        <f>Rfi[[#This Row],[Subject]]</f>
        <v>Placement of Filter Fabric</v>
      </c>
      <c r="D18" s="2">
        <f>Rfi[[#This Row],[Sent]]</f>
        <v>43769</v>
      </c>
      <c r="E18" s="2">
        <f ca="1">TODAY()-Table2[[#This Row],[Date Sent]]</f>
        <v>533</v>
      </c>
      <c r="F18" s="1">
        <f>Rfi[[#This Row],[Ball In Court]]</f>
        <v>0</v>
      </c>
      <c r="G18" t="str">
        <f>Rfi[[#This Row],[State]]</f>
        <v>Closed</v>
      </c>
    </row>
    <row r="19" spans="1:7" hidden="1" x14ac:dyDescent="0.35">
      <c r="A19" t="str">
        <f>Rfi[[#This Row],[Priority]]</f>
        <v>Medium</v>
      </c>
      <c r="B19">
        <f>Rfi[[#This Row],[Number]]</f>
        <v>18</v>
      </c>
      <c r="C19" t="str">
        <f>Rfi[[#This Row],[Subject]]</f>
        <v>Temporary Conditioning Requirements</v>
      </c>
      <c r="D19" s="2">
        <f>Rfi[[#This Row],[Sent]]</f>
        <v>43774</v>
      </c>
      <c r="E19" s="2">
        <f ca="1">TODAY()-Table2[[#This Row],[Date Sent]]</f>
        <v>528</v>
      </c>
      <c r="F19" s="1">
        <f>Rfi[[#This Row],[Ball In Court]]</f>
        <v>0</v>
      </c>
      <c r="G19" t="str">
        <f>Rfi[[#This Row],[State]]</f>
        <v>Closed</v>
      </c>
    </row>
    <row r="20" spans="1:7" hidden="1" x14ac:dyDescent="0.35">
      <c r="A20" t="str">
        <f>Rfi[[#This Row],[Priority]]</f>
        <v>Low</v>
      </c>
      <c r="B20">
        <f>Rfi[[#This Row],[Number]]</f>
        <v>19</v>
      </c>
      <c r="C20" t="str">
        <f>Rfi[[#This Row],[Subject]]</f>
        <v>P503 IS-1 Fixture</v>
      </c>
      <c r="D20" s="2">
        <f>Rfi[[#This Row],[Sent]]</f>
        <v>43804</v>
      </c>
      <c r="E20" s="2">
        <f ca="1">TODAY()-Table2[[#This Row],[Date Sent]]</f>
        <v>498</v>
      </c>
      <c r="F20" s="1">
        <f>Rfi[[#This Row],[Ball In Court]]</f>
        <v>0</v>
      </c>
      <c r="G20" t="str">
        <f>Rfi[[#This Row],[State]]</f>
        <v>Closed</v>
      </c>
    </row>
    <row r="21" spans="1:7" hidden="1" x14ac:dyDescent="0.35">
      <c r="A21" t="str">
        <f>Rfi[[#This Row],[Priority]]</f>
        <v>Medium</v>
      </c>
      <c r="B21">
        <f>Rfi[[#This Row],[Number]]</f>
        <v>20</v>
      </c>
      <c r="C21" t="str">
        <f>Rfi[[#This Row],[Subject]]</f>
        <v>Equipment on Floors</v>
      </c>
      <c r="D21" s="2">
        <f>Rfi[[#This Row],[Sent]]</f>
        <v>43775</v>
      </c>
      <c r="E21" s="2">
        <f ca="1">TODAY()-Table2[[#This Row],[Date Sent]]</f>
        <v>527</v>
      </c>
      <c r="F21" s="1">
        <f>Rfi[[#This Row],[Ball In Court]]</f>
        <v>0</v>
      </c>
      <c r="G21" t="str">
        <f>Rfi[[#This Row],[State]]</f>
        <v>Closed</v>
      </c>
    </row>
    <row r="22" spans="1:7" hidden="1" x14ac:dyDescent="0.35">
      <c r="A22" t="str">
        <f>Rfi[[#This Row],[Priority]]</f>
        <v>Medium</v>
      </c>
      <c r="B22">
        <f>Rfi[[#This Row],[Number]]</f>
        <v>21</v>
      </c>
      <c r="C22" t="str">
        <f>Rfi[[#This Row],[Subject]]</f>
        <v>Room 515 Raised Floor</v>
      </c>
      <c r="D22" s="2">
        <f>Rfi[[#This Row],[Sent]]</f>
        <v>43775</v>
      </c>
      <c r="E22" s="2">
        <f ca="1">TODAY()-Table2[[#This Row],[Date Sent]]</f>
        <v>527</v>
      </c>
      <c r="F22" s="1">
        <f>Rfi[[#This Row],[Ball In Court]]</f>
        <v>0</v>
      </c>
      <c r="G22" t="str">
        <f>Rfi[[#This Row],[State]]</f>
        <v>Closed</v>
      </c>
    </row>
    <row r="23" spans="1:7" hidden="1" x14ac:dyDescent="0.35">
      <c r="A23" t="str">
        <f>Rfi[[#This Row],[Priority]]</f>
        <v>Low</v>
      </c>
      <c r="B23">
        <f>Rfi[[#This Row],[Number]]</f>
        <v>22</v>
      </c>
      <c r="C23" t="str">
        <f>Rfi[[#This Row],[Subject]]</f>
        <v>Decorative Counter Brackets</v>
      </c>
      <c r="D23" s="2">
        <f>Rfi[[#This Row],[Sent]]</f>
        <v>43776</v>
      </c>
      <c r="E23" s="2">
        <f ca="1">TODAY()-Table2[[#This Row],[Date Sent]]</f>
        <v>526</v>
      </c>
      <c r="F23" s="1">
        <f>Rfi[[#This Row],[Ball In Court]]</f>
        <v>0</v>
      </c>
      <c r="G23" t="str">
        <f>Rfi[[#This Row],[State]]</f>
        <v>Closed</v>
      </c>
    </row>
    <row r="24" spans="1:7" hidden="1" x14ac:dyDescent="0.35">
      <c r="A24" t="str">
        <f>Rfi[[#This Row],[Priority]]</f>
        <v>Medium</v>
      </c>
      <c r="B24">
        <f>Rfi[[#This Row],[Number]]</f>
        <v>24</v>
      </c>
      <c r="C24" t="str">
        <f>Rfi[[#This Row],[Subject]]</f>
        <v>Precast notches</v>
      </c>
      <c r="D24" s="2">
        <f>Rfi[[#This Row],[Sent]]</f>
        <v>43782</v>
      </c>
      <c r="E24" s="2">
        <f ca="1">TODAY()-Table2[[#This Row],[Date Sent]]</f>
        <v>520</v>
      </c>
      <c r="F24" s="1">
        <f>Rfi[[#This Row],[Ball In Court]]</f>
        <v>0</v>
      </c>
      <c r="G24" t="str">
        <f>Rfi[[#This Row],[State]]</f>
        <v>Closed</v>
      </c>
    </row>
    <row r="25" spans="1:7" hidden="1" x14ac:dyDescent="0.35">
      <c r="A25" t="str">
        <f>Rfi[[#This Row],[Priority]]</f>
        <v>Low</v>
      </c>
      <c r="B25">
        <f>Rfi[[#This Row],[Number]]</f>
        <v>25</v>
      </c>
      <c r="C25" t="str">
        <f>Rfi[[#This Row],[Subject]]</f>
        <v>Shelves in Storage Rooms</v>
      </c>
      <c r="D25" s="2">
        <f>Rfi[[#This Row],[Sent]]</f>
        <v>43787</v>
      </c>
      <c r="E25" s="2">
        <f ca="1">TODAY()-Table2[[#This Row],[Date Sent]]</f>
        <v>515</v>
      </c>
      <c r="F25" s="1">
        <f>Rfi[[#This Row],[Ball In Court]]</f>
        <v>0</v>
      </c>
      <c r="G25" t="str">
        <f>Rfi[[#This Row],[State]]</f>
        <v>Closed</v>
      </c>
    </row>
    <row r="26" spans="1:7" hidden="1" x14ac:dyDescent="0.35">
      <c r="A26" t="str">
        <f>Rfi[[#This Row],[Priority]]</f>
        <v>Medium</v>
      </c>
      <c r="B26">
        <f>Rfi[[#This Row],[Number]]</f>
        <v>26</v>
      </c>
      <c r="C26" t="str">
        <f>Rfi[[#This Row],[Subject]]</f>
        <v>Contouring Floor Support</v>
      </c>
      <c r="D26" s="2">
        <f>Rfi[[#This Row],[Sent]]</f>
        <v>43788</v>
      </c>
      <c r="E26" s="2">
        <f ca="1">TODAY()-Table2[[#This Row],[Date Sent]]</f>
        <v>514</v>
      </c>
      <c r="F26" s="1">
        <f>Rfi[[#This Row],[Ball In Court]]</f>
        <v>0</v>
      </c>
      <c r="G26" t="str">
        <f>Rfi[[#This Row],[State]]</f>
        <v>Closed</v>
      </c>
    </row>
    <row r="27" spans="1:7" hidden="1" x14ac:dyDescent="0.35">
      <c r="A27" t="str">
        <f>Rfi[[#This Row],[Priority]]</f>
        <v>Medium</v>
      </c>
      <c r="B27">
        <f>Rfi[[#This Row],[Number]]</f>
        <v>27</v>
      </c>
      <c r="C27" t="str">
        <f>Rfi[[#This Row],[Subject]]</f>
        <v>Fire Alarm System, Door Holder release</v>
      </c>
      <c r="D27" s="2">
        <f>Rfi[[#This Row],[Sent]]</f>
        <v>43788</v>
      </c>
      <c r="E27" s="2">
        <f ca="1">TODAY()-Table2[[#This Row],[Date Sent]]</f>
        <v>514</v>
      </c>
      <c r="F27" s="1">
        <f>Rfi[[#This Row],[Ball In Court]]</f>
        <v>0</v>
      </c>
      <c r="G27" t="str">
        <f>Rfi[[#This Row],[State]]</f>
        <v>Closed</v>
      </c>
    </row>
    <row r="28" spans="1:7" hidden="1" x14ac:dyDescent="0.35">
      <c r="A28" t="str">
        <f>Rfi[[#This Row],[Priority]]</f>
        <v>Medium</v>
      </c>
      <c r="B28">
        <f>Rfi[[#This Row],[Number]]</f>
        <v>28</v>
      </c>
      <c r="C28" t="str">
        <f>Rfi[[#This Row],[Subject]]</f>
        <v>Assembly Room Floor Finish</v>
      </c>
      <c r="D28" s="2">
        <f>Rfi[[#This Row],[Sent]]</f>
        <v>43789</v>
      </c>
      <c r="E28" s="2">
        <f ca="1">TODAY()-Table2[[#This Row],[Date Sent]]</f>
        <v>513</v>
      </c>
      <c r="F28" s="1">
        <f>Rfi[[#This Row],[Ball In Court]]</f>
        <v>0</v>
      </c>
      <c r="G28" t="str">
        <f>Rfi[[#This Row],[State]]</f>
        <v>Closed</v>
      </c>
    </row>
    <row r="29" spans="1:7" hidden="1" x14ac:dyDescent="0.35">
      <c r="A29" t="str">
        <f>Rfi[[#This Row],[Priority]]</f>
        <v>Medium</v>
      </c>
      <c r="B29">
        <f>Rfi[[#This Row],[Number]]</f>
        <v>29</v>
      </c>
      <c r="C29" t="str">
        <f>Rfi[[#This Row],[Subject]]</f>
        <v>Engineered Metal Stud Shop Drawings</v>
      </c>
      <c r="D29" s="2">
        <f>Rfi[[#This Row],[Sent]]</f>
        <v>43790</v>
      </c>
      <c r="E29" s="2">
        <f ca="1">TODAY()-Table2[[#This Row],[Date Sent]]</f>
        <v>512</v>
      </c>
      <c r="F29" s="1">
        <f>Rfi[[#This Row],[Ball In Court]]</f>
        <v>0</v>
      </c>
      <c r="G29" t="str">
        <f>Rfi[[#This Row],[State]]</f>
        <v>Closed</v>
      </c>
    </row>
    <row r="30" spans="1:7" hidden="1" x14ac:dyDescent="0.35">
      <c r="A30" t="str">
        <f>Rfi[[#This Row],[Priority]]</f>
        <v>Low</v>
      </c>
      <c r="B30">
        <f>Rfi[[#This Row],[Number]]</f>
        <v>30</v>
      </c>
      <c r="C30" t="str">
        <f>Rfi[[#This Row],[Subject]]</f>
        <v>Epoxy Coated Cast Iron Pipe</v>
      </c>
      <c r="D30" s="2">
        <f>Rfi[[#This Row],[Sent]]</f>
        <v>43796</v>
      </c>
      <c r="E30" s="2">
        <f ca="1">TODAY()-Table2[[#This Row],[Date Sent]]</f>
        <v>506</v>
      </c>
      <c r="F30" s="1">
        <f>Rfi[[#This Row],[Ball In Court]]</f>
        <v>0</v>
      </c>
      <c r="G30" t="str">
        <f>Rfi[[#This Row],[State]]</f>
        <v>Closed</v>
      </c>
    </row>
    <row r="31" spans="1:7" hidden="1" x14ac:dyDescent="0.35">
      <c r="A31" t="str">
        <f>Rfi[[#This Row],[Priority]]</f>
        <v>Medium</v>
      </c>
      <c r="B31">
        <f>Rfi[[#This Row],[Number]]</f>
        <v>31</v>
      </c>
      <c r="C31" t="str">
        <f>Rfi[[#This Row],[Subject]]</f>
        <v>Precast base elevation</v>
      </c>
      <c r="D31" s="2">
        <f>Rfi[[#This Row],[Sent]]</f>
        <v>43802</v>
      </c>
      <c r="E31" s="2">
        <f ca="1">TODAY()-Table2[[#This Row],[Date Sent]]</f>
        <v>500</v>
      </c>
      <c r="F31" s="1">
        <f>Rfi[[#This Row],[Ball In Court]]</f>
        <v>0</v>
      </c>
      <c r="G31" t="str">
        <f>Rfi[[#This Row],[State]]</f>
        <v>Closed</v>
      </c>
    </row>
    <row r="32" spans="1:7" hidden="1" x14ac:dyDescent="0.35">
      <c r="A32" t="str">
        <f>Rfi[[#This Row],[Priority]]</f>
        <v>Medium</v>
      </c>
      <c r="B32">
        <f>Rfi[[#This Row],[Number]]</f>
        <v>32</v>
      </c>
      <c r="C32" t="str">
        <f>Rfi[[#This Row],[Subject]]</f>
        <v>Level 0.5 Room to be Demolished</v>
      </c>
      <c r="D32" s="2">
        <f>Rfi[[#This Row],[Sent]]</f>
        <v>43805</v>
      </c>
      <c r="E32" s="2">
        <f ca="1">TODAY()-Table2[[#This Row],[Date Sent]]</f>
        <v>497</v>
      </c>
      <c r="F32" s="1">
        <f>Rfi[[#This Row],[Ball In Court]]</f>
        <v>0</v>
      </c>
      <c r="G32" t="str">
        <f>Rfi[[#This Row],[State]]</f>
        <v>Closed</v>
      </c>
    </row>
    <row r="33" spans="1:7" hidden="1" x14ac:dyDescent="0.35">
      <c r="A33" t="str">
        <f>Rfi[[#This Row],[Priority]]</f>
        <v>Medium</v>
      </c>
      <c r="B33">
        <f>Rfi[[#This Row],[Number]]</f>
        <v>33</v>
      </c>
      <c r="C33" t="str">
        <f>Rfi[[#This Row],[Subject]]</f>
        <v>Elevation 100</v>
      </c>
      <c r="D33" s="2">
        <f>Rfi[[#This Row],[Sent]]</f>
        <v>43805</v>
      </c>
      <c r="E33" s="2">
        <f ca="1">TODAY()-Table2[[#This Row],[Date Sent]]</f>
        <v>497</v>
      </c>
      <c r="F33" s="1">
        <f>Rfi[[#This Row],[Ball In Court]]</f>
        <v>0</v>
      </c>
      <c r="G33" t="str">
        <f>Rfi[[#This Row],[State]]</f>
        <v>Closed</v>
      </c>
    </row>
    <row r="34" spans="1:7" hidden="1" x14ac:dyDescent="0.35">
      <c r="A34" t="str">
        <f>Rfi[[#This Row],[Priority]]</f>
        <v>Medium</v>
      </c>
      <c r="B34">
        <f>Rfi[[#This Row],[Number]]</f>
        <v>34</v>
      </c>
      <c r="C34" t="str">
        <f>Rfi[[#This Row],[Subject]]</f>
        <v>Micropile Layout</v>
      </c>
      <c r="D34" s="2">
        <f>Rfi[[#This Row],[Sent]]</f>
        <v>43805</v>
      </c>
      <c r="E34" s="2">
        <f ca="1">TODAY()-Table2[[#This Row],[Date Sent]]</f>
        <v>497</v>
      </c>
      <c r="F34" s="1">
        <f>Rfi[[#This Row],[Ball In Court]]</f>
        <v>0</v>
      </c>
      <c r="G34" t="str">
        <f>Rfi[[#This Row],[State]]</f>
        <v>Closed</v>
      </c>
    </row>
    <row r="35" spans="1:7" hidden="1" x14ac:dyDescent="0.35">
      <c r="A35" t="str">
        <f>Rfi[[#This Row],[Priority]]</f>
        <v>Medium</v>
      </c>
      <c r="B35">
        <f>Rfi[[#This Row],[Number]]</f>
        <v>35</v>
      </c>
      <c r="C35" t="str">
        <f>Rfi[[#This Row],[Subject]]</f>
        <v>Micropile Location</v>
      </c>
      <c r="D35" s="2">
        <f>Rfi[[#This Row],[Sent]]</f>
        <v>43805</v>
      </c>
      <c r="E35" s="2">
        <f ca="1">TODAY()-Table2[[#This Row],[Date Sent]]</f>
        <v>497</v>
      </c>
      <c r="F35" s="1">
        <f>Rfi[[#This Row],[Ball In Court]]</f>
        <v>0</v>
      </c>
      <c r="G35" t="str">
        <f>Rfi[[#This Row],[State]]</f>
        <v>Closed</v>
      </c>
    </row>
    <row r="36" spans="1:7" hidden="1" x14ac:dyDescent="0.35">
      <c r="A36" t="str">
        <f>Rfi[[#This Row],[Priority]]</f>
        <v>Medium</v>
      </c>
      <c r="B36">
        <f>Rfi[[#This Row],[Number]]</f>
        <v>36</v>
      </c>
      <c r="C36" t="str">
        <f>Rfi[[#This Row],[Subject]]</f>
        <v>MIcropile All-Thread Bar Corrosion Protection</v>
      </c>
      <c r="D36" s="2">
        <f>Rfi[[#This Row],[Sent]]</f>
        <v>43805</v>
      </c>
      <c r="E36" s="2">
        <f ca="1">TODAY()-Table2[[#This Row],[Date Sent]]</f>
        <v>497</v>
      </c>
      <c r="F36" s="1">
        <f>Rfi[[#This Row],[Ball In Court]]</f>
        <v>0</v>
      </c>
      <c r="G36" t="str">
        <f>Rfi[[#This Row],[State]]</f>
        <v>Closed</v>
      </c>
    </row>
    <row r="37" spans="1:7" hidden="1" x14ac:dyDescent="0.35">
      <c r="A37" t="str">
        <f>Rfi[[#This Row],[Priority]]</f>
        <v>Medium</v>
      </c>
      <c r="B37">
        <f>Rfi[[#This Row],[Number]]</f>
        <v>37</v>
      </c>
      <c r="C37" t="str">
        <f>Rfi[[#This Row],[Subject]]</f>
        <v>Micropile Drill Pad Elevation</v>
      </c>
      <c r="D37" s="2">
        <f>Rfi[[#This Row],[Sent]]</f>
        <v>43805</v>
      </c>
      <c r="E37" s="2">
        <f ca="1">TODAY()-Table2[[#This Row],[Date Sent]]</f>
        <v>497</v>
      </c>
      <c r="F37" s="1">
        <f>Rfi[[#This Row],[Ball In Court]]</f>
        <v>0</v>
      </c>
      <c r="G37" t="str">
        <f>Rfi[[#This Row],[State]]</f>
        <v>Closed</v>
      </c>
    </row>
    <row r="38" spans="1:7" hidden="1" x14ac:dyDescent="0.35">
      <c r="A38" t="str">
        <f>Rfi[[#This Row],[Priority]]</f>
        <v>Medium</v>
      </c>
      <c r="B38">
        <f>Rfi[[#This Row],[Number]]</f>
        <v>38</v>
      </c>
      <c r="C38" t="str">
        <f>Rfi[[#This Row],[Subject]]</f>
        <v>Sump Pumps under Historic</v>
      </c>
      <c r="D38" s="2">
        <f>Rfi[[#This Row],[Sent]]</f>
        <v>43808</v>
      </c>
      <c r="E38" s="2">
        <f ca="1">TODAY()-Table2[[#This Row],[Date Sent]]</f>
        <v>494</v>
      </c>
      <c r="F38" s="1">
        <f>Rfi[[#This Row],[Ball In Court]]</f>
        <v>0</v>
      </c>
      <c r="G38" t="str">
        <f>Rfi[[#This Row],[State]]</f>
        <v>Closed</v>
      </c>
    </row>
    <row r="39" spans="1:7" hidden="1" x14ac:dyDescent="0.35">
      <c r="A39" t="str">
        <f>Rfi[[#This Row],[Priority]]</f>
        <v>Medium</v>
      </c>
      <c r="B39">
        <f>Rfi[[#This Row],[Number]]</f>
        <v>39</v>
      </c>
      <c r="C39" t="str">
        <f>Rfi[[#This Row],[Subject]]</f>
        <v>Beam Penetrations</v>
      </c>
      <c r="D39" s="2">
        <f>Rfi[[#This Row],[Sent]]</f>
        <v>43809</v>
      </c>
      <c r="E39" s="2">
        <f ca="1">TODAY()-Table2[[#This Row],[Date Sent]]</f>
        <v>493</v>
      </c>
      <c r="F39" s="1">
        <f>Rfi[[#This Row],[Ball In Court]]</f>
        <v>0</v>
      </c>
      <c r="G39" t="str">
        <f>Rfi[[#This Row],[State]]</f>
        <v>Closed</v>
      </c>
    </row>
    <row r="40" spans="1:7" hidden="1" x14ac:dyDescent="0.35">
      <c r="A40" t="str">
        <f>Rfi[[#This Row],[Priority]]</f>
        <v>High</v>
      </c>
      <c r="B40">
        <f>Rfi[[#This Row],[Number]]</f>
        <v>40</v>
      </c>
      <c r="C40" t="str">
        <f>Rfi[[#This Row],[Subject]]</f>
        <v>Offsite Storm MH 29 (Sheet C.4) Location does not match CCD</v>
      </c>
      <c r="D40" s="2">
        <f>Rfi[[#This Row],[Sent]]</f>
        <v>43809</v>
      </c>
      <c r="E40" s="2">
        <f ca="1">TODAY()-Table2[[#This Row],[Date Sent]]</f>
        <v>493</v>
      </c>
      <c r="F40" s="1">
        <f>Rfi[[#This Row],[Ball In Court]]</f>
        <v>0</v>
      </c>
      <c r="G40" t="str">
        <f>Rfi[[#This Row],[State]]</f>
        <v>Closed</v>
      </c>
    </row>
    <row r="41" spans="1:7" hidden="1" x14ac:dyDescent="0.35">
      <c r="A41" t="str">
        <f>Rfi[[#This Row],[Priority]]</f>
        <v>Medium</v>
      </c>
      <c r="B41">
        <f>Rfi[[#This Row],[Number]]</f>
        <v>41</v>
      </c>
      <c r="C41" t="str">
        <f>Rfi[[#This Row],[Subject]]</f>
        <v>Domestic Water Piping System - Joining Method</v>
      </c>
      <c r="D41" s="2">
        <f>Rfi[[#This Row],[Sent]]</f>
        <v>43809</v>
      </c>
      <c r="E41" s="2">
        <f ca="1">TODAY()-Table2[[#This Row],[Date Sent]]</f>
        <v>493</v>
      </c>
      <c r="F41" s="1">
        <f>Rfi[[#This Row],[Ball In Court]]</f>
        <v>0</v>
      </c>
      <c r="G41" t="str">
        <f>Rfi[[#This Row],[State]]</f>
        <v>Closed</v>
      </c>
    </row>
    <row r="42" spans="1:7" hidden="1" x14ac:dyDescent="0.35">
      <c r="A42" t="str">
        <f>Rfi[[#This Row],[Priority]]</f>
        <v>Medium</v>
      </c>
      <c r="B42">
        <f>Rfi[[#This Row],[Number]]</f>
        <v>42</v>
      </c>
      <c r="C42" t="str">
        <f>Rfi[[#This Row],[Subject]]</f>
        <v>Fire Smoke Damper Clarification</v>
      </c>
      <c r="D42" s="2">
        <f>Rfi[[#This Row],[Sent]]</f>
        <v>43812</v>
      </c>
      <c r="E42" s="2">
        <f ca="1">TODAY()-Table2[[#This Row],[Date Sent]]</f>
        <v>490</v>
      </c>
      <c r="F42" s="1">
        <f>Rfi[[#This Row],[Ball In Court]]</f>
        <v>0</v>
      </c>
      <c r="G42" t="str">
        <f>Rfi[[#This Row],[State]]</f>
        <v>Closed</v>
      </c>
    </row>
    <row r="43" spans="1:7" hidden="1" x14ac:dyDescent="0.35">
      <c r="A43" t="str">
        <f>Rfi[[#This Row],[Priority]]</f>
        <v>Medium</v>
      </c>
      <c r="B43">
        <f>Rfi[[#This Row],[Number]]</f>
        <v>43</v>
      </c>
      <c r="C43" t="str">
        <f>Rfi[[#This Row],[Subject]]</f>
        <v>EF-0-03 &amp; PVC Duct - Dimensions and Elevations</v>
      </c>
      <c r="D43" s="2">
        <f>Rfi[[#This Row],[Sent]]</f>
        <v>43812</v>
      </c>
      <c r="E43" s="2">
        <f ca="1">TODAY()-Table2[[#This Row],[Date Sent]]</f>
        <v>490</v>
      </c>
      <c r="F43" s="1">
        <f>Rfi[[#This Row],[Ball In Court]]</f>
        <v>0</v>
      </c>
      <c r="G43" t="str">
        <f>Rfi[[#This Row],[State]]</f>
        <v>Closed</v>
      </c>
    </row>
    <row r="44" spans="1:7" hidden="1" x14ac:dyDescent="0.35">
      <c r="A44" t="str">
        <f>Rfi[[#This Row],[Priority]]</f>
        <v>Medium</v>
      </c>
      <c r="B44">
        <f>Rfi[[#This Row],[Number]]</f>
        <v>44</v>
      </c>
      <c r="C44" t="str">
        <f>Rfi[[#This Row],[Subject]]</f>
        <v>Another Fire Smoke Damper Clarification</v>
      </c>
      <c r="D44" s="2">
        <f>Rfi[[#This Row],[Sent]]</f>
        <v>43812</v>
      </c>
      <c r="E44" s="2">
        <f ca="1">TODAY()-Table2[[#This Row],[Date Sent]]</f>
        <v>490</v>
      </c>
      <c r="F44" s="1">
        <f>Rfi[[#This Row],[Ball In Court]]</f>
        <v>0</v>
      </c>
      <c r="G44" t="str">
        <f>Rfi[[#This Row],[State]]</f>
        <v>Closed</v>
      </c>
    </row>
    <row r="45" spans="1:7" hidden="1" x14ac:dyDescent="0.35">
      <c r="A45" t="str">
        <f>Rfi[[#This Row],[Priority]]</f>
        <v>Medium</v>
      </c>
      <c r="B45">
        <f>Rfi[[#This Row],[Number]]</f>
        <v>45</v>
      </c>
      <c r="C45" t="str">
        <f>Rfi[[#This Row],[Subject]]</f>
        <v>RM 064 Supply Grilles</v>
      </c>
      <c r="D45" s="2">
        <f>Rfi[[#This Row],[Sent]]</f>
        <v>43812</v>
      </c>
      <c r="E45" s="2">
        <f ca="1">TODAY()-Table2[[#This Row],[Date Sent]]</f>
        <v>490</v>
      </c>
      <c r="F45" s="1">
        <f>Rfi[[#This Row],[Ball In Court]]</f>
        <v>0</v>
      </c>
      <c r="G45" t="str">
        <f>Rfi[[#This Row],[State]]</f>
        <v>Closed</v>
      </c>
    </row>
    <row r="46" spans="1:7" hidden="1" x14ac:dyDescent="0.35">
      <c r="A46" t="str">
        <f>Rfi[[#This Row],[Priority]]</f>
        <v>Medium</v>
      </c>
      <c r="B46">
        <f>Rfi[[#This Row],[Number]]</f>
        <v>46</v>
      </c>
      <c r="C46" t="str">
        <f>Rfi[[#This Row],[Subject]]</f>
        <v>Intake Hood IH-3 Clarification</v>
      </c>
      <c r="D46" s="2">
        <f>Rfi[[#This Row],[Sent]]</f>
        <v>43833</v>
      </c>
      <c r="E46" s="2">
        <f ca="1">TODAY()-Table2[[#This Row],[Date Sent]]</f>
        <v>469</v>
      </c>
      <c r="F46" s="1">
        <f>Rfi[[#This Row],[Ball In Court]]</f>
        <v>0</v>
      </c>
      <c r="G46" t="str">
        <f>Rfi[[#This Row],[State]]</f>
        <v>Closed</v>
      </c>
    </row>
    <row r="47" spans="1:7" hidden="1" x14ac:dyDescent="0.35">
      <c r="A47" t="str">
        <f>Rfi[[#This Row],[Priority]]</f>
        <v>Medium</v>
      </c>
      <c r="B47">
        <f>Rfi[[#This Row],[Number]]</f>
        <v>47</v>
      </c>
      <c r="C47" t="str">
        <f>Rfi[[#This Row],[Subject]]</f>
        <v>SRW-1 Grille Schedule</v>
      </c>
      <c r="D47" s="2">
        <f>Rfi[[#This Row],[Sent]]</f>
        <v>43812</v>
      </c>
      <c r="E47" s="2">
        <f ca="1">TODAY()-Table2[[#This Row],[Date Sent]]</f>
        <v>490</v>
      </c>
      <c r="F47" s="1">
        <f>Rfi[[#This Row],[Ball In Court]]</f>
        <v>0</v>
      </c>
      <c r="G47" t="str">
        <f>Rfi[[#This Row],[State]]</f>
        <v>Closed</v>
      </c>
    </row>
    <row r="48" spans="1:7" hidden="1" x14ac:dyDescent="0.35">
      <c r="A48" t="str">
        <f>Rfi[[#This Row],[Priority]]</f>
        <v>Medium</v>
      </c>
      <c r="B48">
        <f>Rfi[[#This Row],[Number]]</f>
        <v>48</v>
      </c>
      <c r="C48" t="str">
        <f>Rfi[[#This Row],[Subject]]</f>
        <v>AHU-3 Fan HP Change</v>
      </c>
      <c r="D48" s="2">
        <f>Rfi[[#This Row],[Sent]]</f>
        <v>43812</v>
      </c>
      <c r="E48" s="2">
        <f ca="1">TODAY()-Table2[[#This Row],[Date Sent]]</f>
        <v>490</v>
      </c>
      <c r="F48" s="1">
        <f>Rfi[[#This Row],[Ball In Court]]</f>
        <v>0</v>
      </c>
      <c r="G48" t="str">
        <f>Rfi[[#This Row],[State]]</f>
        <v>Closed</v>
      </c>
    </row>
    <row r="49" spans="1:9" hidden="1" x14ac:dyDescent="0.35">
      <c r="A49" t="str">
        <f>Rfi[[#This Row],[Priority]]</f>
        <v>Medium</v>
      </c>
      <c r="B49">
        <f>Rfi[[#This Row],[Number]]</f>
        <v>49</v>
      </c>
      <c r="C49" t="str">
        <f>Rfi[[#This Row],[Subject]]</f>
        <v>Branch Circuit Conduit Paths</v>
      </c>
      <c r="D49" s="2">
        <f>Rfi[[#This Row],[Sent]]</f>
        <v>43833</v>
      </c>
      <c r="E49" s="2">
        <f ca="1">TODAY()-Table2[[#This Row],[Date Sent]]</f>
        <v>469</v>
      </c>
      <c r="F49" s="1">
        <f>Rfi[[#This Row],[Ball In Court]]</f>
        <v>0</v>
      </c>
      <c r="G49" t="str">
        <f>Rfi[[#This Row],[State]]</f>
        <v>Closed</v>
      </c>
    </row>
    <row r="50" spans="1:9" hidden="1" x14ac:dyDescent="0.35">
      <c r="A50" t="str">
        <f>Rfi[[#This Row],[Priority]]</f>
        <v>Medium</v>
      </c>
      <c r="B50">
        <f>Rfi[[#This Row],[Number]]</f>
        <v>50</v>
      </c>
      <c r="C50" t="str">
        <f>Rfi[[#This Row],[Subject]]</f>
        <v>Wood Flooring Thickness</v>
      </c>
      <c r="D50" s="2">
        <f>Rfi[[#This Row],[Sent]]</f>
        <v>43812</v>
      </c>
      <c r="E50" s="2">
        <f ca="1">TODAY()-Table2[[#This Row],[Date Sent]]</f>
        <v>490</v>
      </c>
      <c r="F50" s="1">
        <f>Rfi[[#This Row],[Ball In Court]]</f>
        <v>0</v>
      </c>
      <c r="G50" t="str">
        <f>Rfi[[#This Row],[State]]</f>
        <v>Closed</v>
      </c>
    </row>
    <row r="51" spans="1:9" hidden="1" x14ac:dyDescent="0.35">
      <c r="A51" t="str">
        <f>Rfi[[#This Row],[Priority]]</f>
        <v>Medium</v>
      </c>
      <c r="B51">
        <f>Rfi[[#This Row],[Number]]</f>
        <v>51</v>
      </c>
      <c r="C51" t="str">
        <f>Rfi[[#This Row],[Subject]]</f>
        <v>Stair 3 Elevations</v>
      </c>
      <c r="D51" s="2">
        <f>Rfi[[#This Row],[Sent]]</f>
        <v>43812</v>
      </c>
      <c r="E51" s="2">
        <f ca="1">TODAY()-Table2[[#This Row],[Date Sent]]</f>
        <v>490</v>
      </c>
      <c r="F51" s="1">
        <f>Rfi[[#This Row],[Ball In Court]]</f>
        <v>0</v>
      </c>
      <c r="G51" t="str">
        <f>Rfi[[#This Row],[State]]</f>
        <v>Closed</v>
      </c>
    </row>
    <row r="52" spans="1:9" hidden="1" x14ac:dyDescent="0.35">
      <c r="A52" t="str">
        <f>Rfi[[#This Row],[Priority]]</f>
        <v>Medium</v>
      </c>
      <c r="B52">
        <f>Rfi[[#This Row],[Number]]</f>
        <v>52</v>
      </c>
      <c r="C52" t="str">
        <f>Rfi[[#This Row],[Subject]]</f>
        <v>Stair 3 Level 2 to Mid Landing</v>
      </c>
      <c r="D52" s="2">
        <f>Rfi[[#This Row],[Sent]]</f>
        <v>43812</v>
      </c>
      <c r="E52" s="2">
        <f ca="1">TODAY()-Table2[[#This Row],[Date Sent]]</f>
        <v>490</v>
      </c>
      <c r="F52" s="1">
        <f>Rfi[[#This Row],[Ball In Court]]</f>
        <v>0</v>
      </c>
      <c r="G52" t="str">
        <f>Rfi[[#This Row],[State]]</f>
        <v>Closed</v>
      </c>
    </row>
    <row r="53" spans="1:9" hidden="1" x14ac:dyDescent="0.35">
      <c r="A53" t="str">
        <f>Rfi[[#This Row],[Priority]]</f>
        <v>Medium</v>
      </c>
      <c r="B53">
        <f>Rfi[[#This Row],[Number]]</f>
        <v>53</v>
      </c>
      <c r="C53" t="str">
        <f>Rfi[[#This Row],[Subject]]</f>
        <v>RM 043 Supply Air Duct</v>
      </c>
      <c r="D53" s="2">
        <f>Rfi[[#This Row],[Sent]]</f>
        <v>43812</v>
      </c>
      <c r="E53" s="2">
        <f ca="1">TODAY()-Table2[[#This Row],[Date Sent]]</f>
        <v>490</v>
      </c>
      <c r="F53" s="1">
        <f>Rfi[[#This Row],[Ball In Court]]</f>
        <v>0</v>
      </c>
      <c r="G53" t="str">
        <f>Rfi[[#This Row],[State]]</f>
        <v>Closed</v>
      </c>
    </row>
    <row r="54" spans="1:9" hidden="1" x14ac:dyDescent="0.35">
      <c r="A54" t="str">
        <f>Rfi[[#This Row],[Priority]]</f>
        <v>Medium</v>
      </c>
      <c r="B54">
        <f>Rfi[[#This Row],[Number]]</f>
        <v>54</v>
      </c>
      <c r="C54" t="str">
        <f>Rfi[[#This Row],[Subject]]</f>
        <v>Wall Type 55 - WP 1570</v>
      </c>
      <c r="D54" s="2">
        <f>Rfi[[#This Row],[Sent]]</f>
        <v>43812</v>
      </c>
      <c r="E54" s="2">
        <f ca="1">TODAY()-Table2[[#This Row],[Date Sent]]</f>
        <v>490</v>
      </c>
      <c r="F54" s="1">
        <f>Rfi[[#This Row],[Ball In Court]]</f>
        <v>0</v>
      </c>
      <c r="G54" t="str">
        <f>Rfi[[#This Row],[State]]</f>
        <v>Closed</v>
      </c>
    </row>
    <row r="55" spans="1:9" hidden="1" x14ac:dyDescent="0.35">
      <c r="A55" t="str">
        <f>Rfi[[#This Row],[Priority]]</f>
        <v>Medium</v>
      </c>
      <c r="B55">
        <f>Rfi[[#This Row],[Number]]</f>
        <v>55</v>
      </c>
      <c r="C55" t="str">
        <f>Rfi[[#This Row],[Subject]]</f>
        <v>Wall Types - GA file assemblies - Proprietary</v>
      </c>
      <c r="D55" s="2">
        <f>Rfi[[#This Row],[Sent]]</f>
        <v>43812</v>
      </c>
      <c r="E55" s="2">
        <f ca="1">TODAY()-Table2[[#This Row],[Date Sent]]</f>
        <v>490</v>
      </c>
      <c r="F55" s="1">
        <f>Rfi[[#This Row],[Ball In Court]]</f>
        <v>0</v>
      </c>
      <c r="G55" t="str">
        <f>Rfi[[#This Row],[State]]</f>
        <v>Closed</v>
      </c>
    </row>
    <row r="56" spans="1:9" hidden="1" x14ac:dyDescent="0.35">
      <c r="A56" t="str">
        <f>Rfi[[#This Row],[Priority]]</f>
        <v>Medium</v>
      </c>
      <c r="B56">
        <f>Rfi[[#This Row],[Number]]</f>
        <v>56</v>
      </c>
      <c r="C56" t="str">
        <f>Rfi[[#This Row],[Subject]]</f>
        <v>Spec 321413.2.1 Questions</v>
      </c>
      <c r="D56" s="2">
        <f>Rfi[[#This Row],[Sent]]</f>
        <v>43815</v>
      </c>
      <c r="E56" s="2">
        <f ca="1">TODAY()-Table2[[#This Row],[Date Sent]]</f>
        <v>487</v>
      </c>
      <c r="F56" s="1">
        <f>Rfi[[#This Row],[Ball In Court]]</f>
        <v>0</v>
      </c>
      <c r="G56" t="str">
        <f>Rfi[[#This Row],[State]]</f>
        <v>Closed</v>
      </c>
    </row>
    <row r="57" spans="1:9" hidden="1" x14ac:dyDescent="0.35">
      <c r="A57" t="str">
        <f>Rfi[[#This Row],[Priority]]</f>
        <v>Medium</v>
      </c>
      <c r="B57">
        <f>Rfi[[#This Row],[Number]]</f>
        <v>57</v>
      </c>
      <c r="C57" t="str">
        <f>Rfi[[#This Row],[Subject]]</f>
        <v>Open Pit 034 Louvers</v>
      </c>
      <c r="D57" s="2">
        <f>Rfi[[#This Row],[Sent]]</f>
        <v>43815</v>
      </c>
      <c r="E57" s="2">
        <f ca="1">TODAY()-Table2[[#This Row],[Date Sent]]</f>
        <v>487</v>
      </c>
      <c r="F57" s="1">
        <f>Rfi[[#This Row],[Ball In Court]]</f>
        <v>0</v>
      </c>
      <c r="G57" t="str">
        <f>Rfi[[#This Row],[State]]</f>
        <v>Closed</v>
      </c>
    </row>
    <row r="58" spans="1:9" hidden="1" x14ac:dyDescent="0.35">
      <c r="A58" t="str">
        <f>Rfi[[#This Row],[Priority]]</f>
        <v>Medium</v>
      </c>
      <c r="B58">
        <f>Rfi[[#This Row],[Number]]</f>
        <v>58</v>
      </c>
      <c r="C58" t="str">
        <f>Rfi[[#This Row],[Subject]]</f>
        <v>FSDs Locations at Stair Towers</v>
      </c>
      <c r="D58" s="2">
        <f>Rfi[[#This Row],[Sent]]</f>
        <v>43815</v>
      </c>
      <c r="E58" s="2">
        <f ca="1">TODAY()-Table2[[#This Row],[Date Sent]]</f>
        <v>487</v>
      </c>
      <c r="F58" s="1">
        <f>Rfi[[#This Row],[Ball In Court]]</f>
        <v>0</v>
      </c>
      <c r="G58" t="str">
        <f>Rfi[[#This Row],[State]]</f>
        <v>Closed</v>
      </c>
    </row>
    <row r="59" spans="1:9" hidden="1" x14ac:dyDescent="0.35">
      <c r="A59" t="str">
        <f>Rfi[[#This Row],[Priority]]</f>
        <v>Low</v>
      </c>
      <c r="B59">
        <f>Rfi[[#This Row],[Number]]</f>
        <v>59</v>
      </c>
      <c r="C59" t="str">
        <f>Rfi[[#This Row],[Subject]]</f>
        <v>Circuits on Chandelier Hoists</v>
      </c>
      <c r="D59" s="2">
        <f>Rfi[[#This Row],[Sent]]</f>
        <v>43818</v>
      </c>
      <c r="E59" s="2">
        <f ca="1">TODAY()-Table2[[#This Row],[Date Sent]]</f>
        <v>484</v>
      </c>
      <c r="F59" s="1">
        <f>Rfi[[#This Row],[Ball In Court]]</f>
        <v>0</v>
      </c>
      <c r="G59" t="str">
        <f>Rfi[[#This Row],[State]]</f>
        <v>Closed</v>
      </c>
    </row>
    <row r="60" spans="1:9" hidden="1" x14ac:dyDescent="0.35">
      <c r="A60" t="str">
        <f>Rfi[[#This Row],[Priority]]</f>
        <v>Medium</v>
      </c>
      <c r="B60">
        <f>Rfi[[#This Row],[Number]]</f>
        <v>60</v>
      </c>
      <c r="C60" t="str">
        <f>Rfi[[#This Row],[Subject]]</f>
        <v>Roof Drains in Spiral Stair Case</v>
      </c>
      <c r="D60" s="2">
        <f>Rfi[[#This Row],[Sent]]</f>
        <v>43818</v>
      </c>
      <c r="E60" s="2">
        <f ca="1">TODAY()-Table2[[#This Row],[Date Sent]]</f>
        <v>484</v>
      </c>
      <c r="F60" s="1">
        <f>Rfi[[#This Row],[Ball In Court]]</f>
        <v>0</v>
      </c>
      <c r="G60" t="str">
        <f>Rfi[[#This Row],[State]]</f>
        <v>Closed</v>
      </c>
    </row>
    <row r="61" spans="1:9" hidden="1" x14ac:dyDescent="0.35">
      <c r="A61" t="str">
        <f>Rfi[[#This Row],[Priority]]</f>
        <v>Medium</v>
      </c>
      <c r="B61">
        <f>Rfi[[#This Row],[Number]]</f>
        <v>61</v>
      </c>
      <c r="C61" t="str">
        <f>Rfi[[#This Row],[Subject]]</f>
        <v>Return Duct Dimension at Grid HG</v>
      </c>
      <c r="D61" s="2">
        <f>Rfi[[#This Row],[Sent]]</f>
        <v>43815</v>
      </c>
      <c r="E61" s="2">
        <f ca="1">TODAY()-Table2[[#This Row],[Date Sent]]</f>
        <v>487</v>
      </c>
      <c r="F61" s="1">
        <f>Rfi[[#This Row],[Ball In Court]]</f>
        <v>0</v>
      </c>
      <c r="G61" t="str">
        <f>Rfi[[#This Row],[State]]</f>
        <v>Closed</v>
      </c>
    </row>
    <row r="62" spans="1:9" hidden="1" x14ac:dyDescent="0.35">
      <c r="A62" t="str">
        <f>Rfi[[#This Row],[Priority]]</f>
        <v>Medium</v>
      </c>
      <c r="B62">
        <f>Rfi[[#This Row],[Number]]</f>
        <v>62</v>
      </c>
      <c r="C62" t="str">
        <f>Rfi[[#This Row],[Subject]]</f>
        <v>Deco Lighting Family B Arm Question</v>
      </c>
      <c r="D62" s="2">
        <f>Rfi[[#This Row],[Sent]]</f>
        <v>43815</v>
      </c>
      <c r="E62" s="9">
        <f ca="1">TODAY()-Table2[[#This Row],[Date Sent]]</f>
        <v>487</v>
      </c>
      <c r="F62">
        <f>Rfi[[#This Row],[Ball In Court]]</f>
        <v>0</v>
      </c>
      <c r="G62" t="str">
        <f>Rfi[[#This Row],[State]]</f>
        <v>Closed</v>
      </c>
      <c r="H62" s="11" t="s">
        <v>2364</v>
      </c>
      <c r="I62" s="12"/>
    </row>
    <row r="63" spans="1:9" hidden="1" x14ac:dyDescent="0.35">
      <c r="A63" t="str">
        <f>Rfi[[#This Row],[Priority]]</f>
        <v>Medium</v>
      </c>
      <c r="B63">
        <f>Rfi[[#This Row],[Number]]</f>
        <v>63</v>
      </c>
      <c r="C63" t="str">
        <f>Rfi[[#This Row],[Subject]]</f>
        <v>Elevator Ceilings</v>
      </c>
      <c r="D63" s="2">
        <f>Rfi[[#This Row],[Sent]]</f>
        <v>43817</v>
      </c>
      <c r="E63" s="2">
        <f ca="1">TODAY()-Table2[[#This Row],[Date Sent]]</f>
        <v>485</v>
      </c>
      <c r="F63" s="1">
        <f>Rfi[[#This Row],[Ball In Court]]</f>
        <v>0</v>
      </c>
      <c r="G63" t="str">
        <f>Rfi[[#This Row],[State]]</f>
        <v>Closed</v>
      </c>
      <c r="H63" s="13"/>
      <c r="I63" s="10"/>
    </row>
    <row r="64" spans="1:9" hidden="1" x14ac:dyDescent="0.35">
      <c r="A64" t="str">
        <f>Rfi[[#This Row],[Priority]]</f>
        <v>Medium</v>
      </c>
      <c r="B64">
        <f>Rfi[[#This Row],[Number]]</f>
        <v>64</v>
      </c>
      <c r="C64" t="str">
        <f>Rfi[[#This Row],[Subject]]</f>
        <v>Window Stool Demo</v>
      </c>
      <c r="D64" s="2">
        <f>Rfi[[#This Row],[Sent]]</f>
        <v>43818</v>
      </c>
      <c r="E64" s="2">
        <f ca="1">TODAY()-Table2[[#This Row],[Date Sent]]</f>
        <v>484</v>
      </c>
      <c r="F64" s="1">
        <f>Rfi[[#This Row],[Ball In Court]]</f>
        <v>0</v>
      </c>
      <c r="G64" t="str">
        <f>Rfi[[#This Row],[State]]</f>
        <v>Closed</v>
      </c>
      <c r="H64" s="13"/>
      <c r="I64" s="10"/>
    </row>
    <row r="65" spans="1:9" hidden="1" x14ac:dyDescent="0.35">
      <c r="A65" t="str">
        <f>Rfi[[#This Row],[Priority]]</f>
        <v>Medium</v>
      </c>
      <c r="B65">
        <f>Rfi[[#This Row],[Number]]</f>
        <v>65</v>
      </c>
      <c r="C65" t="str">
        <f>Rfi[[#This Row],[Subject]]</f>
        <v>Tree Removal Clarification</v>
      </c>
      <c r="D65" s="2">
        <f>Rfi[[#This Row],[Sent]]</f>
        <v>43818</v>
      </c>
      <c r="E65" s="2">
        <f ca="1">TODAY()-Table2[[#This Row],[Date Sent]]</f>
        <v>484</v>
      </c>
      <c r="F65" s="1">
        <f>Rfi[[#This Row],[Ball In Court]]</f>
        <v>0</v>
      </c>
      <c r="G65" t="str">
        <f>Rfi[[#This Row],[State]]</f>
        <v>Closed</v>
      </c>
      <c r="H65" s="13"/>
      <c r="I65" s="10"/>
    </row>
    <row r="66" spans="1:9" hidden="1" x14ac:dyDescent="0.35">
      <c r="A66" t="str">
        <f>Rfi[[#This Row],[Priority]]</f>
        <v>Medium</v>
      </c>
      <c r="B66">
        <f>Rfi[[#This Row],[Number]]</f>
        <v>66</v>
      </c>
      <c r="C66" t="str">
        <f>Rfi[[#This Row],[Subject]]</f>
        <v>Baptistry Font Attachment to Foundation</v>
      </c>
      <c r="D66" s="2">
        <f>Rfi[[#This Row],[Sent]]</f>
        <v>43822</v>
      </c>
      <c r="E66" s="2">
        <f ca="1">TODAY()-Table2[[#This Row],[Date Sent]]</f>
        <v>480</v>
      </c>
      <c r="F66" s="1">
        <f>Rfi[[#This Row],[Ball In Court]]</f>
        <v>0</v>
      </c>
      <c r="G66" t="str">
        <f>Rfi[[#This Row],[State]]</f>
        <v>Closed</v>
      </c>
      <c r="H66" s="13"/>
      <c r="I66" s="10"/>
    </row>
    <row r="67" spans="1:9" hidden="1" x14ac:dyDescent="0.35">
      <c r="A67" t="str">
        <f>Rfi[[#This Row],[Priority]]</f>
        <v>Medium</v>
      </c>
      <c r="B67">
        <f>Rfi[[#This Row],[Number]]</f>
        <v>67</v>
      </c>
      <c r="C67" t="str">
        <f>Rfi[[#This Row],[Subject]]</f>
        <v>Reproduction of Historic Elements of the Babtistry Rails</v>
      </c>
      <c r="D67" s="2">
        <f>Rfi[[#This Row],[Sent]]</f>
        <v>43823</v>
      </c>
      <c r="E67" s="2">
        <f ca="1">TODAY()-Table2[[#This Row],[Date Sent]]</f>
        <v>479</v>
      </c>
      <c r="F67" s="1">
        <f>Rfi[[#This Row],[Ball In Court]]</f>
        <v>0</v>
      </c>
      <c r="G67" t="str">
        <f>Rfi[[#This Row],[State]]</f>
        <v>Closed</v>
      </c>
      <c r="H67" s="13"/>
      <c r="I67" s="10"/>
    </row>
    <row r="68" spans="1:9" hidden="1" x14ac:dyDescent="0.35">
      <c r="A68" t="str">
        <f>Rfi[[#This Row],[Priority]]</f>
        <v>Medium</v>
      </c>
      <c r="B68">
        <f>Rfi[[#This Row],[Number]]</f>
        <v>68</v>
      </c>
      <c r="C68" t="str">
        <f>Rfi[[#This Row],[Subject]]</f>
        <v>Baptistery Oxen Mounting</v>
      </c>
      <c r="D68" s="2">
        <f>Rfi[[#This Row],[Sent]]</f>
        <v>43825</v>
      </c>
      <c r="E68" s="2">
        <f ca="1">TODAY()-Table2[[#This Row],[Date Sent]]</f>
        <v>477</v>
      </c>
      <c r="F68" s="1">
        <f>Rfi[[#This Row],[Ball In Court]]</f>
        <v>0</v>
      </c>
      <c r="G68" t="str">
        <f>Rfi[[#This Row],[State]]</f>
        <v>Closed</v>
      </c>
      <c r="H68" s="13"/>
      <c r="I68" s="10"/>
    </row>
    <row r="69" spans="1:9" hidden="1" x14ac:dyDescent="0.35">
      <c r="A69" t="str">
        <f>Rfi[[#This Row],[Priority]]</f>
        <v>Low</v>
      </c>
      <c r="B69">
        <f>Rfi[[#This Row],[Number]]</f>
        <v>69</v>
      </c>
      <c r="C69" t="str">
        <f>Rfi[[#This Row],[Subject]]</f>
        <v>Tie Rod Cores and Grouting Options</v>
      </c>
      <c r="D69" s="2">
        <f>Rfi[[#This Row],[Sent]]</f>
        <v>43829</v>
      </c>
      <c r="E69" s="2">
        <f ca="1">TODAY()-Table2[[#This Row],[Date Sent]]</f>
        <v>473</v>
      </c>
      <c r="F69" s="1">
        <f>Rfi[[#This Row],[Ball In Court]]</f>
        <v>0</v>
      </c>
      <c r="G69" t="str">
        <f>Rfi[[#This Row],[State]]</f>
        <v>Closed</v>
      </c>
      <c r="H69" s="13"/>
      <c r="I69" s="10"/>
    </row>
    <row r="70" spans="1:9" hidden="1" x14ac:dyDescent="0.35">
      <c r="A70" t="str">
        <f>Rfi[[#This Row],[Priority]]</f>
        <v>Medium</v>
      </c>
      <c r="B70">
        <f>Rfi[[#This Row],[Number]]</f>
        <v>70</v>
      </c>
      <c r="C70" t="str">
        <f>Rfi[[#This Row],[Subject]]</f>
        <v>Epoxy specifications/ missing embedment depths</v>
      </c>
      <c r="D70" s="2">
        <f>Rfi[[#This Row],[Sent]]</f>
        <v>43829</v>
      </c>
      <c r="E70" s="2">
        <f ca="1">TODAY()-Table2[[#This Row],[Date Sent]]</f>
        <v>473</v>
      </c>
      <c r="F70" s="1">
        <f>Rfi[[#This Row],[Ball In Court]]</f>
        <v>0</v>
      </c>
      <c r="G70" t="str">
        <f>Rfi[[#This Row],[State]]</f>
        <v>Closed</v>
      </c>
      <c r="H70" s="13"/>
      <c r="I70" s="10"/>
    </row>
    <row r="71" spans="1:9" hidden="1" x14ac:dyDescent="0.35">
      <c r="A71" t="str">
        <f>Rfi[[#This Row],[Priority]]</f>
        <v>Medium</v>
      </c>
      <c r="B71">
        <f>Rfi[[#This Row],[Number]]</f>
        <v>71</v>
      </c>
      <c r="C71" t="str">
        <f>Rfi[[#This Row],[Subject]]</f>
        <v>Annex shear walls, SOG, SOD and structural steel coordinatio</v>
      </c>
      <c r="D71" s="2">
        <f>Rfi[[#This Row],[Sent]]</f>
        <v>43829</v>
      </c>
      <c r="E71" s="2">
        <f ca="1">TODAY()-Table2[[#This Row],[Date Sent]]</f>
        <v>473</v>
      </c>
      <c r="F71" s="1">
        <f>Rfi[[#This Row],[Ball In Court]]</f>
        <v>0</v>
      </c>
      <c r="G71" t="str">
        <f>Rfi[[#This Row],[State]]</f>
        <v>Closed</v>
      </c>
      <c r="H71" s="13"/>
      <c r="I71" s="10"/>
    </row>
    <row r="72" spans="1:9" hidden="1" x14ac:dyDescent="0.35">
      <c r="A72" t="str">
        <f>Rfi[[#This Row],[Priority]]</f>
        <v>Medium</v>
      </c>
      <c r="B72">
        <f>Rfi[[#This Row],[Number]]</f>
        <v>72</v>
      </c>
      <c r="C72" t="str">
        <f>Rfi[[#This Row],[Subject]]</f>
        <v>Mech Access Doors 3rd &amp; 5th Floors</v>
      </c>
      <c r="D72" s="2">
        <f>Rfi[[#This Row],[Sent]]</f>
        <v>43836</v>
      </c>
      <c r="E72" s="2">
        <f ca="1">TODAY()-Table2[[#This Row],[Date Sent]]</f>
        <v>466</v>
      </c>
      <c r="F72" s="1">
        <f>Rfi[[#This Row],[Ball In Court]]</f>
        <v>0</v>
      </c>
      <c r="G72" t="str">
        <f>Rfi[[#This Row],[State]]</f>
        <v>Closed</v>
      </c>
      <c r="H72" s="13"/>
      <c r="I72" s="10"/>
    </row>
    <row r="73" spans="1:9" hidden="1" x14ac:dyDescent="0.35">
      <c r="A73" t="str">
        <f>Rfi[[#This Row],[Priority]]</f>
        <v>Medium</v>
      </c>
      <c r="B73">
        <f>Rfi[[#This Row],[Number]]</f>
        <v>73</v>
      </c>
      <c r="C73" t="str">
        <f>Rfi[[#This Row],[Subject]]</f>
        <v>5th Floor Ceiling Demo</v>
      </c>
      <c r="D73" s="2">
        <f>Rfi[[#This Row],[Sent]]</f>
        <v>43829</v>
      </c>
      <c r="E73" s="2">
        <f ca="1">TODAY()-Table2[[#This Row],[Date Sent]]</f>
        <v>473</v>
      </c>
      <c r="F73" s="1">
        <f>Rfi[[#This Row],[Ball In Court]]</f>
        <v>0</v>
      </c>
      <c r="G73" t="str">
        <f>Rfi[[#This Row],[State]]</f>
        <v>Closed</v>
      </c>
      <c r="H73" s="13"/>
      <c r="I73" s="10"/>
    </row>
    <row r="74" spans="1:9" hidden="1" x14ac:dyDescent="0.35">
      <c r="A74" t="str">
        <f>Rfi[[#This Row],[Priority]]</f>
        <v>Medium</v>
      </c>
      <c r="B74">
        <f>Rfi[[#This Row],[Number]]</f>
        <v>74</v>
      </c>
      <c r="C74" t="str">
        <f>Rfi[[#This Row],[Subject]]</f>
        <v>Precast Elevation from Shop Drawings (Type E vs Type F)</v>
      </c>
      <c r="D74" s="2">
        <f>Rfi[[#This Row],[Sent]]</f>
        <v>43830</v>
      </c>
      <c r="E74" s="2">
        <f ca="1">TODAY()-Table2[[#This Row],[Date Sent]]</f>
        <v>472</v>
      </c>
      <c r="F74" s="1">
        <f>Rfi[[#This Row],[Ball In Court]]</f>
        <v>0</v>
      </c>
      <c r="G74" t="str">
        <f>Rfi[[#This Row],[State]]</f>
        <v>Closed</v>
      </c>
      <c r="H74" s="13"/>
      <c r="I74" s="10"/>
    </row>
    <row r="75" spans="1:9" hidden="1" x14ac:dyDescent="0.35">
      <c r="A75" t="str">
        <f>Rfi[[#This Row],[Priority]]</f>
        <v>Medium</v>
      </c>
      <c r="B75">
        <f>Rfi[[#This Row],[Number]]</f>
        <v>75</v>
      </c>
      <c r="C75" t="str">
        <f>Rfi[[#This Row],[Subject]]</f>
        <v>3 Missing Demensions for FSD's on M100A</v>
      </c>
      <c r="D75" s="2">
        <f>Rfi[[#This Row],[Sent]]</f>
        <v>43830</v>
      </c>
      <c r="E75" s="2">
        <f ca="1">TODAY()-Table2[[#This Row],[Date Sent]]</f>
        <v>472</v>
      </c>
      <c r="F75" s="1">
        <f>Rfi[[#This Row],[Ball In Court]]</f>
        <v>0</v>
      </c>
      <c r="G75" t="str">
        <f>Rfi[[#This Row],[State]]</f>
        <v>Closed</v>
      </c>
      <c r="H75" s="13"/>
      <c r="I75" s="10"/>
    </row>
    <row r="76" spans="1:9" hidden="1" x14ac:dyDescent="0.35">
      <c r="A76" t="str">
        <f>Rfi[[#This Row],[Priority]]</f>
        <v>Medium</v>
      </c>
      <c r="B76">
        <f>Rfi[[#This Row],[Number]]</f>
        <v>76</v>
      </c>
      <c r="C76" t="str">
        <f>Rfi[[#This Row],[Subject]]</f>
        <v>FSD's on Mechanical vs EY Drawings</v>
      </c>
      <c r="D76" s="2">
        <f>Rfi[[#This Row],[Sent]]</f>
        <v>43830</v>
      </c>
      <c r="E76" s="2">
        <f ca="1">TODAY()-Table2[[#This Row],[Date Sent]]</f>
        <v>472</v>
      </c>
      <c r="F76" s="1">
        <f>Rfi[[#This Row],[Ball In Court]]</f>
        <v>0</v>
      </c>
      <c r="G76" t="str">
        <f>Rfi[[#This Row],[State]]</f>
        <v>Closed</v>
      </c>
      <c r="H76" s="13"/>
      <c r="I76" s="10"/>
    </row>
    <row r="77" spans="1:9" hidden="1" x14ac:dyDescent="0.35">
      <c r="A77" t="str">
        <f>Rfi[[#This Row],[Priority]]</f>
        <v>Medium</v>
      </c>
      <c r="B77">
        <f>Rfi[[#This Row],[Number]]</f>
        <v>77</v>
      </c>
      <c r="C77" t="str">
        <f>Rfi[[#This Row],[Subject]]</f>
        <v>Roof Drains at East Tower</v>
      </c>
      <c r="D77" s="2">
        <f>Rfi[[#This Row],[Sent]]</f>
        <v>43830</v>
      </c>
      <c r="E77" s="2">
        <f ca="1">TODAY()-Table2[[#This Row],[Date Sent]]</f>
        <v>472</v>
      </c>
      <c r="F77" s="1">
        <f>Rfi[[#This Row],[Ball In Court]]</f>
        <v>0</v>
      </c>
      <c r="G77" t="str">
        <f>Rfi[[#This Row],[State]]</f>
        <v>Closed</v>
      </c>
      <c r="H77" s="13"/>
      <c r="I77" s="10"/>
    </row>
    <row r="78" spans="1:9" hidden="1" x14ac:dyDescent="0.35">
      <c r="A78" t="str">
        <f>Rfi[[#This Row],[Priority]]</f>
        <v>Medium</v>
      </c>
      <c r="B78">
        <f>Rfi[[#This Row],[Number]]</f>
        <v>78</v>
      </c>
      <c r="C78" t="str">
        <f>Rfi[[#This Row],[Subject]]</f>
        <v>AHU-5 Return Duct Elevation Routing at Basement Font Area</v>
      </c>
      <c r="D78" s="2">
        <f>Rfi[[#This Row],[Sent]]</f>
        <v>43830</v>
      </c>
      <c r="E78" s="2">
        <f ca="1">TODAY()-Table2[[#This Row],[Date Sent]]</f>
        <v>472</v>
      </c>
      <c r="F78" s="1">
        <f>Rfi[[#This Row],[Ball In Court]]</f>
        <v>0</v>
      </c>
      <c r="G78" t="str">
        <f>Rfi[[#This Row],[State]]</f>
        <v>Closed</v>
      </c>
      <c r="H78" s="13"/>
      <c r="I78" s="10"/>
    </row>
    <row r="79" spans="1:9" hidden="1" x14ac:dyDescent="0.35">
      <c r="A79" t="str">
        <f>Rfi[[#This Row],[Priority]]</f>
        <v>Medium</v>
      </c>
      <c r="B79">
        <f>Rfi[[#This Row],[Number]]</f>
        <v>79</v>
      </c>
      <c r="C79" t="str">
        <f>Rfi[[#This Row],[Subject]]</f>
        <v>Added Keypads at Gate and Security Office</v>
      </c>
      <c r="D79" s="2">
        <f>Rfi[[#This Row],[Sent]]</f>
        <v>43830</v>
      </c>
      <c r="E79" s="2">
        <f ca="1">TODAY()-Table2[[#This Row],[Date Sent]]</f>
        <v>472</v>
      </c>
      <c r="F79" s="1">
        <f>Rfi[[#This Row],[Ball In Court]]</f>
        <v>0</v>
      </c>
      <c r="G79" t="str">
        <f>Rfi[[#This Row],[State]]</f>
        <v>Closed</v>
      </c>
      <c r="H79" s="13"/>
      <c r="I79" s="10"/>
    </row>
    <row r="80" spans="1:9" hidden="1" x14ac:dyDescent="0.35">
      <c r="A80" t="str">
        <f>Rfi[[#This Row],[Priority]]</f>
        <v>Medium</v>
      </c>
      <c r="B80">
        <f>Rfi[[#This Row],[Number]]</f>
        <v>80</v>
      </c>
      <c r="C80" t="str">
        <f>Rfi[[#This Row],[Subject]]</f>
        <v>Cooridor 065 Missing FSD</v>
      </c>
      <c r="D80" s="2">
        <f>Rfi[[#This Row],[Sent]]</f>
        <v>43830</v>
      </c>
      <c r="E80" s="2">
        <f ca="1">TODAY()-Table2[[#This Row],[Date Sent]]</f>
        <v>472</v>
      </c>
      <c r="F80" s="1">
        <f>Rfi[[#This Row],[Ball In Court]]</f>
        <v>0</v>
      </c>
      <c r="G80" t="str">
        <f>Rfi[[#This Row],[State]]</f>
        <v>Closed</v>
      </c>
      <c r="H80" s="13"/>
      <c r="I80" s="10"/>
    </row>
    <row r="81" spans="1:9" hidden="1" x14ac:dyDescent="0.35">
      <c r="A81" t="str">
        <f>Rfi[[#This Row],[Priority]]</f>
        <v>High</v>
      </c>
      <c r="B81">
        <f>Rfi[[#This Row],[Number]]</f>
        <v>81</v>
      </c>
      <c r="C81" t="str">
        <f>Rfi[[#This Row],[Subject]]</f>
        <v>Level 5 Ceiling Conflict with New HVAC-PLBG Systems</v>
      </c>
      <c r="D81" s="2">
        <f>Rfi[[#This Row],[Sent]]</f>
        <v>43830</v>
      </c>
      <c r="E81" s="2">
        <f ca="1">TODAY()-Table2[[#This Row],[Date Sent]]</f>
        <v>472</v>
      </c>
      <c r="F81" s="1">
        <f>Rfi[[#This Row],[Ball In Court]]</f>
        <v>0</v>
      </c>
      <c r="G81" t="str">
        <f>Rfi[[#This Row],[State]]</f>
        <v>Closed</v>
      </c>
      <c r="H81" s="13"/>
      <c r="I81" s="10"/>
    </row>
    <row r="82" spans="1:9" hidden="1" x14ac:dyDescent="0.35">
      <c r="A82" t="str">
        <f>Rfi[[#This Row],[Priority]]</f>
        <v>Medium</v>
      </c>
      <c r="B82">
        <f>Rfi[[#This Row],[Number]]</f>
        <v>82</v>
      </c>
      <c r="C82" t="str">
        <f>Rfi[[#This Row],[Subject]]</f>
        <v>Finish Schedule Marble Clarifications</v>
      </c>
      <c r="D82" s="2">
        <f>Rfi[[#This Row],[Sent]]</f>
        <v>43833</v>
      </c>
      <c r="E82" s="2">
        <f ca="1">TODAY()-Table2[[#This Row],[Date Sent]]</f>
        <v>469</v>
      </c>
      <c r="F82" s="1">
        <f>Rfi[[#This Row],[Ball In Court]]</f>
        <v>0</v>
      </c>
      <c r="G82" t="str">
        <f>Rfi[[#This Row],[State]]</f>
        <v>Closed</v>
      </c>
      <c r="H82" s="13"/>
      <c r="I82" s="10"/>
    </row>
    <row r="83" spans="1:9" hidden="1" x14ac:dyDescent="0.35">
      <c r="A83" t="str">
        <f>Rfi[[#This Row],[Priority]]</f>
        <v>Medium</v>
      </c>
      <c r="B83">
        <f>Rfi[[#This Row],[Number]]</f>
        <v>83</v>
      </c>
      <c r="C83" t="str">
        <f>Rfi[[#This Row],[Subject]]</f>
        <v>Missing Fan Coils per equipment schedule</v>
      </c>
      <c r="D83" s="2">
        <f>Rfi[[#This Row],[Sent]]</f>
        <v>43899</v>
      </c>
      <c r="E83" s="2">
        <f ca="1">TODAY()-Table2[[#This Row],[Date Sent]]</f>
        <v>403</v>
      </c>
      <c r="F83" s="1">
        <f>Rfi[[#This Row],[Ball In Court]]</f>
        <v>0</v>
      </c>
      <c r="G83" t="str">
        <f>Rfi[[#This Row],[State]]</f>
        <v>Closed</v>
      </c>
      <c r="H83" s="13"/>
      <c r="I83" s="10"/>
    </row>
    <row r="84" spans="1:9" hidden="1" x14ac:dyDescent="0.35">
      <c r="A84" t="str">
        <f>Rfi[[#This Row],[Priority]]</f>
        <v>Medium</v>
      </c>
      <c r="B84">
        <f>Rfi[[#This Row],[Number]]</f>
        <v>84</v>
      </c>
      <c r="C84" t="str">
        <f>Rfi[[#This Row],[Subject]]</f>
        <v>Level 4 missing fan coils</v>
      </c>
      <c r="D84" s="2">
        <f>Rfi[[#This Row],[Sent]]</f>
        <v>43899</v>
      </c>
      <c r="E84" s="2">
        <f ca="1">TODAY()-Table2[[#This Row],[Date Sent]]</f>
        <v>403</v>
      </c>
      <c r="F84" s="1">
        <f>Rfi[[#This Row],[Ball In Court]]</f>
        <v>0</v>
      </c>
      <c r="G84" t="str">
        <f>Rfi[[#This Row],[State]]</f>
        <v>Closed</v>
      </c>
      <c r="H84" s="13"/>
      <c r="I84" s="10"/>
    </row>
    <row r="85" spans="1:9" hidden="1" x14ac:dyDescent="0.35">
      <c r="A85" t="str">
        <f>Rfi[[#This Row],[Priority]]</f>
        <v>Medium</v>
      </c>
      <c r="B85">
        <f>Rfi[[#This Row],[Number]]</f>
        <v>85</v>
      </c>
      <c r="C85" t="str">
        <f>Rfi[[#This Row],[Subject]]</f>
        <v>Room 112 Missing Return Grille</v>
      </c>
      <c r="D85" s="2">
        <f>Rfi[[#This Row],[Sent]]</f>
        <v>43833</v>
      </c>
      <c r="E85" s="2">
        <f ca="1">TODAY()-Table2[[#This Row],[Date Sent]]</f>
        <v>469</v>
      </c>
      <c r="F85" s="1">
        <f>Rfi[[#This Row],[Ball In Court]]</f>
        <v>0</v>
      </c>
      <c r="G85" t="str">
        <f>Rfi[[#This Row],[State]]</f>
        <v>Closed</v>
      </c>
      <c r="H85" s="13"/>
      <c r="I85" s="10"/>
    </row>
    <row r="86" spans="1:9" hidden="1" x14ac:dyDescent="0.35">
      <c r="A86" t="str">
        <f>Rfi[[#This Row],[Priority]]</f>
        <v>Medium</v>
      </c>
      <c r="B86">
        <f>Rfi[[#This Row],[Number]]</f>
        <v>86</v>
      </c>
      <c r="C86" t="str">
        <f>Rfi[[#This Row],[Subject]]</f>
        <v>CCD#007-Room 112</v>
      </c>
      <c r="D86" s="2">
        <f>Rfi[[#This Row],[Sent]]</f>
        <v>43833</v>
      </c>
      <c r="E86" s="2">
        <f ca="1">TODAY()-Table2[[#This Row],[Date Sent]]</f>
        <v>469</v>
      </c>
      <c r="F86" s="1">
        <f>Rfi[[#This Row],[Ball In Court]]</f>
        <v>0</v>
      </c>
      <c r="G86" t="str">
        <f>Rfi[[#This Row],[State]]</f>
        <v>Closed</v>
      </c>
      <c r="H86" s="13"/>
      <c r="I86" s="10"/>
    </row>
    <row r="87" spans="1:9" hidden="1" x14ac:dyDescent="0.35">
      <c r="A87" t="str">
        <f>Rfi[[#This Row],[Priority]]</f>
        <v>Medium</v>
      </c>
      <c r="B87">
        <f>Rfi[[#This Row],[Number]]</f>
        <v>87</v>
      </c>
      <c r="C87" t="str">
        <f>Rfi[[#This Row],[Subject]]</f>
        <v>Fire rated assemblies at M100A</v>
      </c>
      <c r="D87" s="2">
        <f>Rfi[[#This Row],[Sent]]</f>
        <v>43833</v>
      </c>
      <c r="E87" s="2">
        <f ca="1">TODAY()-Table2[[#This Row],[Date Sent]]</f>
        <v>469</v>
      </c>
      <c r="F87" s="1">
        <f>Rfi[[#This Row],[Ball In Court]]</f>
        <v>0</v>
      </c>
      <c r="G87" t="str">
        <f>Rfi[[#This Row],[State]]</f>
        <v>Closed</v>
      </c>
      <c r="H87" s="13"/>
      <c r="I87" s="10"/>
    </row>
    <row r="88" spans="1:9" hidden="1" x14ac:dyDescent="0.35">
      <c r="A88" t="str">
        <f>Rfi[[#This Row],[Priority]]</f>
        <v>Medium</v>
      </c>
      <c r="B88">
        <f>Rfi[[#This Row],[Number]]</f>
        <v>88</v>
      </c>
      <c r="C88" t="str">
        <f>Rfi[[#This Row],[Subject]]</f>
        <v>Level 3 Demo Clarifications</v>
      </c>
      <c r="D88" s="2">
        <f>Rfi[[#This Row],[Sent]]</f>
        <v>43836</v>
      </c>
      <c r="E88" s="2">
        <f ca="1">TODAY()-Table2[[#This Row],[Date Sent]]</f>
        <v>466</v>
      </c>
      <c r="F88" s="1">
        <f>Rfi[[#This Row],[Ball In Court]]</f>
        <v>0</v>
      </c>
      <c r="G88" t="str">
        <f>Rfi[[#This Row],[State]]</f>
        <v>Closed</v>
      </c>
      <c r="H88" s="13"/>
      <c r="I88" s="10"/>
    </row>
    <row r="89" spans="1:9" hidden="1" x14ac:dyDescent="0.35">
      <c r="A89" t="str">
        <f>Rfi[[#This Row],[Priority]]</f>
        <v>Medium</v>
      </c>
      <c r="B89">
        <f>Rfi[[#This Row],[Number]]</f>
        <v>89</v>
      </c>
      <c r="C89" t="str">
        <f>Rfi[[#This Row],[Subject]]</f>
        <v>Replace Not Relocate Trees From CCD 6</v>
      </c>
      <c r="D89" s="2">
        <f>Rfi[[#This Row],[Sent]]</f>
        <v>43836</v>
      </c>
      <c r="E89" s="2">
        <f ca="1">TODAY()-Table2[[#This Row],[Date Sent]]</f>
        <v>466</v>
      </c>
      <c r="F89" s="1">
        <f>Rfi[[#This Row],[Ball In Court]]</f>
        <v>0</v>
      </c>
      <c r="G89" t="str">
        <f>Rfi[[#This Row],[State]]</f>
        <v>Closed</v>
      </c>
      <c r="H89" s="13"/>
      <c r="I89" s="10"/>
    </row>
    <row r="90" spans="1:9" hidden="1" x14ac:dyDescent="0.35">
      <c r="A90" t="str">
        <f>Rfi[[#This Row],[Priority]]</f>
        <v>High</v>
      </c>
      <c r="B90">
        <f>Rfi[[#This Row],[Number]]</f>
        <v>90</v>
      </c>
      <c r="C90" t="str">
        <f>Rfi[[#This Row],[Subject]]</f>
        <v>Buttress Clarification at Annex</v>
      </c>
      <c r="D90" s="2">
        <f>Rfi[[#This Row],[Sent]]</f>
        <v>43836</v>
      </c>
      <c r="E90" s="2">
        <f ca="1">TODAY()-Table2[[#This Row],[Date Sent]]</f>
        <v>466</v>
      </c>
      <c r="F90" s="1">
        <f>Rfi[[#This Row],[Ball In Court]]</f>
        <v>0</v>
      </c>
      <c r="G90" t="str">
        <f>Rfi[[#This Row],[State]]</f>
        <v>Closed</v>
      </c>
      <c r="H90" s="13"/>
      <c r="I90" s="10"/>
    </row>
    <row r="91" spans="1:9" hidden="1" x14ac:dyDescent="0.35">
      <c r="A91" t="str">
        <f>Rfi[[#This Row],[Priority]]</f>
        <v>Medium</v>
      </c>
      <c r="B91">
        <f>Rfi[[#This Row],[Number]]</f>
        <v>91</v>
      </c>
      <c r="C91" t="str">
        <f>Rfi[[#This Row],[Subject]]</f>
        <v>Geo Foam Specification</v>
      </c>
      <c r="D91" s="2">
        <f>Rfi[[#This Row],[Sent]]</f>
        <v>43838</v>
      </c>
      <c r="E91" s="2">
        <f ca="1">TODAY()-Table2[[#This Row],[Date Sent]]</f>
        <v>464</v>
      </c>
      <c r="F91" s="1">
        <f>Rfi[[#This Row],[Ball In Court]]</f>
        <v>0</v>
      </c>
      <c r="G91" t="str">
        <f>Rfi[[#This Row],[State]]</f>
        <v>Closed</v>
      </c>
      <c r="H91" s="13"/>
      <c r="I91" s="10"/>
    </row>
    <row r="92" spans="1:9" hidden="1" x14ac:dyDescent="0.35">
      <c r="A92" t="str">
        <f>Rfi[[#This Row],[Priority]]</f>
        <v>Medium</v>
      </c>
      <c r="B92">
        <f>Rfi[[#This Row],[Number]]</f>
        <v>92</v>
      </c>
      <c r="C92" t="str">
        <f>Rfi[[#This Row],[Subject]]</f>
        <v>Tree RFI 1</v>
      </c>
      <c r="D92" s="2">
        <f>Rfi[[#This Row],[Sent]]</f>
        <v>0</v>
      </c>
      <c r="E92" s="2">
        <f ca="1">TODAY()-Table2[[#This Row],[Date Sent]]</f>
        <v>44302</v>
      </c>
      <c r="F92" s="1">
        <f>Rfi[[#This Row],[Ball In Court]]</f>
        <v>0</v>
      </c>
      <c r="G92" t="str">
        <f>Rfi[[#This Row],[State]]</f>
        <v>Closed</v>
      </c>
      <c r="H92" s="13"/>
      <c r="I92" s="10"/>
    </row>
    <row r="93" spans="1:9" hidden="1" x14ac:dyDescent="0.35">
      <c r="A93" t="str">
        <f>Rfi[[#This Row],[Priority]]</f>
        <v>Medium</v>
      </c>
      <c r="B93">
        <f>Rfi[[#This Row],[Number]]</f>
        <v>93</v>
      </c>
      <c r="C93" t="str">
        <f>Rfi[[#This Row],[Subject]]</f>
        <v>Redesign Sidewalk to Preserve Trees</v>
      </c>
      <c r="D93" s="2">
        <f>Rfi[[#This Row],[Sent]]</f>
        <v>43838</v>
      </c>
      <c r="E93" s="2">
        <f ca="1">TODAY()-Table2[[#This Row],[Date Sent]]</f>
        <v>464</v>
      </c>
      <c r="F93" s="1">
        <f>Rfi[[#This Row],[Ball In Court]]</f>
        <v>0</v>
      </c>
      <c r="G93" t="str">
        <f>Rfi[[#This Row],[State]]</f>
        <v>Closed</v>
      </c>
      <c r="H93" s="13"/>
      <c r="I93" s="10"/>
    </row>
    <row r="94" spans="1:9" hidden="1" x14ac:dyDescent="0.35">
      <c r="A94" t="str">
        <f>Rfi[[#This Row],[Priority]]</f>
        <v>High</v>
      </c>
      <c r="B94">
        <f>Rfi[[#This Row],[Number]]</f>
        <v>94</v>
      </c>
      <c r="C94" t="str">
        <f>Rfi[[#This Row],[Subject]]</f>
        <v>Remove Tree Near Construction Traffic &amp; New Sidewalk</v>
      </c>
      <c r="D94" s="2">
        <f>Rfi[[#This Row],[Sent]]</f>
        <v>43838</v>
      </c>
      <c r="E94" s="2">
        <f ca="1">TODAY()-Table2[[#This Row],[Date Sent]]</f>
        <v>464</v>
      </c>
      <c r="F94" s="1">
        <f>Rfi[[#This Row],[Ball In Court]]</f>
        <v>0</v>
      </c>
      <c r="G94" t="str">
        <f>Rfi[[#This Row],[State]]</f>
        <v>Closed</v>
      </c>
      <c r="H94" s="13"/>
      <c r="I94" s="10"/>
    </row>
    <row r="95" spans="1:9" hidden="1" x14ac:dyDescent="0.35">
      <c r="A95" t="str">
        <f>Rfi[[#This Row],[Priority]]</f>
        <v>Medium</v>
      </c>
      <c r="B95">
        <f>Rfi[[#This Row],[Number]]</f>
        <v>95</v>
      </c>
      <c r="C95" t="str">
        <f>Rfi[[#This Row],[Subject]]</f>
        <v>Duct Fire Wrap</v>
      </c>
      <c r="D95" s="2">
        <f>Rfi[[#This Row],[Sent]]</f>
        <v>43838</v>
      </c>
      <c r="E95" s="2">
        <f ca="1">TODAY()-Table2[[#This Row],[Date Sent]]</f>
        <v>464</v>
      </c>
      <c r="F95" s="1">
        <f>Rfi[[#This Row],[Ball In Court]]</f>
        <v>0</v>
      </c>
      <c r="G95" t="str">
        <f>Rfi[[#This Row],[State]]</f>
        <v>Closed</v>
      </c>
      <c r="H95" s="13"/>
      <c r="I95" s="10"/>
    </row>
    <row r="96" spans="1:9" hidden="1" x14ac:dyDescent="0.35">
      <c r="A96" t="str">
        <f>Rfi[[#This Row],[Priority]]</f>
        <v>Medium</v>
      </c>
      <c r="B96">
        <f>Rfi[[#This Row],[Number]]</f>
        <v>96</v>
      </c>
      <c r="C96" t="str">
        <f>Rfi[[#This Row],[Subject]]</f>
        <v>Font Skid Relocation HX piping</v>
      </c>
      <c r="D96" s="2">
        <f>Rfi[[#This Row],[Sent]]</f>
        <v>43838</v>
      </c>
      <c r="E96" s="2">
        <f ca="1">TODAY()-Table2[[#This Row],[Date Sent]]</f>
        <v>464</v>
      </c>
      <c r="F96" s="1">
        <f>Rfi[[#This Row],[Ball In Court]]</f>
        <v>0</v>
      </c>
      <c r="G96" t="str">
        <f>Rfi[[#This Row],[State]]</f>
        <v>Closed</v>
      </c>
      <c r="H96" s="13"/>
      <c r="I96" s="10"/>
    </row>
    <row r="97" spans="1:9" hidden="1" x14ac:dyDescent="0.35">
      <c r="A97" t="str">
        <f>Rfi[[#This Row],[Priority]]</f>
        <v>Medium</v>
      </c>
      <c r="B97">
        <f>Rfi[[#This Row],[Number]]</f>
        <v>97</v>
      </c>
      <c r="C97" t="str">
        <f>Rfi[[#This Row],[Subject]]</f>
        <v>Font Skid Relocation-Drainage Requirement</v>
      </c>
      <c r="D97" s="2">
        <f>Rfi[[#This Row],[Sent]]</f>
        <v>43838</v>
      </c>
      <c r="E97" s="2">
        <f ca="1">TODAY()-Table2[[#This Row],[Date Sent]]</f>
        <v>464</v>
      </c>
      <c r="F97" s="1">
        <f>Rfi[[#This Row],[Ball In Court]]</f>
        <v>0</v>
      </c>
      <c r="G97" t="str">
        <f>Rfi[[#This Row],[State]]</f>
        <v>Closed</v>
      </c>
      <c r="H97" s="13"/>
      <c r="I97" s="10"/>
    </row>
    <row r="98" spans="1:9" hidden="1" x14ac:dyDescent="0.35">
      <c r="A98" t="str">
        <f>Rfi[[#This Row],[Priority]]</f>
        <v>Medium</v>
      </c>
      <c r="B98">
        <f>Rfi[[#This Row],[Number]]</f>
        <v>98</v>
      </c>
      <c r="C98" t="str">
        <f>Rfi[[#This Row],[Subject]]</f>
        <v>Laundry floor drain</v>
      </c>
      <c r="D98" s="2">
        <f>Rfi[[#This Row],[Sent]]</f>
        <v>43838</v>
      </c>
      <c r="E98" s="2">
        <f ca="1">TODAY()-Table2[[#This Row],[Date Sent]]</f>
        <v>464</v>
      </c>
      <c r="F98" s="1">
        <f>Rfi[[#This Row],[Ball In Court]]</f>
        <v>0</v>
      </c>
      <c r="G98" t="str">
        <f>Rfi[[#This Row],[State]]</f>
        <v>Closed</v>
      </c>
      <c r="H98" s="13"/>
      <c r="I98" s="10"/>
    </row>
    <row r="99" spans="1:9" hidden="1" x14ac:dyDescent="0.35">
      <c r="A99" t="str">
        <f>Rfi[[#This Row],[Priority]]</f>
        <v>Medium</v>
      </c>
      <c r="B99">
        <f>Rfi[[#This Row],[Number]]</f>
        <v>99</v>
      </c>
      <c r="C99" t="str">
        <f>Rfi[[#This Row],[Subject]]</f>
        <v>Allowed duct height at crawlspace</v>
      </c>
      <c r="D99" s="2">
        <f>Rfi[[#This Row],[Sent]]</f>
        <v>43838</v>
      </c>
      <c r="E99" s="2">
        <f ca="1">TODAY()-Table2[[#This Row],[Date Sent]]</f>
        <v>464</v>
      </c>
      <c r="F99" s="1">
        <f>Rfi[[#This Row],[Ball In Court]]</f>
        <v>0</v>
      </c>
      <c r="G99" t="str">
        <f>Rfi[[#This Row],[State]]</f>
        <v>Closed</v>
      </c>
      <c r="H99" s="13"/>
      <c r="I99" s="10"/>
    </row>
    <row r="100" spans="1:9" hidden="1" x14ac:dyDescent="0.35">
      <c r="A100" t="str">
        <f>Rfi[[#This Row],[Priority]]</f>
        <v>Medium</v>
      </c>
      <c r="B100">
        <f>Rfi[[#This Row],[Number]]</f>
        <v>100</v>
      </c>
      <c r="C100" t="str">
        <f>Rfi[[#This Row],[Subject]]</f>
        <v>Duct floor penetrations at baptismal font area</v>
      </c>
      <c r="D100" s="2">
        <f>Rfi[[#This Row],[Sent]]</f>
        <v>43838</v>
      </c>
      <c r="E100" s="2">
        <f ca="1">TODAY()-Table2[[#This Row],[Date Sent]]</f>
        <v>464</v>
      </c>
      <c r="F100" s="1">
        <f>Rfi[[#This Row],[Ball In Court]]</f>
        <v>0</v>
      </c>
      <c r="G100" t="str">
        <f>Rfi[[#This Row],[State]]</f>
        <v>Closed</v>
      </c>
      <c r="H100" s="13"/>
      <c r="I100" s="10"/>
    </row>
    <row r="101" spans="1:9" hidden="1" x14ac:dyDescent="0.35">
      <c r="A101" t="str">
        <f>Rfi[[#This Row],[Priority]]</f>
        <v>Medium</v>
      </c>
      <c r="B101">
        <f>Rfi[[#This Row],[Number]]</f>
        <v>101</v>
      </c>
      <c r="C101" t="str">
        <f>Rfi[[#This Row],[Subject]]</f>
        <v>Sump SP 6A/6B elevation</v>
      </c>
      <c r="D101" s="2">
        <f>Rfi[[#This Row],[Sent]]</f>
        <v>43839</v>
      </c>
      <c r="E101" s="2">
        <f ca="1">TODAY()-Table2[[#This Row],[Date Sent]]</f>
        <v>463</v>
      </c>
      <c r="F101" s="1">
        <f>Rfi[[#This Row],[Ball In Court]]</f>
        <v>0</v>
      </c>
      <c r="G101" t="str">
        <f>Rfi[[#This Row],[State]]</f>
        <v>Closed</v>
      </c>
      <c r="H101" s="13"/>
      <c r="I101" s="10"/>
    </row>
    <row r="102" spans="1:9" hidden="1" x14ac:dyDescent="0.35">
      <c r="A102" t="str">
        <f>Rfi[[#This Row],[Priority]]</f>
        <v>Medium</v>
      </c>
      <c r="B102">
        <f>Rfi[[#This Row],[Number]]</f>
        <v>102</v>
      </c>
      <c r="C102" t="str">
        <f>Rfi[[#This Row],[Subject]]</f>
        <v>Hot water heating piping at central plant</v>
      </c>
      <c r="D102" s="2">
        <f>Rfi[[#This Row],[Sent]]</f>
        <v>43839</v>
      </c>
      <c r="E102" s="2">
        <f ca="1">TODAY()-Table2[[#This Row],[Date Sent]]</f>
        <v>463</v>
      </c>
      <c r="F102" s="1">
        <f>Rfi[[#This Row],[Ball In Court]]</f>
        <v>0</v>
      </c>
      <c r="G102" t="str">
        <f>Rfi[[#This Row],[State]]</f>
        <v>Closed</v>
      </c>
      <c r="H102" s="13"/>
      <c r="I102" s="10"/>
    </row>
    <row r="103" spans="1:9" hidden="1" x14ac:dyDescent="0.35">
      <c r="A103" t="str">
        <f>Rfi[[#This Row],[Priority]]</f>
        <v>Medium</v>
      </c>
      <c r="B103">
        <f>Rfi[[#This Row],[Number]]</f>
        <v>103</v>
      </c>
      <c r="C103" t="str">
        <f>Rfi[[#This Row],[Subject]]</f>
        <v>Elevator Door and Frame Metal Finish</v>
      </c>
      <c r="D103" s="2">
        <f>Rfi[[#This Row],[Sent]]</f>
        <v>43839</v>
      </c>
      <c r="E103" s="2">
        <f ca="1">TODAY()-Table2[[#This Row],[Date Sent]]</f>
        <v>463</v>
      </c>
      <c r="F103" s="1">
        <f>Rfi[[#This Row],[Ball In Court]]</f>
        <v>0</v>
      </c>
      <c r="G103" t="str">
        <f>Rfi[[#This Row],[State]]</f>
        <v>Closed</v>
      </c>
      <c r="H103" s="13"/>
      <c r="I103" s="10"/>
    </row>
    <row r="104" spans="1:9" hidden="1" x14ac:dyDescent="0.35">
      <c r="A104" t="str">
        <f>Rfi[[#This Row],[Priority]]</f>
        <v>Medium</v>
      </c>
      <c r="B104">
        <f>Rfi[[#This Row],[Number]]</f>
        <v>104</v>
      </c>
      <c r="C104" t="str">
        <f>Rfi[[#This Row],[Subject]]</f>
        <v>Historic north jacket wall elevation</v>
      </c>
      <c r="D104" s="2">
        <f>Rfi[[#This Row],[Sent]]</f>
        <v>43839</v>
      </c>
      <c r="E104" s="2">
        <f ca="1">TODAY()-Table2[[#This Row],[Date Sent]]</f>
        <v>463</v>
      </c>
      <c r="F104" s="1">
        <f>Rfi[[#This Row],[Ball In Court]]</f>
        <v>0</v>
      </c>
      <c r="G104" t="str">
        <f>Rfi[[#This Row],[State]]</f>
        <v>Closed</v>
      </c>
      <c r="H104" s="13"/>
      <c r="I104" s="10"/>
    </row>
    <row r="105" spans="1:9" hidden="1" x14ac:dyDescent="0.35">
      <c r="A105" t="str">
        <f>Rfi[[#This Row],[Priority]]</f>
        <v>High</v>
      </c>
      <c r="B105">
        <f>Rfi[[#This Row],[Number]]</f>
        <v>105</v>
      </c>
      <c r="C105" t="str">
        <f>Rfi[[#This Row],[Subject]]</f>
        <v>Storm Drain Installation Conflict</v>
      </c>
      <c r="D105" s="2">
        <f>Rfi[[#This Row],[Sent]]</f>
        <v>43840</v>
      </c>
      <c r="E105" s="2">
        <f ca="1">TODAY()-Table2[[#This Row],[Date Sent]]</f>
        <v>462</v>
      </c>
      <c r="F105" s="1">
        <f>Rfi[[#This Row],[Ball In Court]]</f>
        <v>0</v>
      </c>
      <c r="G105" t="str">
        <f>Rfi[[#This Row],[State]]</f>
        <v>Closed</v>
      </c>
      <c r="H105" s="13"/>
      <c r="I105" s="10"/>
    </row>
    <row r="106" spans="1:9" hidden="1" x14ac:dyDescent="0.35">
      <c r="A106" t="str">
        <f>Rfi[[#This Row],[Priority]]</f>
        <v>Medium</v>
      </c>
      <c r="B106">
        <f>Rfi[[#This Row],[Number]]</f>
        <v>106</v>
      </c>
      <c r="C106" t="str">
        <f>Rfi[[#This Row],[Subject]]</f>
        <v>ADA Benches RM 177 &amp; 168</v>
      </c>
      <c r="D106" s="2">
        <f>Rfi[[#This Row],[Sent]]</f>
        <v>43843</v>
      </c>
      <c r="E106" s="2">
        <f ca="1">TODAY()-Table2[[#This Row],[Date Sent]]</f>
        <v>459</v>
      </c>
      <c r="F106" s="1">
        <f>Rfi[[#This Row],[Ball In Court]]</f>
        <v>0</v>
      </c>
      <c r="G106" t="str">
        <f>Rfi[[#This Row],[State]]</f>
        <v>Closed</v>
      </c>
      <c r="H106" s="13"/>
      <c r="I106" s="10"/>
    </row>
    <row r="107" spans="1:9" hidden="1" x14ac:dyDescent="0.35">
      <c r="A107" t="str">
        <f>Rfi[[#This Row],[Priority]]</f>
        <v>High</v>
      </c>
      <c r="B107">
        <f>Rfi[[#This Row],[Number]]</f>
        <v>107</v>
      </c>
      <c r="C107" t="str">
        <f>Rfi[[#This Row],[Subject]]</f>
        <v>Material for Door Jambs &amp; Columns</v>
      </c>
      <c r="D107" s="2">
        <f>Rfi[[#This Row],[Sent]]</f>
        <v>43887</v>
      </c>
      <c r="E107" s="2">
        <f ca="1">TODAY()-Table2[[#This Row],[Date Sent]]</f>
        <v>415</v>
      </c>
      <c r="F107" s="1">
        <f>Rfi[[#This Row],[Ball In Court]]</f>
        <v>0</v>
      </c>
      <c r="G107" t="str">
        <f>Rfi[[#This Row],[State]]</f>
        <v>Closed</v>
      </c>
      <c r="H107" s="13"/>
      <c r="I107" s="10"/>
    </row>
    <row r="108" spans="1:9" hidden="1" x14ac:dyDescent="0.35">
      <c r="A108" t="str">
        <f>Rfi[[#This Row],[Priority]]</f>
        <v>Medium</v>
      </c>
      <c r="B108">
        <f>Rfi[[#This Row],[Number]]</f>
        <v>108</v>
      </c>
      <c r="C108" t="str">
        <f>Rfi[[#This Row],[Subject]]</f>
        <v>Quatrefoil Columns LVL 2</v>
      </c>
      <c r="D108" s="2">
        <f>Rfi[[#This Row],[Sent]]</f>
        <v>43843</v>
      </c>
      <c r="E108" s="2">
        <f ca="1">TODAY()-Table2[[#This Row],[Date Sent]]</f>
        <v>459</v>
      </c>
      <c r="F108" s="1">
        <f>Rfi[[#This Row],[Ball In Court]]</f>
        <v>0</v>
      </c>
      <c r="G108" t="str">
        <f>Rfi[[#This Row],[State]]</f>
        <v>Closed</v>
      </c>
      <c r="H108" s="13"/>
      <c r="I108" s="10"/>
    </row>
    <row r="109" spans="1:9" hidden="1" x14ac:dyDescent="0.35">
      <c r="A109" t="str">
        <f>Rfi[[#This Row],[Priority]]</f>
        <v>Medium</v>
      </c>
      <c r="B109">
        <f>Rfi[[#This Row],[Number]]</f>
        <v>109</v>
      </c>
      <c r="C109" t="str">
        <f>Rfi[[#This Row],[Subject]]</f>
        <v>Wood Moldings</v>
      </c>
      <c r="D109" s="2">
        <f>Rfi[[#This Row],[Sent]]</f>
        <v>43843</v>
      </c>
      <c r="E109" s="2">
        <f ca="1">TODAY()-Table2[[#This Row],[Date Sent]]</f>
        <v>459</v>
      </c>
      <c r="F109" s="1">
        <f>Rfi[[#This Row],[Ball In Court]]</f>
        <v>0</v>
      </c>
      <c r="G109" t="str">
        <f>Rfi[[#This Row],[State]]</f>
        <v>Closed</v>
      </c>
      <c r="H109" s="13"/>
      <c r="I109" s="10"/>
    </row>
    <row r="110" spans="1:9" hidden="1" x14ac:dyDescent="0.35">
      <c r="A110" t="str">
        <f>Rfi[[#This Row],[Priority]]</f>
        <v>Medium</v>
      </c>
      <c r="B110">
        <f>Rfi[[#This Row],[Number]]</f>
        <v>110</v>
      </c>
      <c r="C110" t="str">
        <f>Rfi[[#This Row],[Subject]]</f>
        <v>Columns Level 2 Vestibule 213, Stairs 5</v>
      </c>
      <c r="D110" s="2">
        <f>Rfi[[#This Row],[Sent]]</f>
        <v>43843</v>
      </c>
      <c r="E110" s="2">
        <f ca="1">TODAY()-Table2[[#This Row],[Date Sent]]</f>
        <v>459</v>
      </c>
      <c r="F110" s="1">
        <f>Rfi[[#This Row],[Ball In Court]]</f>
        <v>0</v>
      </c>
      <c r="G110" t="str">
        <f>Rfi[[#This Row],[State]]</f>
        <v>Closed</v>
      </c>
      <c r="H110" s="13"/>
      <c r="I110" s="10"/>
    </row>
    <row r="111" spans="1:9" hidden="1" x14ac:dyDescent="0.35">
      <c r="A111" t="str">
        <f>Rfi[[#This Row],[Priority]]</f>
        <v>Medium</v>
      </c>
      <c r="B111">
        <f>Rfi[[#This Row],[Number]]</f>
        <v>111</v>
      </c>
      <c r="C111" t="str">
        <f>Rfi[[#This Row],[Subject]]</f>
        <v>Door Casing Conflicts</v>
      </c>
      <c r="D111" s="2">
        <f>Rfi[[#This Row],[Sent]]</f>
        <v>43843</v>
      </c>
      <c r="E111" s="2">
        <f ca="1">TODAY()-Table2[[#This Row],[Date Sent]]</f>
        <v>459</v>
      </c>
      <c r="F111" s="1">
        <f>Rfi[[#This Row],[Ball In Court]]</f>
        <v>0</v>
      </c>
      <c r="G111" t="str">
        <f>Rfi[[#This Row],[State]]</f>
        <v>Closed</v>
      </c>
      <c r="H111" s="13"/>
      <c r="I111" s="10"/>
    </row>
    <row r="112" spans="1:9" hidden="1" x14ac:dyDescent="0.35">
      <c r="A112" t="str">
        <f>Rfi[[#This Row],[Priority]]</f>
        <v>Medium</v>
      </c>
      <c r="B112">
        <f>Rfi[[#This Row],[Number]]</f>
        <v>112</v>
      </c>
      <c r="C112" t="str">
        <f>Rfi[[#This Row],[Subject]]</f>
        <v>More Door Casing Conflicts</v>
      </c>
      <c r="D112" s="2">
        <f>Rfi[[#This Row],[Sent]]</f>
        <v>43843</v>
      </c>
      <c r="E112" s="2">
        <f ca="1">TODAY()-Table2[[#This Row],[Date Sent]]</f>
        <v>459</v>
      </c>
      <c r="F112" s="1">
        <f>Rfi[[#This Row],[Ball In Court]]</f>
        <v>0</v>
      </c>
      <c r="G112" t="str">
        <f>Rfi[[#This Row],[State]]</f>
        <v>Closed</v>
      </c>
      <c r="H112" s="13"/>
      <c r="I112" s="10"/>
    </row>
    <row r="113" spans="1:9" hidden="1" x14ac:dyDescent="0.35">
      <c r="A113" t="str">
        <f>Rfi[[#This Row],[Priority]]</f>
        <v>Medium</v>
      </c>
      <c r="B113">
        <f>Rfi[[#This Row],[Number]]</f>
        <v>113</v>
      </c>
      <c r="C113" t="str">
        <f>Rfi[[#This Row],[Subject]]</f>
        <v>Door Casing Conflicts (Door 068 &amp; 081)</v>
      </c>
      <c r="D113" s="2">
        <f>Rfi[[#This Row],[Sent]]</f>
        <v>43843</v>
      </c>
      <c r="E113" s="2">
        <f ca="1">TODAY()-Table2[[#This Row],[Date Sent]]</f>
        <v>459</v>
      </c>
      <c r="F113" s="1">
        <f>Rfi[[#This Row],[Ball In Court]]</f>
        <v>0</v>
      </c>
      <c r="G113" t="str">
        <f>Rfi[[#This Row],[State]]</f>
        <v>Closed</v>
      </c>
      <c r="H113" s="13"/>
      <c r="I113" s="10"/>
    </row>
    <row r="114" spans="1:9" hidden="1" x14ac:dyDescent="0.35">
      <c r="A114" t="str">
        <f>Rfi[[#This Row],[Priority]]</f>
        <v>Medium</v>
      </c>
      <c r="B114">
        <f>Rfi[[#This Row],[Number]]</f>
        <v>114</v>
      </c>
      <c r="C114" t="str">
        <f>Rfi[[#This Row],[Subject]]</f>
        <v>Door Schedule Hardware</v>
      </c>
      <c r="D114" s="2">
        <f>Rfi[[#This Row],[Sent]]</f>
        <v>43843</v>
      </c>
      <c r="E114" s="2">
        <f ca="1">TODAY()-Table2[[#This Row],[Date Sent]]</f>
        <v>459</v>
      </c>
      <c r="F114" s="1">
        <f>Rfi[[#This Row],[Ball In Court]]</f>
        <v>0</v>
      </c>
      <c r="G114" t="str">
        <f>Rfi[[#This Row],[State]]</f>
        <v>Closed</v>
      </c>
      <c r="H114" s="13"/>
      <c r="I114" s="10"/>
    </row>
    <row r="115" spans="1:9" hidden="1" x14ac:dyDescent="0.35">
      <c r="A115" t="str">
        <f>Rfi[[#This Row],[Priority]]</f>
        <v>Medium</v>
      </c>
      <c r="B115">
        <f>Rfi[[#This Row],[Number]]</f>
        <v>115</v>
      </c>
      <c r="C115" t="str">
        <f>Rfi[[#This Row],[Subject]]</f>
        <v>Casing Type RM 020A Mechanical</v>
      </c>
      <c r="D115" s="2">
        <f>Rfi[[#This Row],[Sent]]</f>
        <v>43843</v>
      </c>
      <c r="E115" s="2">
        <f ca="1">TODAY()-Table2[[#This Row],[Date Sent]]</f>
        <v>459</v>
      </c>
      <c r="F115" s="1">
        <f>Rfi[[#This Row],[Ball In Court]]</f>
        <v>0</v>
      </c>
      <c r="G115" t="str">
        <f>Rfi[[#This Row],[State]]</f>
        <v>Closed</v>
      </c>
      <c r="H115" s="13"/>
      <c r="I115" s="10"/>
    </row>
    <row r="116" spans="1:9" hidden="1" x14ac:dyDescent="0.35">
      <c r="A116" t="str">
        <f>Rfi[[#This Row],[Priority]]</f>
        <v>Medium</v>
      </c>
      <c r="B116">
        <f>Rfi[[#This Row],[Number]]</f>
        <v>116</v>
      </c>
      <c r="C116" t="str">
        <f>Rfi[[#This Row],[Subject]]</f>
        <v>Casing Door 065A</v>
      </c>
      <c r="D116" s="2">
        <f>Rfi[[#This Row],[Sent]]</f>
        <v>43843</v>
      </c>
      <c r="E116" s="2">
        <f ca="1">TODAY()-Table2[[#This Row],[Date Sent]]</f>
        <v>459</v>
      </c>
      <c r="F116" s="1">
        <f>Rfi[[#This Row],[Ball In Court]]</f>
        <v>0</v>
      </c>
      <c r="G116" t="str">
        <f>Rfi[[#This Row],[State]]</f>
        <v>Closed</v>
      </c>
      <c r="H116" s="13"/>
      <c r="I116" s="10"/>
    </row>
    <row r="117" spans="1:9" hidden="1" x14ac:dyDescent="0.35">
      <c r="A117" t="str">
        <f>Rfi[[#This Row],[Priority]]</f>
        <v>Medium</v>
      </c>
      <c r="B117">
        <f>Rfi[[#This Row],[Number]]</f>
        <v>117</v>
      </c>
      <c r="C117" t="str">
        <f>Rfi[[#This Row],[Subject]]</f>
        <v>Casing Door 060A</v>
      </c>
      <c r="D117" s="2">
        <f>Rfi[[#This Row],[Sent]]</f>
        <v>43843</v>
      </c>
      <c r="E117" s="2">
        <f ca="1">TODAY()-Table2[[#This Row],[Date Sent]]</f>
        <v>459</v>
      </c>
      <c r="F117" s="1">
        <f>Rfi[[#This Row],[Ball In Court]]</f>
        <v>0</v>
      </c>
      <c r="G117" t="str">
        <f>Rfi[[#This Row],[State]]</f>
        <v>Closed</v>
      </c>
      <c r="H117" s="13"/>
      <c r="I117" s="10"/>
    </row>
    <row r="118" spans="1:9" hidden="1" x14ac:dyDescent="0.35">
      <c r="A118" t="str">
        <f>Rfi[[#This Row],[Priority]]</f>
        <v>Medium</v>
      </c>
      <c r="B118">
        <f>Rfi[[#This Row],[Number]]</f>
        <v>118</v>
      </c>
      <c r="C118" t="str">
        <f>Rfi[[#This Row],[Subject]]</f>
        <v>Casing Door 060</v>
      </c>
      <c r="D118" s="2">
        <f>Rfi[[#This Row],[Sent]]</f>
        <v>43843</v>
      </c>
      <c r="E118" s="2">
        <f ca="1">TODAY()-Table2[[#This Row],[Date Sent]]</f>
        <v>459</v>
      </c>
      <c r="F118" s="1">
        <f>Rfi[[#This Row],[Ball In Court]]</f>
        <v>0</v>
      </c>
      <c r="G118" t="str">
        <f>Rfi[[#This Row],[State]]</f>
        <v>Closed</v>
      </c>
      <c r="H118" s="13"/>
      <c r="I118" s="10"/>
    </row>
    <row r="119" spans="1:9" hidden="1" x14ac:dyDescent="0.35">
      <c r="A119" t="str">
        <f>Rfi[[#This Row],[Priority]]</f>
        <v>Medium</v>
      </c>
      <c r="B119">
        <f>Rfi[[#This Row],[Number]]</f>
        <v>119</v>
      </c>
      <c r="C119" t="str">
        <f>Rfi[[#This Row],[Subject]]</f>
        <v>Casing Door 082A</v>
      </c>
      <c r="D119" s="2">
        <f>Rfi[[#This Row],[Sent]]</f>
        <v>43843</v>
      </c>
      <c r="E119" s="2">
        <f ca="1">TODAY()-Table2[[#This Row],[Date Sent]]</f>
        <v>459</v>
      </c>
      <c r="F119" s="1">
        <f>Rfi[[#This Row],[Ball In Court]]</f>
        <v>0</v>
      </c>
      <c r="G119" t="str">
        <f>Rfi[[#This Row],[State]]</f>
        <v>Closed</v>
      </c>
      <c r="H119" s="13"/>
      <c r="I119" s="10"/>
    </row>
    <row r="120" spans="1:9" hidden="1" x14ac:dyDescent="0.35">
      <c r="A120" t="str">
        <f>Rfi[[#This Row],[Priority]]</f>
        <v>Medium</v>
      </c>
      <c r="B120">
        <f>Rfi[[#This Row],[Number]]</f>
        <v>120</v>
      </c>
      <c r="C120" t="str">
        <f>Rfi[[#This Row],[Subject]]</f>
        <v>Casing Door 080</v>
      </c>
      <c r="D120" s="2">
        <f>Rfi[[#This Row],[Sent]]</f>
        <v>43843</v>
      </c>
      <c r="E120" s="2">
        <f ca="1">TODAY()-Table2[[#This Row],[Date Sent]]</f>
        <v>459</v>
      </c>
      <c r="F120" s="1">
        <f>Rfi[[#This Row],[Ball In Court]]</f>
        <v>0</v>
      </c>
      <c r="G120" t="str">
        <f>Rfi[[#This Row],[State]]</f>
        <v>Closed</v>
      </c>
      <c r="H120" s="13"/>
      <c r="I120" s="10"/>
    </row>
    <row r="121" spans="1:9" hidden="1" x14ac:dyDescent="0.35">
      <c r="A121" t="str">
        <f>Rfi[[#This Row],[Priority]]</f>
        <v>Medium</v>
      </c>
      <c r="B121">
        <f>Rfi[[#This Row],[Number]]</f>
        <v>121</v>
      </c>
      <c r="C121" t="str">
        <f>Rfi[[#This Row],[Subject]]</f>
        <v>Casing Door RM 053 Elevator Lobby</v>
      </c>
      <c r="D121" s="2">
        <f>Rfi[[#This Row],[Sent]]</f>
        <v>43843</v>
      </c>
      <c r="E121" s="2">
        <f ca="1">TODAY()-Table2[[#This Row],[Date Sent]]</f>
        <v>459</v>
      </c>
      <c r="F121" s="1">
        <f>Rfi[[#This Row],[Ball In Court]]</f>
        <v>0</v>
      </c>
      <c r="G121" t="str">
        <f>Rfi[[#This Row],[State]]</f>
        <v>Closed</v>
      </c>
      <c r="H121" s="13"/>
      <c r="I121" s="10"/>
    </row>
    <row r="122" spans="1:9" hidden="1" x14ac:dyDescent="0.35">
      <c r="A122" t="str">
        <f>Rfi[[#This Row],[Priority]]</f>
        <v>Medium</v>
      </c>
      <c r="B122">
        <f>Rfi[[#This Row],[Number]]</f>
        <v>122</v>
      </c>
      <c r="C122" t="str">
        <f>Rfi[[#This Row],[Subject]]</f>
        <v>Painted Stainless Steel Addendum 6 AS501</v>
      </c>
      <c r="D122" s="2">
        <f>Rfi[[#This Row],[Sent]]</f>
        <v>43843</v>
      </c>
      <c r="E122" s="2">
        <f ca="1">TODAY()-Table2[[#This Row],[Date Sent]]</f>
        <v>459</v>
      </c>
      <c r="F122" s="1">
        <f>Rfi[[#This Row],[Ball In Court]]</f>
        <v>0</v>
      </c>
      <c r="G122" t="str">
        <f>Rfi[[#This Row],[State]]</f>
        <v>Closed</v>
      </c>
      <c r="H122" s="13"/>
      <c r="I122" s="10"/>
    </row>
    <row r="123" spans="1:9" hidden="1" x14ac:dyDescent="0.35">
      <c r="A123" t="str">
        <f>Rfi[[#This Row],[Priority]]</f>
        <v>Medium</v>
      </c>
      <c r="B123">
        <f>Rfi[[#This Row],[Number]]</f>
        <v>123</v>
      </c>
      <c r="C123" t="str">
        <f>Rfi[[#This Row],[Subject]]</f>
        <v>Stone Finish</v>
      </c>
      <c r="D123" s="2">
        <f>Rfi[[#This Row],[Sent]]</f>
        <v>43843</v>
      </c>
      <c r="E123" s="2">
        <f ca="1">TODAY()-Table2[[#This Row],[Date Sent]]</f>
        <v>459</v>
      </c>
      <c r="F123" s="1">
        <f>Rfi[[#This Row],[Ball In Court]]</f>
        <v>0</v>
      </c>
      <c r="G123" t="str">
        <f>Rfi[[#This Row],[State]]</f>
        <v>Closed</v>
      </c>
      <c r="H123" s="13"/>
      <c r="I123" s="10"/>
    </row>
    <row r="124" spans="1:9" hidden="1" x14ac:dyDescent="0.35">
      <c r="A124" t="str">
        <f>Rfi[[#This Row],[Priority]]</f>
        <v>High</v>
      </c>
      <c r="B124">
        <f>Rfi[[#This Row],[Number]]</f>
        <v>124</v>
      </c>
      <c r="C124" t="str">
        <f>Rfi[[#This Row],[Subject]]</f>
        <v>Volume Damper Clarification</v>
      </c>
      <c r="D124" s="2">
        <f>Rfi[[#This Row],[Sent]]</f>
        <v>43843</v>
      </c>
      <c r="E124" s="2">
        <f ca="1">TODAY()-Table2[[#This Row],[Date Sent]]</f>
        <v>459</v>
      </c>
      <c r="F124" s="1">
        <f>Rfi[[#This Row],[Ball In Court]]</f>
        <v>0</v>
      </c>
      <c r="G124" t="str">
        <f>Rfi[[#This Row],[State]]</f>
        <v>Closed</v>
      </c>
      <c r="H124" s="13"/>
      <c r="I124" s="10"/>
    </row>
    <row r="125" spans="1:9" hidden="1" x14ac:dyDescent="0.35">
      <c r="A125" t="str">
        <f>Rfi[[#This Row],[Priority]]</f>
        <v>Medium</v>
      </c>
      <c r="B125">
        <f>Rfi[[#This Row],[Number]]</f>
        <v>125</v>
      </c>
      <c r="C125" t="str">
        <f>Rfi[[#This Row],[Subject]]</f>
        <v>Species of Wood for Wood Windows</v>
      </c>
      <c r="D125" s="2">
        <f>Rfi[[#This Row],[Sent]]</f>
        <v>43844</v>
      </c>
      <c r="E125" s="2">
        <f ca="1">TODAY()-Table2[[#This Row],[Date Sent]]</f>
        <v>458</v>
      </c>
      <c r="F125" s="1">
        <f>Rfi[[#This Row],[Ball In Court]]</f>
        <v>0</v>
      </c>
      <c r="G125" t="str">
        <f>Rfi[[#This Row],[State]]</f>
        <v>Closed</v>
      </c>
      <c r="H125" s="13"/>
      <c r="I125" s="10"/>
    </row>
    <row r="126" spans="1:9" hidden="1" x14ac:dyDescent="0.35">
      <c r="A126" t="str">
        <f>Rfi[[#This Row],[Priority]]</f>
        <v>High</v>
      </c>
      <c r="B126">
        <f>Rfi[[#This Row],[Number]]</f>
        <v>126</v>
      </c>
      <c r="C126" t="str">
        <f>Rfi[[#This Row],[Subject]]</f>
        <v>Baptistery Ceiling Structural Reinforcing</v>
      </c>
      <c r="D126" s="2">
        <f>Rfi[[#This Row],[Sent]]</f>
        <v>43844</v>
      </c>
      <c r="E126" s="2">
        <f ca="1">TODAY()-Table2[[#This Row],[Date Sent]]</f>
        <v>458</v>
      </c>
      <c r="F126" s="1">
        <f>Rfi[[#This Row],[Ball In Court]]</f>
        <v>0</v>
      </c>
      <c r="G126" t="str">
        <f>Rfi[[#This Row],[State]]</f>
        <v>Closed</v>
      </c>
      <c r="H126" s="13"/>
      <c r="I126" s="10"/>
    </row>
    <row r="127" spans="1:9" hidden="1" x14ac:dyDescent="0.35">
      <c r="A127" t="str">
        <f>Rfi[[#This Row],[Priority]]</f>
        <v>High</v>
      </c>
      <c r="B127">
        <f>Rfi[[#This Row],[Number]]</f>
        <v>127</v>
      </c>
      <c r="C127" t="str">
        <f>Rfi[[#This Row],[Subject]]</f>
        <v>DW Lines Under Slab</v>
      </c>
      <c r="D127" s="2">
        <f>Rfi[[#This Row],[Sent]]</f>
        <v>43844</v>
      </c>
      <c r="E127" s="2">
        <f ca="1">TODAY()-Table2[[#This Row],[Date Sent]]</f>
        <v>458</v>
      </c>
      <c r="F127" s="1">
        <f>Rfi[[#This Row],[Ball In Court]]</f>
        <v>0</v>
      </c>
      <c r="G127" t="str">
        <f>Rfi[[#This Row],[State]]</f>
        <v>Closed</v>
      </c>
      <c r="H127" s="13"/>
      <c r="I127" s="10"/>
    </row>
    <row r="128" spans="1:9" hidden="1" x14ac:dyDescent="0.35">
      <c r="A128" t="str">
        <f>Rfi[[#This Row],[Priority]]</f>
        <v>Medium</v>
      </c>
      <c r="B128">
        <f>Rfi[[#This Row],[Number]]</f>
        <v>128</v>
      </c>
      <c r="C128" t="str">
        <f>Rfi[[#This Row],[Subject]]</f>
        <v>Annex perimeter chamfer profile EL. 100</v>
      </c>
      <c r="D128" s="2">
        <f>Rfi[[#This Row],[Sent]]</f>
        <v>43844</v>
      </c>
      <c r="E128" s="2">
        <f ca="1">TODAY()-Table2[[#This Row],[Date Sent]]</f>
        <v>458</v>
      </c>
      <c r="F128" s="1">
        <f>Rfi[[#This Row],[Ball In Court]]</f>
        <v>0</v>
      </c>
      <c r="G128" t="str">
        <f>Rfi[[#This Row],[State]]</f>
        <v>Closed</v>
      </c>
      <c r="H128" s="13"/>
      <c r="I128" s="10"/>
    </row>
    <row r="129" spans="1:9" hidden="1" x14ac:dyDescent="0.35">
      <c r="A129" t="str">
        <f>Rfi[[#This Row],[Priority]]</f>
        <v>Medium</v>
      </c>
      <c r="B129">
        <f>Rfi[[#This Row],[Number]]</f>
        <v>129</v>
      </c>
      <c r="C129" t="str">
        <f>Rfi[[#This Row],[Subject]]</f>
        <v>Existing Annex Concrete Wall Clarifications</v>
      </c>
      <c r="D129" s="2">
        <f>Rfi[[#This Row],[Sent]]</f>
        <v>43845</v>
      </c>
      <c r="E129" s="2">
        <f ca="1">TODAY()-Table2[[#This Row],[Date Sent]]</f>
        <v>457</v>
      </c>
      <c r="F129" s="1">
        <f>Rfi[[#This Row],[Ball In Court]]</f>
        <v>0</v>
      </c>
      <c r="G129" t="str">
        <f>Rfi[[#This Row],[State]]</f>
        <v>Closed</v>
      </c>
      <c r="H129" s="13"/>
      <c r="I129" s="10"/>
    </row>
    <row r="130" spans="1:9" hidden="1" x14ac:dyDescent="0.35">
      <c r="A130" t="str">
        <f>Rfi[[#This Row],[Priority]]</f>
        <v>Medium</v>
      </c>
      <c r="B130">
        <f>Rfi[[#This Row],[Number]]</f>
        <v>130</v>
      </c>
      <c r="C130" t="str">
        <f>Rfi[[#This Row],[Subject]]</f>
        <v>Sprinkler Head Cover Colors</v>
      </c>
      <c r="D130" s="2">
        <f>Rfi[[#This Row],[Sent]]</f>
        <v>43845</v>
      </c>
      <c r="E130" s="2">
        <f ca="1">TODAY()-Table2[[#This Row],[Date Sent]]</f>
        <v>457</v>
      </c>
      <c r="F130" s="1">
        <f>Rfi[[#This Row],[Ball In Court]]</f>
        <v>0</v>
      </c>
      <c r="G130" t="str">
        <f>Rfi[[#This Row],[State]]</f>
        <v>Closed</v>
      </c>
      <c r="H130" s="13"/>
      <c r="I130" s="10"/>
    </row>
    <row r="131" spans="1:9" hidden="1" x14ac:dyDescent="0.35">
      <c r="A131" t="str">
        <f>Rfi[[#This Row],[Priority]]</f>
        <v>Medium</v>
      </c>
      <c r="B131">
        <f>Rfi[[#This Row],[Number]]</f>
        <v>131</v>
      </c>
      <c r="C131" t="str">
        <f>Rfi[[#This Row],[Subject]]</f>
        <v>SE-1 Sump Dimensions</v>
      </c>
      <c r="D131" s="2">
        <f>Rfi[[#This Row],[Sent]]</f>
        <v>43845</v>
      </c>
      <c r="E131" s="2">
        <f ca="1">TODAY()-Table2[[#This Row],[Date Sent]]</f>
        <v>457</v>
      </c>
      <c r="F131" s="1">
        <f>Rfi[[#This Row],[Ball In Court]]</f>
        <v>0</v>
      </c>
      <c r="G131" t="str">
        <f>Rfi[[#This Row],[State]]</f>
        <v>Closed</v>
      </c>
      <c r="H131" s="13"/>
      <c r="I131" s="10"/>
    </row>
    <row r="132" spans="1:9" hidden="1" x14ac:dyDescent="0.35">
      <c r="A132" t="str">
        <f>Rfi[[#This Row],[Priority]]</f>
        <v>Medium</v>
      </c>
      <c r="B132">
        <f>Rfi[[#This Row],[Number]]</f>
        <v>132</v>
      </c>
      <c r="C132" t="str">
        <f>Rfi[[#This Row],[Subject]]</f>
        <v>Roof drain body installation methods</v>
      </c>
      <c r="D132" s="2">
        <f>Rfi[[#This Row],[Sent]]</f>
        <v>43845</v>
      </c>
      <c r="E132" s="2">
        <f ca="1">TODAY()-Table2[[#This Row],[Date Sent]]</f>
        <v>457</v>
      </c>
      <c r="F132" s="1">
        <f>Rfi[[#This Row],[Ball In Court]]</f>
        <v>0</v>
      </c>
      <c r="G132" t="str">
        <f>Rfi[[#This Row],[State]]</f>
        <v>Closed</v>
      </c>
      <c r="H132" s="13"/>
      <c r="I132" s="10"/>
    </row>
    <row r="133" spans="1:9" hidden="1" x14ac:dyDescent="0.35">
      <c r="A133" t="str">
        <f>Rfi[[#This Row],[Priority]]</f>
        <v>Medium</v>
      </c>
      <c r="B133">
        <f>Rfi[[#This Row],[Number]]</f>
        <v>133</v>
      </c>
      <c r="C133" t="str">
        <f>Rfi[[#This Row],[Subject]]</f>
        <v>Floor drain locations-placements</v>
      </c>
      <c r="D133" s="2">
        <f>Rfi[[#This Row],[Sent]]</f>
        <v>43845</v>
      </c>
      <c r="E133" s="2">
        <f ca="1">TODAY()-Table2[[#This Row],[Date Sent]]</f>
        <v>457</v>
      </c>
      <c r="F133" s="1">
        <f>Rfi[[#This Row],[Ball In Court]]</f>
        <v>0</v>
      </c>
      <c r="G133" t="str">
        <f>Rfi[[#This Row],[State]]</f>
        <v>Closed</v>
      </c>
      <c r="H133" s="13"/>
      <c r="I133" s="10"/>
    </row>
    <row r="134" spans="1:9" hidden="1" x14ac:dyDescent="0.35">
      <c r="A134" t="str">
        <f>Rfi[[#This Row],[Priority]]</f>
        <v>Medium</v>
      </c>
      <c r="B134">
        <f>Rfi[[#This Row],[Number]]</f>
        <v>134</v>
      </c>
      <c r="C134" t="str">
        <f>Rfi[[#This Row],[Subject]]</f>
        <v>North stonewall and footing sequencing detail 1/S243</v>
      </c>
      <c r="D134" s="2">
        <f>Rfi[[#This Row],[Sent]]</f>
        <v>43845</v>
      </c>
      <c r="E134" s="2">
        <f ca="1">TODAY()-Table2[[#This Row],[Date Sent]]</f>
        <v>457</v>
      </c>
      <c r="F134" s="1">
        <f>Rfi[[#This Row],[Ball In Court]]</f>
        <v>0</v>
      </c>
      <c r="G134" t="str">
        <f>Rfi[[#This Row],[State]]</f>
        <v>Closed</v>
      </c>
      <c r="H134" s="13"/>
      <c r="I134" s="10"/>
    </row>
    <row r="135" spans="1:9" hidden="1" x14ac:dyDescent="0.35">
      <c r="A135" t="str">
        <f>Rfi[[#This Row],[Priority]]</f>
        <v>Medium</v>
      </c>
      <c r="B135">
        <f>Rfi[[#This Row],[Number]]</f>
        <v>135</v>
      </c>
      <c r="C135" t="str">
        <f>Rfi[[#This Row],[Subject]]</f>
        <v>Roof drain architectural locations</v>
      </c>
      <c r="D135" s="2">
        <f>Rfi[[#This Row],[Sent]]</f>
        <v>43845</v>
      </c>
      <c r="E135" s="2">
        <f ca="1">TODAY()-Table2[[#This Row],[Date Sent]]</f>
        <v>457</v>
      </c>
      <c r="F135" s="1">
        <f>Rfi[[#This Row],[Ball In Court]]</f>
        <v>0</v>
      </c>
      <c r="G135" t="str">
        <f>Rfi[[#This Row],[State]]</f>
        <v>Closed</v>
      </c>
      <c r="H135" s="13"/>
      <c r="I135" s="10"/>
    </row>
    <row r="136" spans="1:9" hidden="1" x14ac:dyDescent="0.35">
      <c r="A136" t="str">
        <f>Rfi[[#This Row],[Priority]]</f>
        <v>Medium</v>
      </c>
      <c r="B136">
        <f>Rfi[[#This Row],[Number]]</f>
        <v>136</v>
      </c>
      <c r="C136" t="str">
        <f>Rfi[[#This Row],[Subject]]</f>
        <v>Nursery</v>
      </c>
      <c r="D136" s="2">
        <f>Rfi[[#This Row],[Sent]]</f>
        <v>43845</v>
      </c>
      <c r="E136" s="2">
        <f ca="1">TODAY()-Table2[[#This Row],[Date Sent]]</f>
        <v>457</v>
      </c>
      <c r="F136" s="1">
        <f>Rfi[[#This Row],[Ball In Court]]</f>
        <v>0</v>
      </c>
      <c r="G136" t="str">
        <f>Rfi[[#This Row],[State]]</f>
        <v>Closed</v>
      </c>
      <c r="H136" s="13"/>
      <c r="I136" s="10"/>
    </row>
    <row r="137" spans="1:9" hidden="1" x14ac:dyDescent="0.35">
      <c r="A137" t="str">
        <f>Rfi[[#This Row],[Priority]]</f>
        <v>Medium</v>
      </c>
      <c r="B137">
        <f>Rfi[[#This Row],[Number]]</f>
        <v>137</v>
      </c>
      <c r="C137" t="str">
        <f>Rfi[[#This Row],[Subject]]</f>
        <v>Existing Grass</v>
      </c>
      <c r="D137" s="2">
        <f>Rfi[[#This Row],[Sent]]</f>
        <v>43866</v>
      </c>
      <c r="E137" s="2">
        <f ca="1">TODAY()-Table2[[#This Row],[Date Sent]]</f>
        <v>436</v>
      </c>
      <c r="F137" s="1">
        <f>Rfi[[#This Row],[Ball In Court]]</f>
        <v>0</v>
      </c>
      <c r="G137" t="str">
        <f>Rfi[[#This Row],[State]]</f>
        <v>Closed</v>
      </c>
      <c r="H137" s="13"/>
      <c r="I137" s="10"/>
    </row>
    <row r="138" spans="1:9" hidden="1" x14ac:dyDescent="0.35">
      <c r="A138" t="str">
        <f>Rfi[[#This Row],[Priority]]</f>
        <v>Medium</v>
      </c>
      <c r="B138">
        <f>Rfi[[#This Row],[Number]]</f>
        <v>138</v>
      </c>
      <c r="C138" t="str">
        <f>Rfi[[#This Row],[Subject]]</f>
        <v>Mechanical Opening at S301</v>
      </c>
      <c r="D138" s="2">
        <f>Rfi[[#This Row],[Sent]]</f>
        <v>44041</v>
      </c>
      <c r="E138" s="2">
        <f ca="1">TODAY()-Table2[[#This Row],[Date Sent]]</f>
        <v>261</v>
      </c>
      <c r="F138" s="1">
        <f>Rfi[[#This Row],[Ball In Court]]</f>
        <v>0</v>
      </c>
      <c r="G138" t="str">
        <f>Rfi[[#This Row],[State]]</f>
        <v>Closed</v>
      </c>
      <c r="H138" s="13"/>
      <c r="I138" s="10"/>
    </row>
    <row r="139" spans="1:9" hidden="1" x14ac:dyDescent="0.35">
      <c r="A139" t="str">
        <f>Rfi[[#This Row],[Priority]]</f>
        <v>Medium</v>
      </c>
      <c r="B139">
        <f>Rfi[[#This Row],[Number]]</f>
        <v>139</v>
      </c>
      <c r="C139" t="str">
        <f>Rfi[[#This Row],[Subject]]</f>
        <v>IL-4 Louver Size</v>
      </c>
      <c r="D139" s="2">
        <f>Rfi[[#This Row],[Sent]]</f>
        <v>43845</v>
      </c>
      <c r="E139" s="2">
        <f ca="1">TODAY()-Table2[[#This Row],[Date Sent]]</f>
        <v>457</v>
      </c>
      <c r="F139" s="1">
        <f>Rfi[[#This Row],[Ball In Court]]</f>
        <v>0</v>
      </c>
      <c r="G139" t="str">
        <f>Rfi[[#This Row],[State]]</f>
        <v>Closed</v>
      </c>
      <c r="H139" s="13"/>
      <c r="I139" s="10"/>
    </row>
    <row r="140" spans="1:9" hidden="1" x14ac:dyDescent="0.35">
      <c r="A140" t="str">
        <f>Rfi[[#This Row],[Priority]]</f>
        <v>High</v>
      </c>
      <c r="B140">
        <f>Rfi[[#This Row],[Number]]</f>
        <v>140</v>
      </c>
      <c r="C140" t="str">
        <f>Rfi[[#This Row],[Subject]]</f>
        <v>S100A mechanical opening sizes and elevations</v>
      </c>
      <c r="D140" s="2">
        <f>Rfi[[#This Row],[Sent]]</f>
        <v>43859</v>
      </c>
      <c r="E140" s="2">
        <f ca="1">TODAY()-Table2[[#This Row],[Date Sent]]</f>
        <v>443</v>
      </c>
      <c r="F140" s="1">
        <f>Rfi[[#This Row],[Ball In Court]]</f>
        <v>0</v>
      </c>
      <c r="G140" t="str">
        <f>Rfi[[#This Row],[State]]</f>
        <v>Closed</v>
      </c>
      <c r="H140" s="13"/>
      <c r="I140" s="10"/>
    </row>
    <row r="141" spans="1:9" hidden="1" x14ac:dyDescent="0.35">
      <c r="A141" t="str">
        <f>Rfi[[#This Row],[Priority]]</f>
        <v>Medium</v>
      </c>
      <c r="B141">
        <f>Rfi[[#This Row],[Number]]</f>
        <v>141</v>
      </c>
      <c r="C141" t="str">
        <f>Rfi[[#This Row],[Subject]]</f>
        <v>Intake Louver IL-4 and associated components-openings</v>
      </c>
      <c r="D141" s="2">
        <f>Rfi[[#This Row],[Sent]]</f>
        <v>43845</v>
      </c>
      <c r="E141" s="2">
        <f ca="1">TODAY()-Table2[[#This Row],[Date Sent]]</f>
        <v>457</v>
      </c>
      <c r="F141" s="1">
        <f>Rfi[[#This Row],[Ball In Court]]</f>
        <v>0</v>
      </c>
      <c r="G141" t="str">
        <f>Rfi[[#This Row],[State]]</f>
        <v>Closed</v>
      </c>
      <c r="H141" s="13"/>
      <c r="I141" s="10"/>
    </row>
    <row r="142" spans="1:9" hidden="1" x14ac:dyDescent="0.35">
      <c r="A142" t="str">
        <f>Rfi[[#This Row],[Priority]]</f>
        <v>Medium</v>
      </c>
      <c r="B142">
        <f>Rfi[[#This Row],[Number]]</f>
        <v>142</v>
      </c>
      <c r="C142" t="str">
        <f>Rfi[[#This Row],[Subject]]</f>
        <v>Soda conduit routing</v>
      </c>
      <c r="D142" s="2">
        <f>Rfi[[#This Row],[Sent]]</f>
        <v>43845</v>
      </c>
      <c r="E142" s="2">
        <f ca="1">TODAY()-Table2[[#This Row],[Date Sent]]</f>
        <v>457</v>
      </c>
      <c r="F142" s="1">
        <f>Rfi[[#This Row],[Ball In Court]]</f>
        <v>0</v>
      </c>
      <c r="G142" t="str">
        <f>Rfi[[#This Row],[State]]</f>
        <v>Closed</v>
      </c>
      <c r="H142" s="13"/>
      <c r="I142" s="10"/>
    </row>
    <row r="143" spans="1:9" hidden="1" x14ac:dyDescent="0.35">
      <c r="A143" t="str">
        <f>Rfi[[#This Row],[Priority]]</f>
        <v>Medium</v>
      </c>
      <c r="B143">
        <f>Rfi[[#This Row],[Number]]</f>
        <v>143</v>
      </c>
      <c r="C143" t="str">
        <f>Rfi[[#This Row],[Subject]]</f>
        <v>Wood Base 4 c4/AE570</v>
      </c>
      <c r="D143" s="2">
        <f>Rfi[[#This Row],[Sent]]</f>
        <v>43845</v>
      </c>
      <c r="E143" s="2">
        <f ca="1">TODAY()-Table2[[#This Row],[Date Sent]]</f>
        <v>457</v>
      </c>
      <c r="F143" s="1">
        <f>Rfi[[#This Row],[Ball In Court]]</f>
        <v>0</v>
      </c>
      <c r="G143" t="str">
        <f>Rfi[[#This Row],[State]]</f>
        <v>Closed</v>
      </c>
      <c r="H143" s="13"/>
      <c r="I143" s="10"/>
    </row>
    <row r="144" spans="1:9" hidden="1" x14ac:dyDescent="0.35">
      <c r="A144" t="str">
        <f>Rfi[[#This Row],[Priority]]</f>
        <v>Medium</v>
      </c>
      <c r="B144">
        <f>Rfi[[#This Row],[Number]]</f>
        <v>144</v>
      </c>
      <c r="C144" t="str">
        <f>Rfi[[#This Row],[Subject]]</f>
        <v>Wood Base Type 1 C1/AE570</v>
      </c>
      <c r="D144" s="2">
        <f>Rfi[[#This Row],[Sent]]</f>
        <v>43846</v>
      </c>
      <c r="E144" s="2">
        <f ca="1">TODAY()-Table2[[#This Row],[Date Sent]]</f>
        <v>456</v>
      </c>
      <c r="F144" s="1">
        <f>Rfi[[#This Row],[Ball In Court]]</f>
        <v>0</v>
      </c>
      <c r="G144" t="str">
        <f>Rfi[[#This Row],[State]]</f>
        <v>Closed</v>
      </c>
      <c r="H144" s="13"/>
      <c r="I144" s="10"/>
    </row>
    <row r="145" spans="1:9" hidden="1" x14ac:dyDescent="0.35">
      <c r="A145" t="str">
        <f>Rfi[[#This Row],[Priority]]</f>
        <v>Medium</v>
      </c>
      <c r="B145">
        <f>Rfi[[#This Row],[Number]]</f>
        <v>145</v>
      </c>
      <c r="C145" t="str">
        <f>Rfi[[#This Row],[Subject]]</f>
        <v>Door 052B door type 21</v>
      </c>
      <c r="D145" s="2">
        <f>Rfi[[#This Row],[Sent]]</f>
        <v>43846</v>
      </c>
      <c r="E145" s="2">
        <f ca="1">TODAY()-Table2[[#This Row],[Date Sent]]</f>
        <v>456</v>
      </c>
      <c r="F145" s="1">
        <f>Rfi[[#This Row],[Ball In Court]]</f>
        <v>0</v>
      </c>
      <c r="G145" t="str">
        <f>Rfi[[#This Row],[State]]</f>
        <v>Closed</v>
      </c>
      <c r="H145" s="13"/>
      <c r="I145" s="10"/>
    </row>
    <row r="146" spans="1:9" hidden="1" x14ac:dyDescent="0.35">
      <c r="A146" t="str">
        <f>Rfi[[#This Row],[Priority]]</f>
        <v>Medium</v>
      </c>
      <c r="B146">
        <f>Rfi[[#This Row],[Number]]</f>
        <v>146</v>
      </c>
      <c r="C146" t="str">
        <f>Rfi[[#This Row],[Subject]]</f>
        <v>Lighting Control Panel Schedules</v>
      </c>
      <c r="D146" s="2">
        <f>Rfi[[#This Row],[Sent]]</f>
        <v>43846</v>
      </c>
      <c r="E146" s="2">
        <f ca="1">TODAY()-Table2[[#This Row],[Date Sent]]</f>
        <v>456</v>
      </c>
      <c r="F146" s="1">
        <f>Rfi[[#This Row],[Ball In Court]]</f>
        <v>0</v>
      </c>
      <c r="G146" t="str">
        <f>Rfi[[#This Row],[State]]</f>
        <v>Closed</v>
      </c>
      <c r="H146" s="13"/>
      <c r="I146" s="10"/>
    </row>
    <row r="147" spans="1:9" hidden="1" x14ac:dyDescent="0.35">
      <c r="A147" t="str">
        <f>Rfi[[#This Row],[Priority]]</f>
        <v>Medium</v>
      </c>
      <c r="B147">
        <f>Rfi[[#This Row],[Number]]</f>
        <v>147</v>
      </c>
      <c r="C147" t="str">
        <f>Rfi[[#This Row],[Subject]]</f>
        <v>Electrical Panel "HE5"</v>
      </c>
      <c r="D147" s="2">
        <f>Rfi[[#This Row],[Sent]]</f>
        <v>43846</v>
      </c>
      <c r="E147" s="2">
        <f ca="1">TODAY()-Table2[[#This Row],[Date Sent]]</f>
        <v>456</v>
      </c>
      <c r="F147" s="1">
        <f>Rfi[[#This Row],[Ball In Court]]</f>
        <v>0</v>
      </c>
      <c r="G147" t="str">
        <f>Rfi[[#This Row],[State]]</f>
        <v>Closed</v>
      </c>
      <c r="H147" s="13"/>
      <c r="I147" s="10"/>
    </row>
    <row r="148" spans="1:9" hidden="1" x14ac:dyDescent="0.35">
      <c r="A148" t="str">
        <f>Rfi[[#This Row],[Priority]]</f>
        <v>Medium</v>
      </c>
      <c r="B148">
        <f>Rfi[[#This Row],[Number]]</f>
        <v>148</v>
      </c>
      <c r="C148" t="str">
        <f>Rfi[[#This Row],[Subject]]</f>
        <v>Sanitary waste p-traps</v>
      </c>
      <c r="D148" s="2">
        <f>Rfi[[#This Row],[Sent]]</f>
        <v>43846</v>
      </c>
      <c r="E148" s="2">
        <f ca="1">TODAY()-Table2[[#This Row],[Date Sent]]</f>
        <v>456</v>
      </c>
      <c r="F148" s="1">
        <f>Rfi[[#This Row],[Ball In Court]]</f>
        <v>0</v>
      </c>
      <c r="G148" t="str">
        <f>Rfi[[#This Row],[State]]</f>
        <v>Closed</v>
      </c>
      <c r="H148" s="13"/>
      <c r="I148" s="10"/>
    </row>
    <row r="149" spans="1:9" hidden="1" x14ac:dyDescent="0.35">
      <c r="A149" t="str">
        <f>Rfi[[#This Row],[Priority]]</f>
        <v>Medium</v>
      </c>
      <c r="B149">
        <f>Rfi[[#This Row],[Number]]</f>
        <v>149</v>
      </c>
      <c r="C149" t="str">
        <f>Rfi[[#This Row],[Subject]]</f>
        <v>EL 102A Drawing Clarifications</v>
      </c>
      <c r="D149" s="2">
        <f>Rfi[[#This Row],[Sent]]</f>
        <v>43846</v>
      </c>
      <c r="E149" s="2">
        <f ca="1">TODAY()-Table2[[#This Row],[Date Sent]]</f>
        <v>456</v>
      </c>
      <c r="F149" s="1">
        <f>Rfi[[#This Row],[Ball In Court]]</f>
        <v>0</v>
      </c>
      <c r="G149" t="str">
        <f>Rfi[[#This Row],[State]]</f>
        <v>Closed</v>
      </c>
      <c r="H149" s="13"/>
      <c r="I149" s="10"/>
    </row>
    <row r="150" spans="1:9" hidden="1" x14ac:dyDescent="0.35">
      <c r="A150" t="str">
        <f>Rfi[[#This Row],[Priority]]</f>
        <v>Medium</v>
      </c>
      <c r="B150">
        <f>Rfi[[#This Row],[Number]]</f>
        <v>150</v>
      </c>
      <c r="C150" t="str">
        <f>Rfi[[#This Row],[Subject]]</f>
        <v>EL 102A Drawing Clairifications</v>
      </c>
      <c r="D150" s="2">
        <f>Rfi[[#This Row],[Sent]]</f>
        <v>43846</v>
      </c>
      <c r="E150" s="2">
        <f ca="1">TODAY()-Table2[[#This Row],[Date Sent]]</f>
        <v>456</v>
      </c>
      <c r="F150" s="1">
        <f>Rfi[[#This Row],[Ball In Court]]</f>
        <v>0</v>
      </c>
      <c r="G150" t="str">
        <f>Rfi[[#This Row],[State]]</f>
        <v>Closed</v>
      </c>
      <c r="H150" s="13"/>
      <c r="I150" s="10"/>
    </row>
    <row r="151" spans="1:9" hidden="1" x14ac:dyDescent="0.35">
      <c r="A151" t="str">
        <f>Rfi[[#This Row],[Priority]]</f>
        <v>Medium</v>
      </c>
      <c r="B151">
        <f>Rfi[[#This Row],[Number]]</f>
        <v>151</v>
      </c>
      <c r="C151" t="str">
        <f>Rfi[[#This Row],[Subject]]</f>
        <v>El 103 A&amp;B Drawing Clarifications</v>
      </c>
      <c r="D151" s="2">
        <f>Rfi[[#This Row],[Sent]]</f>
        <v>43846</v>
      </c>
      <c r="E151" s="2">
        <f ca="1">TODAY()-Table2[[#This Row],[Date Sent]]</f>
        <v>456</v>
      </c>
      <c r="F151" s="1">
        <f>Rfi[[#This Row],[Ball In Court]]</f>
        <v>0</v>
      </c>
      <c r="G151" t="str">
        <f>Rfi[[#This Row],[State]]</f>
        <v>Closed</v>
      </c>
      <c r="H151" s="13"/>
      <c r="I151" s="10"/>
    </row>
    <row r="152" spans="1:9" hidden="1" x14ac:dyDescent="0.35">
      <c r="A152" t="str">
        <f>Rfi[[#This Row],[Priority]]</f>
        <v>Medium</v>
      </c>
      <c r="B152">
        <f>Rfi[[#This Row],[Number]]</f>
        <v>152</v>
      </c>
      <c r="C152" t="str">
        <f>Rfi[[#This Row],[Subject]]</f>
        <v>EL 101D Drawing Clarification</v>
      </c>
      <c r="D152" s="2">
        <f>Rfi[[#This Row],[Sent]]</f>
        <v>43846</v>
      </c>
      <c r="E152" s="2">
        <f ca="1">TODAY()-Table2[[#This Row],[Date Sent]]</f>
        <v>456</v>
      </c>
      <c r="F152" s="1">
        <f>Rfi[[#This Row],[Ball In Court]]</f>
        <v>0</v>
      </c>
      <c r="G152" t="str">
        <f>Rfi[[#This Row],[State]]</f>
        <v>Closed</v>
      </c>
      <c r="H152" s="13"/>
      <c r="I152" s="10"/>
    </row>
    <row r="153" spans="1:9" hidden="1" x14ac:dyDescent="0.35">
      <c r="A153" t="str">
        <f>Rfi[[#This Row],[Priority]]</f>
        <v>Medium</v>
      </c>
      <c r="B153">
        <f>Rfi[[#This Row],[Number]]</f>
        <v>153</v>
      </c>
      <c r="C153" t="str">
        <f>Rfi[[#This Row],[Subject]]</f>
        <v>EL 101C Drawing Clarifications</v>
      </c>
      <c r="D153" s="2">
        <f>Rfi[[#This Row],[Sent]]</f>
        <v>43846</v>
      </c>
      <c r="E153" s="2">
        <f ca="1">TODAY()-Table2[[#This Row],[Date Sent]]</f>
        <v>456</v>
      </c>
      <c r="F153" s="1">
        <f>Rfi[[#This Row],[Ball In Court]]</f>
        <v>0</v>
      </c>
      <c r="G153" t="str">
        <f>Rfi[[#This Row],[State]]</f>
        <v>Closed</v>
      </c>
      <c r="H153" s="13"/>
      <c r="I153" s="10"/>
    </row>
    <row r="154" spans="1:9" hidden="1" x14ac:dyDescent="0.35">
      <c r="A154" t="str">
        <f>Rfi[[#This Row],[Priority]]</f>
        <v>Medium</v>
      </c>
      <c r="B154">
        <f>Rfi[[#This Row],[Number]]</f>
        <v>154</v>
      </c>
      <c r="C154" t="str">
        <f>Rfi[[#This Row],[Subject]]</f>
        <v>El 101A Drawing Clarifications</v>
      </c>
      <c r="D154" s="2">
        <f>Rfi[[#This Row],[Sent]]</f>
        <v>43846</v>
      </c>
      <c r="E154" s="2">
        <f ca="1">TODAY()-Table2[[#This Row],[Date Sent]]</f>
        <v>456</v>
      </c>
      <c r="F154" s="1">
        <f>Rfi[[#This Row],[Ball In Court]]</f>
        <v>0</v>
      </c>
      <c r="G154" t="str">
        <f>Rfi[[#This Row],[State]]</f>
        <v>Closed</v>
      </c>
      <c r="H154" s="13"/>
      <c r="I154" s="10"/>
    </row>
    <row r="155" spans="1:9" hidden="1" x14ac:dyDescent="0.35">
      <c r="A155" t="str">
        <f>Rfi[[#This Row],[Priority]]</f>
        <v>Medium</v>
      </c>
      <c r="B155">
        <f>Rfi[[#This Row],[Number]]</f>
        <v>155</v>
      </c>
      <c r="C155" t="str">
        <f>Rfi[[#This Row],[Subject]]</f>
        <v>ES 200 Drawing Clarifications</v>
      </c>
      <c r="D155" s="2">
        <f>Rfi[[#This Row],[Sent]]</f>
        <v>43846</v>
      </c>
      <c r="E155" s="2">
        <f ca="1">TODAY()-Table2[[#This Row],[Date Sent]]</f>
        <v>456</v>
      </c>
      <c r="F155" s="1">
        <f>Rfi[[#This Row],[Ball In Court]]</f>
        <v>0</v>
      </c>
      <c r="G155" t="str">
        <f>Rfi[[#This Row],[State]]</f>
        <v>Closed</v>
      </c>
      <c r="H155" s="13"/>
      <c r="I155" s="10"/>
    </row>
    <row r="156" spans="1:9" hidden="1" x14ac:dyDescent="0.35">
      <c r="A156" t="str">
        <f>Rfi[[#This Row],[Priority]]</f>
        <v>High</v>
      </c>
      <c r="B156">
        <f>Rfi[[#This Row],[Number]]</f>
        <v>156</v>
      </c>
      <c r="C156" t="str">
        <f>Rfi[[#This Row],[Subject]]</f>
        <v>Foundation wall Cut</v>
      </c>
      <c r="D156" s="2">
        <f>Rfi[[#This Row],[Sent]]</f>
        <v>43847</v>
      </c>
      <c r="E156" s="2">
        <f ca="1">TODAY()-Table2[[#This Row],[Date Sent]]</f>
        <v>455</v>
      </c>
      <c r="F156" s="1">
        <f>Rfi[[#This Row],[Ball In Court]]</f>
        <v>0</v>
      </c>
      <c r="G156" t="str">
        <f>Rfi[[#This Row],[State]]</f>
        <v>Closed</v>
      </c>
      <c r="H156" s="13"/>
      <c r="I156" s="10"/>
    </row>
    <row r="157" spans="1:9" hidden="1" x14ac:dyDescent="0.35">
      <c r="A157" t="str">
        <f>Rfi[[#This Row],[Priority]]</f>
        <v>Medium</v>
      </c>
      <c r="B157">
        <f>Rfi[[#This Row],[Number]]</f>
        <v>157</v>
      </c>
      <c r="C157" t="str">
        <f>Rfi[[#This Row],[Subject]]</f>
        <v>Annex shaft/area well clarification south of men's dressing</v>
      </c>
      <c r="D157" s="2">
        <f>Rfi[[#This Row],[Sent]]</f>
        <v>43847</v>
      </c>
      <c r="E157" s="2">
        <f ca="1">TODAY()-Table2[[#This Row],[Date Sent]]</f>
        <v>455</v>
      </c>
      <c r="F157" s="1">
        <f>Rfi[[#This Row],[Ball In Court]]</f>
        <v>0</v>
      </c>
      <c r="G157" t="str">
        <f>Rfi[[#This Row],[State]]</f>
        <v>Closed</v>
      </c>
      <c r="H157" s="13"/>
      <c r="I157" s="10"/>
    </row>
    <row r="158" spans="1:9" hidden="1" x14ac:dyDescent="0.35">
      <c r="A158" t="str">
        <f>Rfi[[#This Row],[Priority]]</f>
        <v>Medium</v>
      </c>
      <c r="B158">
        <f>Rfi[[#This Row],[Number]]</f>
        <v>158</v>
      </c>
      <c r="C158" t="str">
        <f>Rfi[[#This Row],[Subject]]</f>
        <v>Gridlines at A4 and A5 Annex</v>
      </c>
      <c r="D158" s="2">
        <f>Rfi[[#This Row],[Sent]]</f>
        <v>43847</v>
      </c>
      <c r="E158" s="2">
        <f ca="1">TODAY()-Table2[[#This Row],[Date Sent]]</f>
        <v>455</v>
      </c>
      <c r="F158" s="1">
        <f>Rfi[[#This Row],[Ball In Court]]</f>
        <v>0</v>
      </c>
      <c r="G158" t="str">
        <f>Rfi[[#This Row],[State]]</f>
        <v>Closed</v>
      </c>
      <c r="H158" s="13"/>
      <c r="I158" s="10"/>
    </row>
    <row r="159" spans="1:9" hidden="1" x14ac:dyDescent="0.35">
      <c r="A159" t="str">
        <f>Rfi[[#This Row],[Priority]]</f>
        <v>Medium</v>
      </c>
      <c r="B159">
        <f>Rfi[[#This Row],[Number]]</f>
        <v>159</v>
      </c>
      <c r="C159" t="str">
        <f>Rfi[[#This Row],[Subject]]</f>
        <v>Grid Line AE and AD sheer wall mechanical penetrations</v>
      </c>
      <c r="D159" s="2">
        <f>Rfi[[#This Row],[Sent]]</f>
        <v>43847</v>
      </c>
      <c r="E159" s="2">
        <f ca="1">TODAY()-Table2[[#This Row],[Date Sent]]</f>
        <v>455</v>
      </c>
      <c r="F159" s="1">
        <f>Rfi[[#This Row],[Ball In Court]]</f>
        <v>0</v>
      </c>
      <c r="G159" t="str">
        <f>Rfi[[#This Row],[State]]</f>
        <v>Closed</v>
      </c>
      <c r="H159" s="13"/>
      <c r="I159" s="10"/>
    </row>
    <row r="160" spans="1:9" hidden="1" x14ac:dyDescent="0.35">
      <c r="A160" t="str">
        <f>Rfi[[#This Row],[Priority]]</f>
        <v>High</v>
      </c>
      <c r="B160">
        <f>Rfi[[#This Row],[Number]]</f>
        <v>160</v>
      </c>
      <c r="C160" t="str">
        <f>Rfi[[#This Row],[Subject]]</f>
        <v>VAV inlet connections</v>
      </c>
      <c r="D160" s="2">
        <f>Rfi[[#This Row],[Sent]]</f>
        <v>43847</v>
      </c>
      <c r="E160" s="2">
        <f ca="1">TODAY()-Table2[[#This Row],[Date Sent]]</f>
        <v>455</v>
      </c>
      <c r="F160" s="1">
        <f>Rfi[[#This Row],[Ball In Court]]</f>
        <v>0</v>
      </c>
      <c r="G160" t="str">
        <f>Rfi[[#This Row],[State]]</f>
        <v>Closed</v>
      </c>
      <c r="H160" s="13"/>
      <c r="I160" s="10"/>
    </row>
    <row r="161" spans="1:9" hidden="1" x14ac:dyDescent="0.35">
      <c r="A161" t="str">
        <f>Rfi[[#This Row],[Priority]]</f>
        <v>Medium</v>
      </c>
      <c r="B161">
        <f>Rfi[[#This Row],[Number]]</f>
        <v>161</v>
      </c>
      <c r="C161" t="str">
        <f>Rfi[[#This Row],[Subject]]</f>
        <v>Decorative HVAC grille attachment method</v>
      </c>
      <c r="D161" s="2">
        <f>Rfi[[#This Row],[Sent]]</f>
        <v>43847</v>
      </c>
      <c r="E161" s="2">
        <f ca="1">TODAY()-Table2[[#This Row],[Date Sent]]</f>
        <v>455</v>
      </c>
      <c r="F161" s="1">
        <f>Rfi[[#This Row],[Ball In Court]]</f>
        <v>0</v>
      </c>
      <c r="G161" t="str">
        <f>Rfi[[#This Row],[State]]</f>
        <v>Closed</v>
      </c>
      <c r="H161" s="13"/>
      <c r="I161" s="10"/>
    </row>
    <row r="162" spans="1:9" hidden="1" x14ac:dyDescent="0.35">
      <c r="A162" t="str">
        <f>Rfi[[#This Row],[Priority]]</f>
        <v>High</v>
      </c>
      <c r="B162">
        <f>Rfi[[#This Row],[Number]]</f>
        <v>162</v>
      </c>
      <c r="C162" t="str">
        <f>Rfi[[#This Row],[Subject]]</f>
        <v>Existing Trench on East Side of Historic</v>
      </c>
      <c r="D162" s="2">
        <f>Rfi[[#This Row],[Sent]]</f>
        <v>43851</v>
      </c>
      <c r="E162" s="2">
        <f ca="1">TODAY()-Table2[[#This Row],[Date Sent]]</f>
        <v>451</v>
      </c>
      <c r="F162" s="1">
        <f>Rfi[[#This Row],[Ball In Court]]</f>
        <v>0</v>
      </c>
      <c r="G162" t="str">
        <f>Rfi[[#This Row],[State]]</f>
        <v>Closed</v>
      </c>
      <c r="H162" s="13"/>
      <c r="I162" s="10"/>
    </row>
    <row r="163" spans="1:9" hidden="1" x14ac:dyDescent="0.35">
      <c r="A163" t="str">
        <f>Rfi[[#This Row],[Priority]]</f>
        <v>Medium</v>
      </c>
      <c r="B163">
        <f>Rfi[[#This Row],[Number]]</f>
        <v>163</v>
      </c>
      <c r="C163" t="str">
        <f>Rfi[[#This Row],[Subject]]</f>
        <v>Grid HF needle beam elevation</v>
      </c>
      <c r="D163" s="2">
        <f>Rfi[[#This Row],[Sent]]</f>
        <v>43851</v>
      </c>
      <c r="E163" s="2">
        <f ca="1">TODAY()-Table2[[#This Row],[Date Sent]]</f>
        <v>451</v>
      </c>
      <c r="F163" s="1">
        <f>Rfi[[#This Row],[Ball In Court]]</f>
        <v>0</v>
      </c>
      <c r="G163" t="str">
        <f>Rfi[[#This Row],[State]]</f>
        <v>Closed</v>
      </c>
      <c r="H163" s="13"/>
      <c r="I163" s="10"/>
    </row>
    <row r="164" spans="1:9" hidden="1" x14ac:dyDescent="0.35">
      <c r="A164" t="str">
        <f>Rfi[[#This Row],[Priority]]</f>
        <v>Medium</v>
      </c>
      <c r="B164">
        <f>Rfi[[#This Row],[Number]]</f>
        <v>164</v>
      </c>
      <c r="C164" t="str">
        <f>Rfi[[#This Row],[Subject]]</f>
        <v>Fountain Tile material</v>
      </c>
      <c r="D164" s="2">
        <f>Rfi[[#This Row],[Sent]]</f>
        <v>43851</v>
      </c>
      <c r="E164" s="2">
        <f ca="1">TODAY()-Table2[[#This Row],[Date Sent]]</f>
        <v>451</v>
      </c>
      <c r="F164" s="1">
        <f>Rfi[[#This Row],[Ball In Court]]</f>
        <v>0</v>
      </c>
      <c r="G164" t="str">
        <f>Rfi[[#This Row],[State]]</f>
        <v>Closed</v>
      </c>
      <c r="H164" s="13"/>
      <c r="I164" s="10"/>
    </row>
    <row r="165" spans="1:9" hidden="1" x14ac:dyDescent="0.35">
      <c r="A165" t="str">
        <f>Rfi[[#This Row],[Priority]]</f>
        <v>High</v>
      </c>
      <c r="B165">
        <f>Rfi[[#This Row],[Number]]</f>
        <v>165</v>
      </c>
      <c r="C165" t="str">
        <f>Rfi[[#This Row],[Subject]]</f>
        <v>Exterior light elevations a dock</v>
      </c>
      <c r="D165" s="2">
        <f>Rfi[[#This Row],[Sent]]</f>
        <v>43852</v>
      </c>
      <c r="E165" s="2">
        <f ca="1">TODAY()-Table2[[#This Row],[Date Sent]]</f>
        <v>450</v>
      </c>
      <c r="F165" s="1">
        <f>Rfi[[#This Row],[Ball In Court]]</f>
        <v>0</v>
      </c>
      <c r="G165" t="str">
        <f>Rfi[[#This Row],[State]]</f>
        <v>Closed</v>
      </c>
      <c r="H165" s="13"/>
      <c r="I165" s="10"/>
    </row>
    <row r="166" spans="1:9" hidden="1" x14ac:dyDescent="0.35">
      <c r="A166" t="str">
        <f>Rfi[[#This Row],[Priority]]</f>
        <v>Medium</v>
      </c>
      <c r="B166">
        <f>Rfi[[#This Row],[Number]]</f>
        <v>166</v>
      </c>
      <c r="C166" t="str">
        <f>Rfi[[#This Row],[Subject]]</f>
        <v>Stone Fabrication</v>
      </c>
      <c r="D166" s="2">
        <f>Rfi[[#This Row],[Sent]]</f>
        <v>43852</v>
      </c>
      <c r="E166" s="2">
        <f ca="1">TODAY()-Table2[[#This Row],[Date Sent]]</f>
        <v>450</v>
      </c>
      <c r="F166" s="1">
        <f>Rfi[[#This Row],[Ball In Court]]</f>
        <v>0</v>
      </c>
      <c r="G166" t="str">
        <f>Rfi[[#This Row],[State]]</f>
        <v>Closed</v>
      </c>
      <c r="H166" s="13"/>
      <c r="I166" s="10"/>
    </row>
    <row r="167" spans="1:9" hidden="1" x14ac:dyDescent="0.35">
      <c r="A167" t="str">
        <f>Rfi[[#This Row],[Priority]]</f>
        <v>Medium</v>
      </c>
      <c r="B167">
        <f>Rfi[[#This Row],[Number]]</f>
        <v>167</v>
      </c>
      <c r="C167" t="str">
        <f>Rfi[[#This Row],[Subject]]</f>
        <v>Lightning protection down leads routing in historical temple</v>
      </c>
      <c r="D167" s="2">
        <f>Rfi[[#This Row],[Sent]]</f>
        <v>43852</v>
      </c>
      <c r="E167" s="2">
        <f ca="1">TODAY()-Table2[[#This Row],[Date Sent]]</f>
        <v>450</v>
      </c>
      <c r="F167" s="1">
        <f>Rfi[[#This Row],[Ball In Court]]</f>
        <v>0</v>
      </c>
      <c r="G167" t="str">
        <f>Rfi[[#This Row],[State]]</f>
        <v>Closed</v>
      </c>
      <c r="H167" s="13"/>
      <c r="I167" s="10"/>
    </row>
    <row r="168" spans="1:9" hidden="1" x14ac:dyDescent="0.35">
      <c r="A168" t="str">
        <f>Rfi[[#This Row],[Priority]]</f>
        <v>High</v>
      </c>
      <c r="B168">
        <f>Rfi[[#This Row],[Number]]</f>
        <v>168</v>
      </c>
      <c r="C168" t="str">
        <f>Rfi[[#This Row],[Subject]]</f>
        <v>I-Beam Connection</v>
      </c>
      <c r="D168" s="2">
        <f>Rfi[[#This Row],[Sent]]</f>
        <v>43852</v>
      </c>
      <c r="E168" s="2">
        <f ca="1">TODAY()-Table2[[#This Row],[Date Sent]]</f>
        <v>450</v>
      </c>
      <c r="F168" s="1">
        <f>Rfi[[#This Row],[Ball In Court]]</f>
        <v>0</v>
      </c>
      <c r="G168" t="str">
        <f>Rfi[[#This Row],[State]]</f>
        <v>Closed</v>
      </c>
      <c r="H168" s="13"/>
      <c r="I168" s="10"/>
    </row>
    <row r="169" spans="1:9" hidden="1" x14ac:dyDescent="0.35">
      <c r="A169" t="str">
        <f>Rfi[[#This Row],[Priority]]</f>
        <v>High</v>
      </c>
      <c r="B169">
        <f>Rfi[[#This Row],[Number]]</f>
        <v>169</v>
      </c>
      <c r="C169" t="str">
        <f>Rfi[[#This Row],[Subject]]</f>
        <v>Baptistery Exit Doors</v>
      </c>
      <c r="D169" s="2">
        <f>Rfi[[#This Row],[Sent]]</f>
        <v>43853</v>
      </c>
      <c r="E169" s="2">
        <f ca="1">TODAY()-Table2[[#This Row],[Date Sent]]</f>
        <v>449</v>
      </c>
      <c r="F169" s="1">
        <f>Rfi[[#This Row],[Ball In Court]]</f>
        <v>0</v>
      </c>
      <c r="G169" t="str">
        <f>Rfi[[#This Row],[State]]</f>
        <v>Closed</v>
      </c>
      <c r="H169" s="13"/>
      <c r="I169" s="10"/>
    </row>
    <row r="170" spans="1:9" hidden="1" x14ac:dyDescent="0.35">
      <c r="A170" t="str">
        <f>Rfi[[#This Row],[Priority]]</f>
        <v>Medium</v>
      </c>
      <c r="B170">
        <f>Rfi[[#This Row],[Number]]</f>
        <v>170</v>
      </c>
      <c r="C170" t="str">
        <f>Rfi[[#This Row],[Subject]]</f>
        <v>Medallion Center in Room 318</v>
      </c>
      <c r="D170" s="2">
        <f>Rfi[[#This Row],[Sent]]</f>
        <v>43853</v>
      </c>
      <c r="E170" s="2">
        <f ca="1">TODAY()-Table2[[#This Row],[Date Sent]]</f>
        <v>449</v>
      </c>
      <c r="F170" s="1">
        <f>Rfi[[#This Row],[Ball In Court]]</f>
        <v>0</v>
      </c>
      <c r="G170" t="str">
        <f>Rfi[[#This Row],[State]]</f>
        <v>Closed</v>
      </c>
      <c r="H170" s="13"/>
      <c r="I170" s="10"/>
    </row>
    <row r="171" spans="1:9" hidden="1" x14ac:dyDescent="0.35">
      <c r="A171" t="str">
        <f>Rfi[[#This Row],[Priority]]</f>
        <v>Medium</v>
      </c>
      <c r="B171">
        <f>Rfi[[#This Row],[Number]]</f>
        <v>171</v>
      </c>
      <c r="C171" t="str">
        <f>Rfi[[#This Row],[Subject]]</f>
        <v>Unknown Footings in Basement</v>
      </c>
      <c r="D171" s="2">
        <f>Rfi[[#This Row],[Sent]]</f>
        <v>43853</v>
      </c>
      <c r="E171" s="2">
        <f ca="1">TODAY()-Table2[[#This Row],[Date Sent]]</f>
        <v>449</v>
      </c>
      <c r="F171" s="1">
        <f>Rfi[[#This Row],[Ball In Court]]</f>
        <v>0</v>
      </c>
      <c r="G171" t="str">
        <f>Rfi[[#This Row],[State]]</f>
        <v>Closed</v>
      </c>
      <c r="H171" s="13"/>
      <c r="I171" s="10"/>
    </row>
    <row r="172" spans="1:9" hidden="1" x14ac:dyDescent="0.35">
      <c r="A172" t="str">
        <f>Rfi[[#This Row],[Priority]]</f>
        <v>Medium</v>
      </c>
      <c r="B172">
        <f>Rfi[[#This Row],[Number]]</f>
        <v>172</v>
      </c>
      <c r="C172" t="str">
        <f>Rfi[[#This Row],[Subject]]</f>
        <v>Buttress Anchor Epoxied</v>
      </c>
      <c r="D172" s="2">
        <f>Rfi[[#This Row],[Sent]]</f>
        <v>43853</v>
      </c>
      <c r="E172" s="2">
        <f ca="1">TODAY()-Table2[[#This Row],[Date Sent]]</f>
        <v>449</v>
      </c>
      <c r="F172" s="1">
        <f>Rfi[[#This Row],[Ball In Court]]</f>
        <v>0</v>
      </c>
      <c r="G172" t="str">
        <f>Rfi[[#This Row],[State]]</f>
        <v>Closed</v>
      </c>
      <c r="H172" s="13"/>
      <c r="I172" s="10"/>
    </row>
    <row r="173" spans="1:9" hidden="1" x14ac:dyDescent="0.35">
      <c r="A173" t="str">
        <f>Rfi[[#This Row],[Priority]]</f>
        <v>High</v>
      </c>
      <c r="B173">
        <f>Rfi[[#This Row],[Number]]</f>
        <v>173</v>
      </c>
      <c r="C173" t="str">
        <f>Rfi[[#This Row],[Subject]]</f>
        <v>West Tower Buttress Elevation</v>
      </c>
      <c r="D173" s="2">
        <f>Rfi[[#This Row],[Sent]]</f>
        <v>43853</v>
      </c>
      <c r="E173" s="2">
        <f ca="1">TODAY()-Table2[[#This Row],[Date Sent]]</f>
        <v>449</v>
      </c>
      <c r="F173" s="1">
        <f>Rfi[[#This Row],[Ball In Court]]</f>
        <v>0</v>
      </c>
      <c r="G173" t="str">
        <f>Rfi[[#This Row],[State]]</f>
        <v>Closed</v>
      </c>
      <c r="H173" s="13"/>
      <c r="I173" s="10"/>
    </row>
    <row r="174" spans="1:9" hidden="1" x14ac:dyDescent="0.35">
      <c r="A174" t="str">
        <f>Rfi[[#This Row],[Priority]]</f>
        <v>High</v>
      </c>
      <c r="B174">
        <f>Rfi[[#This Row],[Number]]</f>
        <v>174</v>
      </c>
      <c r="C174" t="str">
        <f>Rfi[[#This Row],[Subject]]</f>
        <v>Needle Beam Elevation West side</v>
      </c>
      <c r="D174" s="2">
        <f>Rfi[[#This Row],[Sent]]</f>
        <v>43853</v>
      </c>
      <c r="E174" s="2">
        <f ca="1">TODAY()-Table2[[#This Row],[Date Sent]]</f>
        <v>449</v>
      </c>
      <c r="F174" s="1">
        <f>Rfi[[#This Row],[Ball In Court]]</f>
        <v>0</v>
      </c>
      <c r="G174" t="str">
        <f>Rfi[[#This Row],[State]]</f>
        <v>Closed</v>
      </c>
      <c r="H174" s="13"/>
      <c r="I174" s="10"/>
    </row>
    <row r="175" spans="1:9" hidden="1" x14ac:dyDescent="0.35">
      <c r="A175" t="str">
        <f>Rfi[[#This Row],[Priority]]</f>
        <v>Medium</v>
      </c>
      <c r="B175">
        <f>Rfi[[#This Row],[Number]]</f>
        <v>175</v>
      </c>
      <c r="C175" t="str">
        <f>Rfi[[#This Row],[Subject]]</f>
        <v>Ramp Slop Going from Historic to Annex</v>
      </c>
      <c r="D175" s="2">
        <f>Rfi[[#This Row],[Sent]]</f>
        <v>43853</v>
      </c>
      <c r="E175" s="2">
        <f ca="1">TODAY()-Table2[[#This Row],[Date Sent]]</f>
        <v>449</v>
      </c>
      <c r="F175" s="1">
        <f>Rfi[[#This Row],[Ball In Court]]</f>
        <v>0</v>
      </c>
      <c r="G175" t="str">
        <f>Rfi[[#This Row],[State]]</f>
        <v>Closed</v>
      </c>
      <c r="H175" s="13"/>
      <c r="I175" s="10"/>
    </row>
    <row r="176" spans="1:9" hidden="1" x14ac:dyDescent="0.35">
      <c r="A176" t="str">
        <f>Rfi[[#This Row],[Priority]]</f>
        <v>High</v>
      </c>
      <c r="B176">
        <f>Rfi[[#This Row],[Number]]</f>
        <v>176</v>
      </c>
      <c r="C176" t="str">
        <f>Rfi[[#This Row],[Subject]]</f>
        <v>Duct Clear Dimensioning</v>
      </c>
      <c r="D176" s="2">
        <f>Rfi[[#This Row],[Sent]]</f>
        <v>43853</v>
      </c>
      <c r="E176" s="2">
        <f ca="1">TODAY()-Table2[[#This Row],[Date Sent]]</f>
        <v>449</v>
      </c>
      <c r="F176" s="1">
        <f>Rfi[[#This Row],[Ball In Court]]</f>
        <v>0</v>
      </c>
      <c r="G176" t="str">
        <f>Rfi[[#This Row],[State]]</f>
        <v>Closed</v>
      </c>
      <c r="H176" s="13"/>
      <c r="I176" s="10"/>
    </row>
    <row r="177" spans="1:9" hidden="1" x14ac:dyDescent="0.35">
      <c r="A177" t="str">
        <f>Rfi[[#This Row],[Priority]]</f>
        <v>Medium</v>
      </c>
      <c r="B177">
        <f>Rfi[[#This Row],[Number]]</f>
        <v>177</v>
      </c>
      <c r="C177" t="str">
        <f>Rfi[[#This Row],[Subject]]</f>
        <v>Suspended Slab Detail West Tower</v>
      </c>
      <c r="D177" s="2">
        <f>Rfi[[#This Row],[Sent]]</f>
        <v>43853</v>
      </c>
      <c r="E177" s="2">
        <f ca="1">TODAY()-Table2[[#This Row],[Date Sent]]</f>
        <v>449</v>
      </c>
      <c r="F177" s="1">
        <f>Rfi[[#This Row],[Ball In Court]]</f>
        <v>0</v>
      </c>
      <c r="G177" t="str">
        <f>Rfi[[#This Row],[State]]</f>
        <v>Closed</v>
      </c>
      <c r="H177" s="13"/>
      <c r="I177" s="10"/>
    </row>
    <row r="178" spans="1:9" hidden="1" x14ac:dyDescent="0.35">
      <c r="A178" t="str">
        <f>Rfi[[#This Row],[Priority]]</f>
        <v>High</v>
      </c>
      <c r="B178">
        <f>Rfi[[#This Row],[Number]]</f>
        <v>178</v>
      </c>
      <c r="C178" t="str">
        <f>Rfi[[#This Row],[Subject]]</f>
        <v>Top of Wall Elevation Grid AE, AD, A1</v>
      </c>
      <c r="D178" s="2">
        <f>Rfi[[#This Row],[Sent]]</f>
        <v>43853</v>
      </c>
      <c r="E178" s="2">
        <f ca="1">TODAY()-Table2[[#This Row],[Date Sent]]</f>
        <v>449</v>
      </c>
      <c r="F178" s="1">
        <f>Rfi[[#This Row],[Ball In Court]]</f>
        <v>0</v>
      </c>
      <c r="G178" t="str">
        <f>Rfi[[#This Row],[State]]</f>
        <v>Closed</v>
      </c>
      <c r="H178" s="13"/>
      <c r="I178" s="10"/>
    </row>
    <row r="179" spans="1:9" hidden="1" x14ac:dyDescent="0.35">
      <c r="A179" t="str">
        <f>Rfi[[#This Row],[Priority]]</f>
        <v>High</v>
      </c>
      <c r="B179">
        <f>Rfi[[#This Row],[Number]]</f>
        <v>179</v>
      </c>
      <c r="C179" t="str">
        <f>Rfi[[#This Row],[Subject]]</f>
        <v>Slab Rebar Cast in or Epoxied</v>
      </c>
      <c r="D179" s="2">
        <f>Rfi[[#This Row],[Sent]]</f>
        <v>43853</v>
      </c>
      <c r="E179" s="2">
        <f ca="1">TODAY()-Table2[[#This Row],[Date Sent]]</f>
        <v>449</v>
      </c>
      <c r="F179" s="1">
        <f>Rfi[[#This Row],[Ball In Court]]</f>
        <v>0</v>
      </c>
      <c r="G179" t="str">
        <f>Rfi[[#This Row],[State]]</f>
        <v>Closed</v>
      </c>
      <c r="H179" s="13"/>
      <c r="I179" s="10"/>
    </row>
    <row r="180" spans="1:9" hidden="1" x14ac:dyDescent="0.35">
      <c r="A180" t="str">
        <f>Rfi[[#This Row],[Priority]]</f>
        <v>High</v>
      </c>
      <c r="B180">
        <f>Rfi[[#This Row],[Number]]</f>
        <v>180</v>
      </c>
      <c r="C180" t="str">
        <f>Rfi[[#This Row],[Subject]]</f>
        <v>Confirm Micropile Sequencing</v>
      </c>
      <c r="D180" s="2">
        <f>Rfi[[#This Row],[Sent]]</f>
        <v>43853</v>
      </c>
      <c r="E180" s="2">
        <f ca="1">TODAY()-Table2[[#This Row],[Date Sent]]</f>
        <v>449</v>
      </c>
      <c r="F180" s="1">
        <f>Rfi[[#This Row],[Ball In Court]]</f>
        <v>0</v>
      </c>
      <c r="G180" t="str">
        <f>Rfi[[#This Row],[State]]</f>
        <v>Closed</v>
      </c>
      <c r="H180" s="13"/>
      <c r="I180" s="10"/>
    </row>
    <row r="181" spans="1:9" hidden="1" x14ac:dyDescent="0.35">
      <c r="A181" t="str">
        <f>Rfi[[#This Row],[Priority]]</f>
        <v>High</v>
      </c>
      <c r="B181">
        <f>Rfi[[#This Row],[Number]]</f>
        <v>181</v>
      </c>
      <c r="C181" t="str">
        <f>Rfi[[#This Row],[Subject]]</f>
        <v>Slab Elevations Grid lines HH-HG and H5-H1</v>
      </c>
      <c r="D181" s="2">
        <f>Rfi[[#This Row],[Sent]]</f>
        <v>43853</v>
      </c>
      <c r="E181" s="2">
        <f ca="1">TODAY()-Table2[[#This Row],[Date Sent]]</f>
        <v>449</v>
      </c>
      <c r="F181" s="1">
        <f>Rfi[[#This Row],[Ball In Court]]</f>
        <v>0</v>
      </c>
      <c r="G181" t="str">
        <f>Rfi[[#This Row],[State]]</f>
        <v>Closed</v>
      </c>
      <c r="H181" s="13"/>
      <c r="I181" s="10"/>
    </row>
    <row r="182" spans="1:9" hidden="1" x14ac:dyDescent="0.35">
      <c r="A182" t="str">
        <f>Rfi[[#This Row],[Priority]]</f>
        <v>High</v>
      </c>
      <c r="B182">
        <f>Rfi[[#This Row],[Number]]</f>
        <v>182</v>
      </c>
      <c r="C182" t="str">
        <f>Rfi[[#This Row],[Subject]]</f>
        <v>Slop slab Around Basement Perimeter</v>
      </c>
      <c r="D182" s="2">
        <f>Rfi[[#This Row],[Sent]]</f>
        <v>43853</v>
      </c>
      <c r="E182" s="2">
        <f ca="1">TODAY()-Table2[[#This Row],[Date Sent]]</f>
        <v>449</v>
      </c>
      <c r="F182" s="1">
        <f>Rfi[[#This Row],[Ball In Court]]</f>
        <v>0</v>
      </c>
      <c r="G182" t="str">
        <f>Rfi[[#This Row],[State]]</f>
        <v>Closed</v>
      </c>
      <c r="H182" s="13"/>
      <c r="I182" s="10"/>
    </row>
    <row r="183" spans="1:9" hidden="1" x14ac:dyDescent="0.35">
      <c r="A183" t="str">
        <f>Rfi[[#This Row],[Priority]]</f>
        <v>High</v>
      </c>
      <c r="B183">
        <f>Rfi[[#This Row],[Number]]</f>
        <v>183</v>
      </c>
      <c r="C183" t="str">
        <f>Rfi[[#This Row],[Subject]]</f>
        <v>Wall Elevation at Grids H1/HD-HF</v>
      </c>
      <c r="D183" s="2">
        <f>Rfi[[#This Row],[Sent]]</f>
        <v>43853</v>
      </c>
      <c r="E183" s="2">
        <f ca="1">TODAY()-Table2[[#This Row],[Date Sent]]</f>
        <v>449</v>
      </c>
      <c r="F183" s="1">
        <f>Rfi[[#This Row],[Ball In Court]]</f>
        <v>0</v>
      </c>
      <c r="G183" t="str">
        <f>Rfi[[#This Row],[State]]</f>
        <v>Closed</v>
      </c>
      <c r="H183" s="13"/>
      <c r="I183" s="10"/>
    </row>
    <row r="184" spans="1:9" hidden="1" x14ac:dyDescent="0.35">
      <c r="A184" t="str">
        <f>Rfi[[#This Row],[Priority]]</f>
        <v>High</v>
      </c>
      <c r="B184">
        <f>Rfi[[#This Row],[Number]]</f>
        <v>184</v>
      </c>
      <c r="C184" t="str">
        <f>Rfi[[#This Row],[Subject]]</f>
        <v>Door Dimensioning</v>
      </c>
      <c r="D184" s="2">
        <f>Rfi[[#This Row],[Sent]]</f>
        <v>43853</v>
      </c>
      <c r="E184" s="2">
        <f ca="1">TODAY()-Table2[[#This Row],[Date Sent]]</f>
        <v>449</v>
      </c>
      <c r="F184" s="1">
        <f>Rfi[[#This Row],[Ball In Court]]</f>
        <v>0</v>
      </c>
      <c r="G184" t="str">
        <f>Rfi[[#This Row],[State]]</f>
        <v>Closed</v>
      </c>
      <c r="H184" s="13"/>
      <c r="I184" s="10"/>
    </row>
    <row r="185" spans="1:9" hidden="1" x14ac:dyDescent="0.35">
      <c r="A185" t="str">
        <f>Rfi[[#This Row],[Priority]]</f>
        <v>High</v>
      </c>
      <c r="B185">
        <f>Rfi[[#This Row],[Number]]</f>
        <v>185</v>
      </c>
      <c r="C185" t="str">
        <f>Rfi[[#This Row],[Subject]]</f>
        <v>Wall dowel detail 2/S221 at electrical room slab</v>
      </c>
      <c r="D185" s="2">
        <f>Rfi[[#This Row],[Sent]]</f>
        <v>43853</v>
      </c>
      <c r="E185" s="2">
        <f ca="1">TODAY()-Table2[[#This Row],[Date Sent]]</f>
        <v>449</v>
      </c>
      <c r="F185" s="1">
        <f>Rfi[[#This Row],[Ball In Court]]</f>
        <v>0</v>
      </c>
      <c r="G185" t="str">
        <f>Rfi[[#This Row],[State]]</f>
        <v>Closed</v>
      </c>
      <c r="H185" s="13"/>
      <c r="I185" s="10"/>
    </row>
    <row r="186" spans="1:9" hidden="1" x14ac:dyDescent="0.35">
      <c r="A186" t="str">
        <f>Rfi[[#This Row],[Priority]]</f>
        <v>High</v>
      </c>
      <c r="B186">
        <f>Rfi[[#This Row],[Number]]</f>
        <v>186</v>
      </c>
      <c r="C186" t="str">
        <f>Rfi[[#This Row],[Subject]]</f>
        <v>Storm Drain Tree Conflict</v>
      </c>
      <c r="D186" s="2">
        <f>Rfi[[#This Row],[Sent]]</f>
        <v>43853</v>
      </c>
      <c r="E186" s="2">
        <f ca="1">TODAY()-Table2[[#This Row],[Date Sent]]</f>
        <v>449</v>
      </c>
      <c r="F186" s="1">
        <f>Rfi[[#This Row],[Ball In Court]]</f>
        <v>0</v>
      </c>
      <c r="G186" t="str">
        <f>Rfi[[#This Row],[State]]</f>
        <v>Closed</v>
      </c>
      <c r="H186" s="13"/>
      <c r="I186" s="10"/>
    </row>
    <row r="187" spans="1:9" hidden="1" x14ac:dyDescent="0.35">
      <c r="A187" t="str">
        <f>Rfi[[#This Row],[Priority]]</f>
        <v>High</v>
      </c>
      <c r="B187">
        <f>Rfi[[#This Row],[Number]]</f>
        <v>187</v>
      </c>
      <c r="C187" t="str">
        <f>Rfi[[#This Row],[Subject]]</f>
        <v>South Storm Drain Tree Conflict</v>
      </c>
      <c r="D187" s="2">
        <f>Rfi[[#This Row],[Sent]]</f>
        <v>43854</v>
      </c>
      <c r="E187" s="2">
        <f ca="1">TODAY()-Table2[[#This Row],[Date Sent]]</f>
        <v>448</v>
      </c>
      <c r="F187" s="1">
        <f>Rfi[[#This Row],[Ball In Court]]</f>
        <v>0</v>
      </c>
      <c r="G187" t="str">
        <f>Rfi[[#This Row],[State]]</f>
        <v>Closed</v>
      </c>
      <c r="H187" s="13"/>
      <c r="I187" s="10"/>
    </row>
    <row r="188" spans="1:9" hidden="1" x14ac:dyDescent="0.35">
      <c r="A188" t="str">
        <f>Rfi[[#This Row],[Priority]]</f>
        <v>Medium</v>
      </c>
      <c r="B188">
        <f>Rfi[[#This Row],[Number]]</f>
        <v>188</v>
      </c>
      <c r="C188" t="str">
        <f>Rfi[[#This Row],[Subject]]</f>
        <v>Top of Micropile Elevation</v>
      </c>
      <c r="D188" s="2">
        <f>Rfi[[#This Row],[Sent]]</f>
        <v>43854</v>
      </c>
      <c r="E188" s="2">
        <f ca="1">TODAY()-Table2[[#This Row],[Date Sent]]</f>
        <v>448</v>
      </c>
      <c r="F188" s="1">
        <f>Rfi[[#This Row],[Ball In Court]]</f>
        <v>0</v>
      </c>
      <c r="G188" t="str">
        <f>Rfi[[#This Row],[State]]</f>
        <v>Closed</v>
      </c>
      <c r="H188" s="13"/>
      <c r="I188" s="10"/>
    </row>
    <row r="189" spans="1:9" hidden="1" x14ac:dyDescent="0.35">
      <c r="A189" t="str">
        <f>Rfi[[#This Row],[Priority]]</f>
        <v>Medium</v>
      </c>
      <c r="B189">
        <f>Rfi[[#This Row],[Number]]</f>
        <v>189</v>
      </c>
      <c r="C189" t="str">
        <f>Rfi[[#This Row],[Subject]]</f>
        <v>Wood flooring thickness D5, B5/AE634 thickness verification</v>
      </c>
      <c r="D189" s="2">
        <f>Rfi[[#This Row],[Sent]]</f>
        <v>43855</v>
      </c>
      <c r="E189" s="2">
        <f ca="1">TODAY()-Table2[[#This Row],[Date Sent]]</f>
        <v>447</v>
      </c>
      <c r="F189" s="1">
        <f>Rfi[[#This Row],[Ball In Court]]</f>
        <v>0</v>
      </c>
      <c r="G189" t="str">
        <f>Rfi[[#This Row],[State]]</f>
        <v>Closed</v>
      </c>
      <c r="H189" s="13"/>
      <c r="I189" s="10"/>
    </row>
    <row r="190" spans="1:9" hidden="1" x14ac:dyDescent="0.35">
      <c r="A190" t="str">
        <f>Rfi[[#This Row],[Priority]]</f>
        <v>High</v>
      </c>
      <c r="B190">
        <f>Rfi[[#This Row],[Number]]</f>
        <v>190</v>
      </c>
      <c r="C190" t="str">
        <f>Rfi[[#This Row],[Subject]]</f>
        <v>Level 5 Ceiling Demo.</v>
      </c>
      <c r="D190" s="2">
        <f>Rfi[[#This Row],[Sent]]</f>
        <v>43857</v>
      </c>
      <c r="E190" s="2">
        <f ca="1">TODAY()-Table2[[#This Row],[Date Sent]]</f>
        <v>445</v>
      </c>
      <c r="F190" s="1">
        <f>Rfi[[#This Row],[Ball In Court]]</f>
        <v>0</v>
      </c>
      <c r="G190" t="str">
        <f>Rfi[[#This Row],[State]]</f>
        <v>Closed</v>
      </c>
      <c r="H190" s="13"/>
      <c r="I190" s="10"/>
    </row>
    <row r="191" spans="1:9" hidden="1" x14ac:dyDescent="0.35">
      <c r="A191" t="str">
        <f>Rfi[[#This Row],[Priority]]</f>
        <v>Medium</v>
      </c>
      <c r="B191">
        <f>Rfi[[#This Row],[Number]]</f>
        <v>191</v>
      </c>
      <c r="C191" t="str">
        <f>Rfi[[#This Row],[Subject]]</f>
        <v>Manhole on Intersection of 500 S &amp; 300 E</v>
      </c>
      <c r="D191" s="2">
        <f>Rfi[[#This Row],[Sent]]</f>
        <v>43874</v>
      </c>
      <c r="E191" s="2">
        <f ca="1">TODAY()-Table2[[#This Row],[Date Sent]]</f>
        <v>428</v>
      </c>
      <c r="F191" s="1">
        <f>Rfi[[#This Row],[Ball In Court]]</f>
        <v>0</v>
      </c>
      <c r="G191" t="str">
        <f>Rfi[[#This Row],[State]]</f>
        <v>Closed</v>
      </c>
      <c r="H191" s="13"/>
      <c r="I191" s="10"/>
    </row>
    <row r="192" spans="1:9" hidden="1" x14ac:dyDescent="0.35">
      <c r="A192" t="str">
        <f>Rfi[[#This Row],[Priority]]</f>
        <v>High</v>
      </c>
      <c r="B192">
        <f>Rfi[[#This Row],[Number]]</f>
        <v>192</v>
      </c>
      <c r="C192" t="str">
        <f>Rfi[[#This Row],[Subject]]</f>
        <v>Contractor Office Equipment</v>
      </c>
      <c r="D192" s="2">
        <f>Rfi[[#This Row],[Sent]]</f>
        <v>43858</v>
      </c>
      <c r="E192" s="2">
        <f ca="1">TODAY()-Table2[[#This Row],[Date Sent]]</f>
        <v>444</v>
      </c>
      <c r="F192" s="1">
        <f>Rfi[[#This Row],[Ball In Court]]</f>
        <v>0</v>
      </c>
      <c r="G192" t="str">
        <f>Rfi[[#This Row],[State]]</f>
        <v>Closed</v>
      </c>
      <c r="H192" s="13"/>
      <c r="I192" s="10"/>
    </row>
    <row r="193" spans="1:9" hidden="1" x14ac:dyDescent="0.35">
      <c r="A193" t="str">
        <f>Rfi[[#This Row],[Priority]]</f>
        <v>High</v>
      </c>
      <c r="B193">
        <f>Rfi[[#This Row],[Number]]</f>
        <v>193</v>
      </c>
      <c r="C193" t="str">
        <f>Rfi[[#This Row],[Subject]]</f>
        <v>Existing Annex Out of Square</v>
      </c>
      <c r="D193" s="2">
        <f>Rfi[[#This Row],[Sent]]</f>
        <v>43858</v>
      </c>
      <c r="E193" s="2">
        <f ca="1">TODAY()-Table2[[#This Row],[Date Sent]]</f>
        <v>444</v>
      </c>
      <c r="F193" s="1">
        <f>Rfi[[#This Row],[Ball In Court]]</f>
        <v>0</v>
      </c>
      <c r="G193" t="str">
        <f>Rfi[[#This Row],[State]]</f>
        <v>Closed</v>
      </c>
      <c r="H193" s="13"/>
      <c r="I193" s="10"/>
    </row>
    <row r="194" spans="1:9" hidden="1" x14ac:dyDescent="0.35">
      <c r="A194" t="str">
        <f>Rfi[[#This Row],[Priority]]</f>
        <v>Medium</v>
      </c>
      <c r="B194">
        <f>Rfi[[#This Row],[Number]]</f>
        <v>194</v>
      </c>
      <c r="C194" t="str">
        <f>Rfi[[#This Row],[Subject]]</f>
        <v>Door types and Door details AE630</v>
      </c>
      <c r="D194" s="2">
        <f>Rfi[[#This Row],[Sent]]</f>
        <v>43858</v>
      </c>
      <c r="E194" s="2">
        <f ca="1">TODAY()-Table2[[#This Row],[Date Sent]]</f>
        <v>444</v>
      </c>
      <c r="F194" s="1">
        <f>Rfi[[#This Row],[Ball In Court]]</f>
        <v>0</v>
      </c>
      <c r="G194" t="str">
        <f>Rfi[[#This Row],[State]]</f>
        <v>Closed</v>
      </c>
      <c r="H194" s="13"/>
      <c r="I194" s="10"/>
    </row>
    <row r="195" spans="1:9" hidden="1" x14ac:dyDescent="0.35">
      <c r="A195" t="str">
        <f>Rfi[[#This Row],[Priority]]</f>
        <v>Medium</v>
      </c>
      <c r="B195">
        <f>Rfi[[#This Row],[Number]]</f>
        <v>195</v>
      </c>
      <c r="C195" t="str">
        <f>Rfi[[#This Row],[Subject]]</f>
        <v>Baptistery Unforeseen</v>
      </c>
      <c r="D195" s="2">
        <f>Rfi[[#This Row],[Sent]]</f>
        <v>43858</v>
      </c>
      <c r="E195" s="2">
        <f ca="1">TODAY()-Table2[[#This Row],[Date Sent]]</f>
        <v>444</v>
      </c>
      <c r="F195" s="1">
        <f>Rfi[[#This Row],[Ball In Court]]</f>
        <v>0</v>
      </c>
      <c r="G195" t="str">
        <f>Rfi[[#This Row],[State]]</f>
        <v>Closed</v>
      </c>
      <c r="H195" s="13"/>
      <c r="I195" s="10"/>
    </row>
    <row r="196" spans="1:9" hidden="1" x14ac:dyDescent="0.35">
      <c r="A196" t="str">
        <f>Rfi[[#This Row],[Priority]]</f>
        <v>Medium</v>
      </c>
      <c r="B196">
        <f>Rfi[[#This Row],[Number]]</f>
        <v>196</v>
      </c>
      <c r="C196" t="str">
        <f>Rfi[[#This Row],[Subject]]</f>
        <v>Crown Moldings Contradiction in details  AE570 verse AE584</v>
      </c>
      <c r="D196" s="2">
        <f>Rfi[[#This Row],[Sent]]</f>
        <v>43858</v>
      </c>
      <c r="E196" s="2">
        <f ca="1">TODAY()-Table2[[#This Row],[Date Sent]]</f>
        <v>444</v>
      </c>
      <c r="F196" s="1">
        <f>Rfi[[#This Row],[Ball In Court]]</f>
        <v>0</v>
      </c>
      <c r="G196" t="str">
        <f>Rfi[[#This Row],[State]]</f>
        <v>Closed</v>
      </c>
      <c r="H196" s="13"/>
      <c r="I196" s="10"/>
    </row>
    <row r="197" spans="1:9" hidden="1" x14ac:dyDescent="0.35">
      <c r="A197" t="str">
        <f>Rfi[[#This Row],[Priority]]</f>
        <v>Medium</v>
      </c>
      <c r="B197">
        <f>Rfi[[#This Row],[Number]]</f>
        <v>197</v>
      </c>
      <c r="C197" t="str">
        <f>Rfi[[#This Row],[Subject]]</f>
        <v>Annex shop CW2 wall dimensions</v>
      </c>
      <c r="D197" s="2">
        <f>Rfi[[#This Row],[Sent]]</f>
        <v>43858</v>
      </c>
      <c r="E197" s="2">
        <f ca="1">TODAY()-Table2[[#This Row],[Date Sent]]</f>
        <v>444</v>
      </c>
      <c r="F197" s="1">
        <f>Rfi[[#This Row],[Ball In Court]]</f>
        <v>0</v>
      </c>
      <c r="G197" t="str">
        <f>Rfi[[#This Row],[State]]</f>
        <v>Closed</v>
      </c>
      <c r="H197" s="13"/>
      <c r="I197" s="10"/>
    </row>
    <row r="198" spans="1:9" hidden="1" x14ac:dyDescent="0.35">
      <c r="A198" t="str">
        <f>Rfi[[#This Row],[Priority]]</f>
        <v>Medium</v>
      </c>
      <c r="B198">
        <f>Rfi[[#This Row],[Number]]</f>
        <v>198</v>
      </c>
      <c r="C198" t="str">
        <f>Rfi[[#This Row],[Subject]]</f>
        <v>Needle Beam Dimensions</v>
      </c>
      <c r="D198" s="2">
        <f>Rfi[[#This Row],[Sent]]</f>
        <v>43859</v>
      </c>
      <c r="E198" s="2">
        <f ca="1">TODAY()-Table2[[#This Row],[Date Sent]]</f>
        <v>443</v>
      </c>
      <c r="F198" s="1">
        <f>Rfi[[#This Row],[Ball In Court]]</f>
        <v>0</v>
      </c>
      <c r="G198" t="str">
        <f>Rfi[[#This Row],[State]]</f>
        <v>Closed</v>
      </c>
      <c r="H198" s="13"/>
      <c r="I198" s="10"/>
    </row>
    <row r="199" spans="1:9" hidden="1" x14ac:dyDescent="0.35">
      <c r="A199" t="str">
        <f>Rfi[[#This Row],[Priority]]</f>
        <v>Medium</v>
      </c>
      <c r="B199">
        <f>Rfi[[#This Row],[Number]]</f>
        <v>199</v>
      </c>
      <c r="C199" t="str">
        <f>Rfi[[#This Row],[Subject]]</f>
        <v>Finish Concrete Slab Elevations vs Final Finish Elevations</v>
      </c>
      <c r="D199" s="2">
        <f>Rfi[[#This Row],[Sent]]</f>
        <v>43859</v>
      </c>
      <c r="E199" s="2">
        <f ca="1">TODAY()-Table2[[#This Row],[Date Sent]]</f>
        <v>443</v>
      </c>
      <c r="F199" s="1">
        <f>Rfi[[#This Row],[Ball In Court]]</f>
        <v>0</v>
      </c>
      <c r="G199" t="str">
        <f>Rfi[[#This Row],[State]]</f>
        <v>Closed</v>
      </c>
      <c r="H199" s="13"/>
      <c r="I199" s="10"/>
    </row>
    <row r="200" spans="1:9" hidden="1" x14ac:dyDescent="0.35">
      <c r="A200" t="str">
        <f>Rfi[[#This Row],[Priority]]</f>
        <v>Medium</v>
      </c>
      <c r="B200">
        <f>Rfi[[#This Row],[Number]]</f>
        <v>200</v>
      </c>
      <c r="C200" t="str">
        <f>Rfi[[#This Row],[Subject]]</f>
        <v>Assembly Room 408-Grilles at floor/bench</v>
      </c>
      <c r="D200" s="2">
        <f>Rfi[[#This Row],[Sent]]</f>
        <v>43859</v>
      </c>
      <c r="E200" s="2">
        <f ca="1">TODAY()-Table2[[#This Row],[Date Sent]]</f>
        <v>443</v>
      </c>
      <c r="F200" s="1">
        <f>Rfi[[#This Row],[Ball In Court]]</f>
        <v>0</v>
      </c>
      <c r="G200" t="str">
        <f>Rfi[[#This Row],[State]]</f>
        <v>Closed</v>
      </c>
      <c r="H200" s="13"/>
      <c r="I200" s="10"/>
    </row>
    <row r="201" spans="1:9" hidden="1" x14ac:dyDescent="0.35">
      <c r="A201" t="str">
        <f>Rfi[[#This Row],[Priority]]</f>
        <v>Medium</v>
      </c>
      <c r="B201">
        <f>Rfi[[#This Row],[Number]]</f>
        <v>201</v>
      </c>
      <c r="C201" t="str">
        <f>Rfi[[#This Row],[Subject]]</f>
        <v>CD-4, RG-4 grilles conflict with trusses</v>
      </c>
      <c r="D201" s="2">
        <f>Rfi[[#This Row],[Sent]]</f>
        <v>43859</v>
      </c>
      <c r="E201" s="2">
        <f ca="1">TODAY()-Table2[[#This Row],[Date Sent]]</f>
        <v>443</v>
      </c>
      <c r="F201" s="1">
        <f>Rfi[[#This Row],[Ball In Court]]</f>
        <v>0</v>
      </c>
      <c r="G201" t="str">
        <f>Rfi[[#This Row],[State]]</f>
        <v>Closed</v>
      </c>
      <c r="H201" s="13"/>
      <c r="I201" s="10"/>
    </row>
    <row r="202" spans="1:9" hidden="1" x14ac:dyDescent="0.35">
      <c r="A202" t="str">
        <f>Rfi[[#This Row],[Priority]]</f>
        <v>Medium</v>
      </c>
      <c r="B202">
        <f>Rfi[[#This Row],[Number]]</f>
        <v>202</v>
      </c>
      <c r="C202" t="str">
        <f>Rfi[[#This Row],[Subject]]</f>
        <v>Level 4 Mech/Plumb demo</v>
      </c>
      <c r="D202" s="2">
        <f>Rfi[[#This Row],[Sent]]</f>
        <v>43859</v>
      </c>
      <c r="E202" s="2">
        <f ca="1">TODAY()-Table2[[#This Row],[Date Sent]]</f>
        <v>443</v>
      </c>
      <c r="F202" s="1">
        <f>Rfi[[#This Row],[Ball In Court]]</f>
        <v>0</v>
      </c>
      <c r="G202" t="str">
        <f>Rfi[[#This Row],[State]]</f>
        <v>Closed</v>
      </c>
      <c r="H202" s="13"/>
      <c r="I202" s="10"/>
    </row>
    <row r="203" spans="1:9" hidden="1" x14ac:dyDescent="0.35">
      <c r="A203" t="str">
        <f>Rfi[[#This Row],[Priority]]</f>
        <v>High</v>
      </c>
      <c r="B203">
        <f>Rfi[[#This Row],[Number]]</f>
        <v>203</v>
      </c>
      <c r="C203" t="str">
        <f>Rfi[[#This Row],[Subject]]</f>
        <v>HSS Column Connection Conflicts with Plate Column Connection</v>
      </c>
      <c r="D203" s="2">
        <f>Rfi[[#This Row],[Sent]]</f>
        <v>43860</v>
      </c>
      <c r="E203" s="2">
        <f ca="1">TODAY()-Table2[[#This Row],[Date Sent]]</f>
        <v>442</v>
      </c>
      <c r="F203" s="1">
        <f>Rfi[[#This Row],[Ball In Court]]</f>
        <v>0</v>
      </c>
      <c r="G203" t="str">
        <f>Rfi[[#This Row],[State]]</f>
        <v>Closed</v>
      </c>
      <c r="H203" s="13"/>
      <c r="I203" s="10"/>
    </row>
    <row r="204" spans="1:9" hidden="1" x14ac:dyDescent="0.35">
      <c r="A204" t="str">
        <f>Rfi[[#This Row],[Priority]]</f>
        <v>Medium</v>
      </c>
      <c r="B204">
        <f>Rfi[[#This Row],[Number]]</f>
        <v>204</v>
      </c>
      <c r="C204" t="str">
        <f>Rfi[[#This Row],[Subject]]</f>
        <v>Stairwell floor penetration conflict</v>
      </c>
      <c r="D204" s="2">
        <f>Rfi[[#This Row],[Sent]]</f>
        <v>43915</v>
      </c>
      <c r="E204" s="2">
        <f ca="1">TODAY()-Table2[[#This Row],[Date Sent]]</f>
        <v>387</v>
      </c>
      <c r="F204" s="1">
        <f>Rfi[[#This Row],[Ball In Court]]</f>
        <v>0</v>
      </c>
      <c r="G204" t="str">
        <f>Rfi[[#This Row],[State]]</f>
        <v>Closed</v>
      </c>
      <c r="H204" s="13"/>
      <c r="I204" s="10"/>
    </row>
    <row r="205" spans="1:9" hidden="1" x14ac:dyDescent="0.35">
      <c r="A205" t="str">
        <f>Rfi[[#This Row],[Priority]]</f>
        <v>Medium</v>
      </c>
      <c r="B205">
        <f>Rfi[[#This Row],[Number]]</f>
        <v>205</v>
      </c>
      <c r="C205" t="str">
        <f>Rfi[[#This Row],[Subject]]</f>
        <v>Level 0.5 structural to mechanical opening conflict</v>
      </c>
      <c r="D205" s="2">
        <f>Rfi[[#This Row],[Sent]]</f>
        <v>43860</v>
      </c>
      <c r="E205" s="2">
        <f ca="1">TODAY()-Table2[[#This Row],[Date Sent]]</f>
        <v>442</v>
      </c>
      <c r="F205" s="1">
        <f>Rfi[[#This Row],[Ball In Court]]</f>
        <v>0</v>
      </c>
      <c r="G205" t="str">
        <f>Rfi[[#This Row],[State]]</f>
        <v>Closed</v>
      </c>
      <c r="H205" s="13"/>
      <c r="I205" s="10"/>
    </row>
    <row r="206" spans="1:9" hidden="1" x14ac:dyDescent="0.35">
      <c r="A206" t="str">
        <f>Rfi[[#This Row],[Priority]]</f>
        <v>Medium</v>
      </c>
      <c r="B206">
        <f>Rfi[[#This Row],[Number]]</f>
        <v>206</v>
      </c>
      <c r="C206" t="str">
        <f>Rfi[[#This Row],[Subject]]</f>
        <v>FSD Actuator locations</v>
      </c>
      <c r="D206" s="2">
        <f>Rfi[[#This Row],[Sent]]</f>
        <v>43956</v>
      </c>
      <c r="E206" s="2">
        <f ca="1">TODAY()-Table2[[#This Row],[Date Sent]]</f>
        <v>346</v>
      </c>
      <c r="F206" s="1">
        <f>Rfi[[#This Row],[Ball In Court]]</f>
        <v>0</v>
      </c>
      <c r="G206" t="str">
        <f>Rfi[[#This Row],[State]]</f>
        <v>Closed</v>
      </c>
      <c r="H206" s="13"/>
      <c r="I206" s="10"/>
    </row>
    <row r="207" spans="1:9" hidden="1" x14ac:dyDescent="0.35">
      <c r="A207" t="str">
        <f>Rfi[[#This Row],[Priority]]</f>
        <v>High</v>
      </c>
      <c r="B207">
        <f>Rfi[[#This Row],[Number]]</f>
        <v>207</v>
      </c>
      <c r="C207" t="str">
        <f>Rfi[[#This Row],[Subject]]</f>
        <v>Drain Line VS Gloria</v>
      </c>
      <c r="D207" s="2">
        <f>Rfi[[#This Row],[Sent]]</f>
        <v>43860</v>
      </c>
      <c r="E207" s="2">
        <f ca="1">TODAY()-Table2[[#This Row],[Date Sent]]</f>
        <v>442</v>
      </c>
      <c r="F207" s="1">
        <f>Rfi[[#This Row],[Ball In Court]]</f>
        <v>0</v>
      </c>
      <c r="G207" t="str">
        <f>Rfi[[#This Row],[State]]</f>
        <v>Closed</v>
      </c>
      <c r="H207" s="13"/>
      <c r="I207" s="10"/>
    </row>
    <row r="208" spans="1:9" hidden="1" x14ac:dyDescent="0.35">
      <c r="A208" t="str">
        <f>Rfi[[#This Row],[Priority]]</f>
        <v>High</v>
      </c>
      <c r="B208">
        <f>Rfi[[#This Row],[Number]]</f>
        <v>208</v>
      </c>
      <c r="C208" t="str">
        <f>Rfi[[#This Row],[Subject]]</f>
        <v>Mechanical Louver Schedule</v>
      </c>
      <c r="D208" s="2">
        <f>Rfi[[#This Row],[Sent]]</f>
        <v>43860</v>
      </c>
      <c r="E208" s="2">
        <f ca="1">TODAY()-Table2[[#This Row],[Date Sent]]</f>
        <v>442</v>
      </c>
      <c r="F208" s="1">
        <f>Rfi[[#This Row],[Ball In Court]]</f>
        <v>0</v>
      </c>
      <c r="G208" t="str">
        <f>Rfi[[#This Row],[State]]</f>
        <v>Closed</v>
      </c>
      <c r="H208" s="13"/>
      <c r="I208" s="10"/>
    </row>
    <row r="209" spans="1:9" hidden="1" x14ac:dyDescent="0.35">
      <c r="A209" t="str">
        <f>Rfi[[#This Row],[Priority]]</f>
        <v>Medium</v>
      </c>
      <c r="B209">
        <f>Rfi[[#This Row],[Number]]</f>
        <v>209</v>
      </c>
      <c r="C209" t="str">
        <f>Rfi[[#This Row],[Subject]]</f>
        <v>Micropile All Thread Bar</v>
      </c>
      <c r="D209" s="2">
        <f>Rfi[[#This Row],[Sent]]</f>
        <v>43860</v>
      </c>
      <c r="E209" s="2">
        <f ca="1">TODAY()-Table2[[#This Row],[Date Sent]]</f>
        <v>442</v>
      </c>
      <c r="F209" s="1">
        <f>Rfi[[#This Row],[Ball In Court]]</f>
        <v>0</v>
      </c>
      <c r="G209" t="str">
        <f>Rfi[[#This Row],[State]]</f>
        <v>Closed</v>
      </c>
      <c r="H209" s="13"/>
      <c r="I209" s="10"/>
    </row>
    <row r="210" spans="1:9" hidden="1" x14ac:dyDescent="0.35">
      <c r="A210" t="str">
        <f>Rfi[[#This Row],[Priority]]</f>
        <v>Medium</v>
      </c>
      <c r="B210">
        <f>Rfi[[#This Row],[Number]]</f>
        <v>210</v>
      </c>
      <c r="C210" t="str">
        <f>Rfi[[#This Row],[Subject]]</f>
        <v>Epoxy installer certification</v>
      </c>
      <c r="D210" s="2">
        <f>Rfi[[#This Row],[Sent]]</f>
        <v>43860</v>
      </c>
      <c r="E210" s="2">
        <f ca="1">TODAY()-Table2[[#This Row],[Date Sent]]</f>
        <v>442</v>
      </c>
      <c r="F210" s="1">
        <f>Rfi[[#This Row],[Ball In Court]]</f>
        <v>0</v>
      </c>
      <c r="G210" t="str">
        <f>Rfi[[#This Row],[State]]</f>
        <v>Closed</v>
      </c>
      <c r="H210" s="13"/>
      <c r="I210" s="10"/>
    </row>
    <row r="211" spans="1:9" hidden="1" x14ac:dyDescent="0.35">
      <c r="A211" t="str">
        <f>Rfi[[#This Row],[Priority]]</f>
        <v>Medium</v>
      </c>
      <c r="B211">
        <f>Rfi[[#This Row],[Number]]</f>
        <v>211</v>
      </c>
      <c r="C211" t="str">
        <f>Rfi[[#This Row],[Subject]]</f>
        <v>Hilti epoxy options into concrete</v>
      </c>
      <c r="D211" s="2">
        <f>Rfi[[#This Row],[Sent]]</f>
        <v>43860</v>
      </c>
      <c r="E211" s="2">
        <f ca="1">TODAY()-Table2[[#This Row],[Date Sent]]</f>
        <v>442</v>
      </c>
      <c r="F211" s="1">
        <f>Rfi[[#This Row],[Ball In Court]]</f>
        <v>0</v>
      </c>
      <c r="G211" t="str">
        <f>Rfi[[#This Row],[State]]</f>
        <v>Closed</v>
      </c>
      <c r="H211" s="13"/>
      <c r="I211" s="10"/>
    </row>
    <row r="212" spans="1:9" hidden="1" x14ac:dyDescent="0.35">
      <c r="A212" t="str">
        <f>Rfi[[#This Row],[Priority]]</f>
        <v>Medium</v>
      </c>
      <c r="B212">
        <f>Rfi[[#This Row],[Number]]</f>
        <v>212</v>
      </c>
      <c r="C212" t="str">
        <f>Rfi[[#This Row],[Subject]]</f>
        <v>Doorbell Chime System</v>
      </c>
      <c r="D212" s="2">
        <f>Rfi[[#This Row],[Sent]]</f>
        <v>43861</v>
      </c>
      <c r="E212" s="2">
        <f ca="1">TODAY()-Table2[[#This Row],[Date Sent]]</f>
        <v>441</v>
      </c>
      <c r="F212" s="1">
        <f>Rfi[[#This Row],[Ball In Court]]</f>
        <v>0</v>
      </c>
      <c r="G212" t="str">
        <f>Rfi[[#This Row],[State]]</f>
        <v>Closed</v>
      </c>
      <c r="H212" s="13"/>
      <c r="I212" s="10"/>
    </row>
    <row r="213" spans="1:9" hidden="1" x14ac:dyDescent="0.35">
      <c r="A213" t="str">
        <f>Rfi[[#This Row],[Priority]]</f>
        <v>Medium</v>
      </c>
      <c r="B213">
        <f>Rfi[[#This Row],[Number]]</f>
        <v>213</v>
      </c>
      <c r="C213" t="str">
        <f>Rfi[[#This Row],[Subject]]</f>
        <v>North Stair Tower Return Duct</v>
      </c>
      <c r="D213" s="2">
        <f>Rfi[[#This Row],[Sent]]</f>
        <v>43864</v>
      </c>
      <c r="E213" s="2">
        <f ca="1">TODAY()-Table2[[#This Row],[Date Sent]]</f>
        <v>438</v>
      </c>
      <c r="F213" s="1">
        <f>Rfi[[#This Row],[Ball In Court]]</f>
        <v>0</v>
      </c>
      <c r="G213" t="str">
        <f>Rfi[[#This Row],[State]]</f>
        <v>Closed</v>
      </c>
      <c r="H213" s="13"/>
      <c r="I213" s="10"/>
    </row>
    <row r="214" spans="1:9" hidden="1" x14ac:dyDescent="0.35">
      <c r="A214" t="str">
        <f>Rfi[[#This Row],[Priority]]</f>
        <v>Medium</v>
      </c>
      <c r="B214">
        <f>Rfi[[#This Row],[Number]]</f>
        <v>214</v>
      </c>
      <c r="C214" t="str">
        <f>Rfi[[#This Row],[Subject]]</f>
        <v>Annex level 1 recessed slab missing dimensions</v>
      </c>
      <c r="D214" s="2">
        <f>Rfi[[#This Row],[Sent]]</f>
        <v>43864</v>
      </c>
      <c r="E214" s="2">
        <f ca="1">TODAY()-Table2[[#This Row],[Date Sent]]</f>
        <v>438</v>
      </c>
      <c r="F214" s="1">
        <f>Rfi[[#This Row],[Ball In Court]]</f>
        <v>0</v>
      </c>
      <c r="G214" t="str">
        <f>Rfi[[#This Row],[State]]</f>
        <v>Closed</v>
      </c>
      <c r="H214" s="13"/>
      <c r="I214" s="10"/>
    </row>
    <row r="215" spans="1:9" hidden="1" x14ac:dyDescent="0.35">
      <c r="A215" t="str">
        <f>Rfi[[#This Row],[Priority]]</f>
        <v>Medium</v>
      </c>
      <c r="B215">
        <f>Rfi[[#This Row],[Number]]</f>
        <v>215</v>
      </c>
      <c r="C215" t="str">
        <f>Rfi[[#This Row],[Subject]]</f>
        <v>Dimensions for recessed cans and floor boxes</v>
      </c>
      <c r="D215" s="2">
        <f>Rfi[[#This Row],[Sent]]</f>
        <v>44007</v>
      </c>
      <c r="E215" s="2">
        <f ca="1">TODAY()-Table2[[#This Row],[Date Sent]]</f>
        <v>295</v>
      </c>
      <c r="F215" s="1">
        <f>Rfi[[#This Row],[Ball In Court]]</f>
        <v>0</v>
      </c>
      <c r="G215" t="str">
        <f>Rfi[[#This Row],[State]]</f>
        <v>Closed</v>
      </c>
      <c r="H215" s="13"/>
      <c r="I215" s="10"/>
    </row>
    <row r="216" spans="1:9" hidden="1" x14ac:dyDescent="0.35">
      <c r="A216" t="str">
        <f>Rfi[[#This Row],[Priority]]</f>
        <v>Medium</v>
      </c>
      <c r="B216">
        <f>Rfi[[#This Row],[Number]]</f>
        <v>216</v>
      </c>
      <c r="C216" t="str">
        <f>Rfi[[#This Row],[Subject]]</f>
        <v>Concrete Vault Sump Pits</v>
      </c>
      <c r="D216" s="2">
        <f>Rfi[[#This Row],[Sent]]</f>
        <v>43865</v>
      </c>
      <c r="E216" s="2">
        <f ca="1">TODAY()-Table2[[#This Row],[Date Sent]]</f>
        <v>437</v>
      </c>
      <c r="F216" s="1">
        <f>Rfi[[#This Row],[Ball In Court]]</f>
        <v>0</v>
      </c>
      <c r="G216" t="str">
        <f>Rfi[[#This Row],[State]]</f>
        <v>Closed</v>
      </c>
      <c r="H216" s="13"/>
      <c r="I216" s="10"/>
    </row>
    <row r="217" spans="1:9" hidden="1" x14ac:dyDescent="0.35">
      <c r="A217" t="str">
        <f>Rfi[[#This Row],[Priority]]</f>
        <v>Medium</v>
      </c>
      <c r="B217">
        <f>Rfi[[#This Row],[Number]]</f>
        <v>217</v>
      </c>
      <c r="C217" t="str">
        <f>Rfi[[#This Row],[Subject]]</f>
        <v>Fire Alarm Remote Annunciator</v>
      </c>
      <c r="D217" s="2">
        <f>Rfi[[#This Row],[Sent]]</f>
        <v>43865</v>
      </c>
      <c r="E217" s="2">
        <f ca="1">TODAY()-Table2[[#This Row],[Date Sent]]</f>
        <v>437</v>
      </c>
      <c r="F217" s="1">
        <f>Rfi[[#This Row],[Ball In Court]]</f>
        <v>0</v>
      </c>
      <c r="G217" t="str">
        <f>Rfi[[#This Row],[State]]</f>
        <v>Closed</v>
      </c>
      <c r="H217" s="13"/>
      <c r="I217" s="10"/>
    </row>
    <row r="218" spans="1:9" hidden="1" x14ac:dyDescent="0.35">
      <c r="A218" t="str">
        <f>Rfi[[#This Row],[Priority]]</f>
        <v>Medium</v>
      </c>
      <c r="B218">
        <f>Rfi[[#This Row],[Number]]</f>
        <v>218</v>
      </c>
      <c r="C218" t="str">
        <f>Rfi[[#This Row],[Subject]]</f>
        <v>Relocate Data Rack TR4 from RM 402 to RM 515</v>
      </c>
      <c r="D218" s="2">
        <f>Rfi[[#This Row],[Sent]]</f>
        <v>43865</v>
      </c>
      <c r="E218" s="2">
        <f ca="1">TODAY()-Table2[[#This Row],[Date Sent]]</f>
        <v>437</v>
      </c>
      <c r="F218" s="1">
        <f>Rfi[[#This Row],[Ball In Court]]</f>
        <v>0</v>
      </c>
      <c r="G218" t="str">
        <f>Rfi[[#This Row],[State]]</f>
        <v>Closed</v>
      </c>
      <c r="H218" s="13"/>
      <c r="I218" s="10"/>
    </row>
    <row r="219" spans="1:9" hidden="1" x14ac:dyDescent="0.35">
      <c r="A219" t="str">
        <f>Rfi[[#This Row],[Priority]]</f>
        <v>Medium</v>
      </c>
      <c r="B219">
        <f>Rfi[[#This Row],[Number]]</f>
        <v>219</v>
      </c>
      <c r="C219" t="str">
        <f>Rfi[[#This Row],[Subject]]</f>
        <v>Wood base hallways instruction rooms on level 3 and 5</v>
      </c>
      <c r="D219" s="2">
        <f>Rfi[[#This Row],[Sent]]</f>
        <v>43865</v>
      </c>
      <c r="E219" s="2">
        <f ca="1">TODAY()-Table2[[#This Row],[Date Sent]]</f>
        <v>437</v>
      </c>
      <c r="F219" s="1">
        <f>Rfi[[#This Row],[Ball In Court]]</f>
        <v>0</v>
      </c>
      <c r="G219" t="str">
        <f>Rfi[[#This Row],[State]]</f>
        <v>Closed</v>
      </c>
      <c r="H219" s="13"/>
      <c r="I219" s="10"/>
    </row>
    <row r="220" spans="1:9" hidden="1" x14ac:dyDescent="0.35">
      <c r="A220" t="str">
        <f>Rfi[[#This Row],[Priority]]</f>
        <v>Medium</v>
      </c>
      <c r="B220">
        <f>Rfi[[#This Row],[Number]]</f>
        <v>220</v>
      </c>
      <c r="C220" t="str">
        <f>Rfi[[#This Row],[Subject]]</f>
        <v>Zetron Radio System Input Points</v>
      </c>
      <c r="D220" s="2">
        <f>Rfi[[#This Row],[Sent]]</f>
        <v>43935</v>
      </c>
      <c r="E220" s="2">
        <f ca="1">TODAY()-Table2[[#This Row],[Date Sent]]</f>
        <v>367</v>
      </c>
      <c r="F220" s="1">
        <f>Rfi[[#This Row],[Ball In Court]]</f>
        <v>0</v>
      </c>
      <c r="G220" t="str">
        <f>Rfi[[#This Row],[State]]</f>
        <v>Closed</v>
      </c>
      <c r="H220" s="13"/>
      <c r="I220" s="10"/>
    </row>
    <row r="221" spans="1:9" hidden="1" x14ac:dyDescent="0.35">
      <c r="A221" t="str">
        <f>Rfi[[#This Row],[Priority]]</f>
        <v>Medium</v>
      </c>
      <c r="B221">
        <f>Rfi[[#This Row],[Number]]</f>
        <v>222</v>
      </c>
      <c r="C221" t="str">
        <f>Rfi[[#This Row],[Subject]]</f>
        <v>CD-9 Plenum connections</v>
      </c>
      <c r="D221" s="2">
        <f>Rfi[[#This Row],[Sent]]</f>
        <v>43865</v>
      </c>
      <c r="E221" s="2">
        <f ca="1">TODAY()-Table2[[#This Row],[Date Sent]]</f>
        <v>437</v>
      </c>
      <c r="F221" s="1">
        <f>Rfi[[#This Row],[Ball In Court]]</f>
        <v>0</v>
      </c>
      <c r="G221" t="str">
        <f>Rfi[[#This Row],[State]]</f>
        <v>Closed</v>
      </c>
      <c r="H221" s="13"/>
      <c r="I221" s="10"/>
    </row>
    <row r="222" spans="1:9" hidden="1" x14ac:dyDescent="0.35">
      <c r="A222" t="str">
        <f>Rfi[[#This Row],[Priority]]</f>
        <v>Medium</v>
      </c>
      <c r="B222">
        <f>Rfi[[#This Row],[Number]]</f>
        <v>223</v>
      </c>
      <c r="C222" t="str">
        <f>Rfi[[#This Row],[Subject]]</f>
        <v>Room 409,410, 411 ventilation</v>
      </c>
      <c r="D222" s="2">
        <f>Rfi[[#This Row],[Sent]]</f>
        <v>43865</v>
      </c>
      <c r="E222" s="2">
        <f ca="1">TODAY()-Table2[[#This Row],[Date Sent]]</f>
        <v>437</v>
      </c>
      <c r="F222" s="1">
        <f>Rfi[[#This Row],[Ball In Court]]</f>
        <v>0</v>
      </c>
      <c r="G222" t="str">
        <f>Rfi[[#This Row],[State]]</f>
        <v>Closed</v>
      </c>
      <c r="H222" s="13"/>
      <c r="I222" s="10"/>
    </row>
    <row r="223" spans="1:9" hidden="1" x14ac:dyDescent="0.35">
      <c r="A223" t="str">
        <f>Rfi[[#This Row],[Priority]]</f>
        <v>Medium</v>
      </c>
      <c r="B223">
        <f>Rfi[[#This Row],[Number]]</f>
        <v>224</v>
      </c>
      <c r="C223" t="str">
        <f>Rfi[[#This Row],[Subject]]</f>
        <v>Existing 8 inch Metal Pipe at Spiral Stair Cases</v>
      </c>
      <c r="D223" s="2">
        <f>Rfi[[#This Row],[Sent]]</f>
        <v>43865</v>
      </c>
      <c r="E223" s="2">
        <f ca="1">TODAY()-Table2[[#This Row],[Date Sent]]</f>
        <v>437</v>
      </c>
      <c r="F223" s="1">
        <f>Rfi[[#This Row],[Ball In Court]]</f>
        <v>0</v>
      </c>
      <c r="G223" t="str">
        <f>Rfi[[#This Row],[State]]</f>
        <v>Closed</v>
      </c>
      <c r="H223" s="13"/>
      <c r="I223" s="10"/>
    </row>
    <row r="224" spans="1:9" hidden="1" x14ac:dyDescent="0.35">
      <c r="A224" t="str">
        <f>Rfi[[#This Row],[Priority]]</f>
        <v>Medium</v>
      </c>
      <c r="B224">
        <f>Rfi[[#This Row],[Number]]</f>
        <v>225</v>
      </c>
      <c r="C224" t="str">
        <f>Rfi[[#This Row],[Subject]]</f>
        <v>Aquatherm Piping</v>
      </c>
      <c r="D224" s="2">
        <f>Rfi[[#This Row],[Sent]]</f>
        <v>43866</v>
      </c>
      <c r="E224" s="2">
        <f ca="1">TODAY()-Table2[[#This Row],[Date Sent]]</f>
        <v>436</v>
      </c>
      <c r="F224" s="1">
        <f>Rfi[[#This Row],[Ball In Court]]</f>
        <v>0</v>
      </c>
      <c r="G224" t="str">
        <f>Rfi[[#This Row],[State]]</f>
        <v>Closed</v>
      </c>
      <c r="H224" s="13"/>
      <c r="I224" s="10"/>
    </row>
    <row r="225" spans="1:9" hidden="1" x14ac:dyDescent="0.35">
      <c r="A225" t="str">
        <f>Rfi[[#This Row],[Priority]]</f>
        <v>Medium</v>
      </c>
      <c r="B225">
        <f>Rfi[[#This Row],[Number]]</f>
        <v>226</v>
      </c>
      <c r="C225" t="str">
        <f>Rfi[[#This Row],[Subject]]</f>
        <v>Dewatering Detail at Historic Building</v>
      </c>
      <c r="D225" s="2">
        <f>Rfi[[#This Row],[Sent]]</f>
        <v>43866</v>
      </c>
      <c r="E225" s="2">
        <f ca="1">TODAY()-Table2[[#This Row],[Date Sent]]</f>
        <v>436</v>
      </c>
      <c r="F225" s="1">
        <f>Rfi[[#This Row],[Ball In Court]]</f>
        <v>0</v>
      </c>
      <c r="G225" t="str">
        <f>Rfi[[#This Row],[State]]</f>
        <v>Closed</v>
      </c>
      <c r="H225" s="13"/>
      <c r="I225" s="10"/>
    </row>
    <row r="226" spans="1:9" hidden="1" x14ac:dyDescent="0.35">
      <c r="A226" t="str">
        <f>Rfi[[#This Row],[Priority]]</f>
        <v>Medium</v>
      </c>
      <c r="B226">
        <f>Rfi[[#This Row],[Number]]</f>
        <v>227</v>
      </c>
      <c r="C226" t="str">
        <f>Rfi[[#This Row],[Subject]]</f>
        <v>Kitchen Equip Coordination</v>
      </c>
      <c r="D226" s="2">
        <f>Rfi[[#This Row],[Sent]]</f>
        <v>43866</v>
      </c>
      <c r="E226" s="2">
        <f ca="1">TODAY()-Table2[[#This Row],[Date Sent]]</f>
        <v>436</v>
      </c>
      <c r="F226" s="1">
        <f>Rfi[[#This Row],[Ball In Court]]</f>
        <v>0</v>
      </c>
      <c r="G226" t="str">
        <f>Rfi[[#This Row],[State]]</f>
        <v>Closed</v>
      </c>
      <c r="H226" s="13"/>
      <c r="I226" s="10"/>
    </row>
    <row r="227" spans="1:9" hidden="1" x14ac:dyDescent="0.35">
      <c r="A227" t="str">
        <f>Rfi[[#This Row],[Priority]]</f>
        <v>Medium</v>
      </c>
      <c r="B227">
        <f>Rfi[[#This Row],[Number]]</f>
        <v>228</v>
      </c>
      <c r="C227" t="str">
        <f>Rfi[[#This Row],[Subject]]</f>
        <v>Structural Platform at Each Air Terminal Unit</v>
      </c>
      <c r="D227" s="2">
        <f>Rfi[[#This Row],[Sent]]</f>
        <v>43866</v>
      </c>
      <c r="E227" s="2">
        <f ca="1">TODAY()-Table2[[#This Row],[Date Sent]]</f>
        <v>436</v>
      </c>
      <c r="F227" s="1">
        <f>Rfi[[#This Row],[Ball In Court]]</f>
        <v>0</v>
      </c>
      <c r="G227" t="str">
        <f>Rfi[[#This Row],[State]]</f>
        <v>Closed</v>
      </c>
      <c r="H227" s="13"/>
      <c r="I227" s="10"/>
    </row>
    <row r="228" spans="1:9" hidden="1" x14ac:dyDescent="0.35">
      <c r="A228" t="str">
        <f>Rfi[[#This Row],[Priority]]</f>
        <v>Medium</v>
      </c>
      <c r="B228">
        <f>Rfi[[#This Row],[Number]]</f>
        <v>229</v>
      </c>
      <c r="C228" t="str">
        <f>Rfi[[#This Row],[Subject]]</f>
        <v>Ceiling Elevations for Level 5 East Rooms</v>
      </c>
      <c r="D228" s="2">
        <f>Rfi[[#This Row],[Sent]]</f>
        <v>43866</v>
      </c>
      <c r="E228" s="2">
        <f ca="1">TODAY()-Table2[[#This Row],[Date Sent]]</f>
        <v>436</v>
      </c>
      <c r="F228" s="1">
        <f>Rfi[[#This Row],[Ball In Court]]</f>
        <v>0</v>
      </c>
      <c r="G228" t="str">
        <f>Rfi[[#This Row],[State]]</f>
        <v>Closed</v>
      </c>
      <c r="H228" s="13"/>
      <c r="I228" s="10"/>
    </row>
    <row r="229" spans="1:9" hidden="1" x14ac:dyDescent="0.35">
      <c r="A229" t="str">
        <f>Rfi[[#This Row],[Priority]]</f>
        <v>Medium</v>
      </c>
      <c r="B229">
        <f>Rfi[[#This Row],[Number]]</f>
        <v>230</v>
      </c>
      <c r="C229" t="str">
        <f>Rfi[[#This Row],[Subject]]</f>
        <v>North Annex Storm Drain</v>
      </c>
      <c r="D229" s="2">
        <f>Rfi[[#This Row],[Sent]]</f>
        <v>43866</v>
      </c>
      <c r="E229" s="2">
        <f ca="1">TODAY()-Table2[[#This Row],[Date Sent]]</f>
        <v>436</v>
      </c>
      <c r="F229" s="1">
        <f>Rfi[[#This Row],[Ball In Court]]</f>
        <v>0</v>
      </c>
      <c r="G229" t="str">
        <f>Rfi[[#This Row],[State]]</f>
        <v>Closed</v>
      </c>
      <c r="H229" s="13"/>
      <c r="I229" s="10"/>
    </row>
    <row r="230" spans="1:9" hidden="1" x14ac:dyDescent="0.35">
      <c r="A230" t="str">
        <f>Rfi[[#This Row],[Priority]]</f>
        <v>Medium</v>
      </c>
      <c r="B230">
        <f>Rfi[[#This Row],[Number]]</f>
        <v>231</v>
      </c>
      <c r="C230" t="str">
        <f>Rfi[[#This Row],[Subject]]</f>
        <v>Level 2 Support Beams Elevation Discrepancy</v>
      </c>
      <c r="D230" s="2">
        <f>Rfi[[#This Row],[Sent]]</f>
        <v>43867</v>
      </c>
      <c r="E230" s="2">
        <f ca="1">TODAY()-Table2[[#This Row],[Date Sent]]</f>
        <v>435</v>
      </c>
      <c r="F230" s="1">
        <f>Rfi[[#This Row],[Ball In Court]]</f>
        <v>0</v>
      </c>
      <c r="G230" t="str">
        <f>Rfi[[#This Row],[State]]</f>
        <v>Closed</v>
      </c>
      <c r="H230" s="13"/>
      <c r="I230" s="10"/>
    </row>
    <row r="231" spans="1:9" hidden="1" x14ac:dyDescent="0.35">
      <c r="A231" t="str">
        <f>Rfi[[#This Row],[Priority]]</f>
        <v>Medium</v>
      </c>
      <c r="B231">
        <f>Rfi[[#This Row],[Number]]</f>
        <v>232</v>
      </c>
      <c r="C231" t="str">
        <f>Rfi[[#This Row],[Subject]]</f>
        <v>Duct vs. Lath and Plaster at Level 3 ceiling</v>
      </c>
      <c r="D231" s="2">
        <f>Rfi[[#This Row],[Sent]]</f>
        <v>43867</v>
      </c>
      <c r="E231" s="2">
        <f ca="1">TODAY()-Table2[[#This Row],[Date Sent]]</f>
        <v>435</v>
      </c>
      <c r="F231" s="1">
        <f>Rfi[[#This Row],[Ball In Court]]</f>
        <v>0</v>
      </c>
      <c r="G231" t="str">
        <f>Rfi[[#This Row],[State]]</f>
        <v>Closed</v>
      </c>
      <c r="H231" s="13"/>
      <c r="I231" s="10"/>
    </row>
    <row r="232" spans="1:9" hidden="1" x14ac:dyDescent="0.35">
      <c r="A232" t="str">
        <f>Rfi[[#This Row],[Priority]]</f>
        <v>Medium</v>
      </c>
      <c r="B232">
        <f>Rfi[[#This Row],[Number]]</f>
        <v>233</v>
      </c>
      <c r="C232" t="str">
        <f>Rfi[[#This Row],[Subject]]</f>
        <v>CCD-010 One-Line EP701 Clarification</v>
      </c>
      <c r="D232" s="2">
        <f>Rfi[[#This Row],[Sent]]</f>
        <v>43867</v>
      </c>
      <c r="E232" s="2">
        <f ca="1">TODAY()-Table2[[#This Row],[Date Sent]]</f>
        <v>435</v>
      </c>
      <c r="F232" s="1">
        <f>Rfi[[#This Row],[Ball In Court]]</f>
        <v>0</v>
      </c>
      <c r="G232" t="str">
        <f>Rfi[[#This Row],[State]]</f>
        <v>Closed</v>
      </c>
      <c r="H232" s="13"/>
      <c r="I232" s="10"/>
    </row>
    <row r="233" spans="1:9" hidden="1" x14ac:dyDescent="0.35">
      <c r="A233" t="str">
        <f>Rfi[[#This Row],[Priority]]</f>
        <v>Medium</v>
      </c>
      <c r="B233">
        <f>Rfi[[#This Row],[Number]]</f>
        <v>234</v>
      </c>
      <c r="C233" t="str">
        <f>Rfi[[#This Row],[Subject]]</f>
        <v>Level 2 I-Beam Spacing</v>
      </c>
      <c r="D233" s="2">
        <f>Rfi[[#This Row],[Sent]]</f>
        <v>43868</v>
      </c>
      <c r="E233" s="2">
        <f ca="1">TODAY()-Table2[[#This Row],[Date Sent]]</f>
        <v>434</v>
      </c>
      <c r="F233" s="1">
        <f>Rfi[[#This Row],[Ball In Court]]</f>
        <v>0</v>
      </c>
      <c r="G233" t="str">
        <f>Rfi[[#This Row],[State]]</f>
        <v>Closed</v>
      </c>
      <c r="H233" s="13"/>
      <c r="I233" s="10"/>
    </row>
    <row r="234" spans="1:9" hidden="1" x14ac:dyDescent="0.35">
      <c r="A234" t="str">
        <f>Rfi[[#This Row],[Priority]]</f>
        <v>Medium</v>
      </c>
      <c r="B234">
        <f>Rfi[[#This Row],[Number]]</f>
        <v>235</v>
      </c>
      <c r="C234" t="str">
        <f>Rfi[[#This Row],[Subject]]</f>
        <v>Oversize Holes - Stone Column Wraps</v>
      </c>
      <c r="D234" s="2">
        <f>Rfi[[#This Row],[Sent]]</f>
        <v>43868</v>
      </c>
      <c r="E234" s="2">
        <f ca="1">TODAY()-Table2[[#This Row],[Date Sent]]</f>
        <v>434</v>
      </c>
      <c r="F234" s="1">
        <f>Rfi[[#This Row],[Ball In Court]]</f>
        <v>0</v>
      </c>
      <c r="G234" t="str">
        <f>Rfi[[#This Row],[State]]</f>
        <v>Closed</v>
      </c>
      <c r="H234" s="13"/>
      <c r="I234" s="10"/>
    </row>
    <row r="235" spans="1:9" hidden="1" x14ac:dyDescent="0.35">
      <c r="A235" t="str">
        <f>Rfi[[#This Row],[Priority]]</f>
        <v>Medium</v>
      </c>
      <c r="B235">
        <f>Rfi[[#This Row],[Number]]</f>
        <v>236</v>
      </c>
      <c r="C235" t="str">
        <f>Rfi[[#This Row],[Subject]]</f>
        <v>Water Fluid Filter Pump P-SS1 Location</v>
      </c>
      <c r="D235" s="2">
        <f>Rfi[[#This Row],[Sent]]</f>
        <v>43868</v>
      </c>
      <c r="E235" s="2">
        <f ca="1">TODAY()-Table2[[#This Row],[Date Sent]]</f>
        <v>434</v>
      </c>
      <c r="F235" s="1">
        <f>Rfi[[#This Row],[Ball In Court]]</f>
        <v>0</v>
      </c>
      <c r="G235" t="str">
        <f>Rfi[[#This Row],[State]]</f>
        <v>Closed</v>
      </c>
      <c r="H235" s="13"/>
      <c r="I235" s="10"/>
    </row>
    <row r="236" spans="1:9" hidden="1" x14ac:dyDescent="0.35">
      <c r="A236" t="str">
        <f>Rfi[[#This Row],[Priority]]</f>
        <v>Medium</v>
      </c>
      <c r="B236">
        <f>Rfi[[#This Row],[Number]]</f>
        <v>237</v>
      </c>
      <c r="C236" t="str">
        <f>Rfi[[#This Row],[Subject]]</f>
        <v>Annex north shaft wall grid AC and A8</v>
      </c>
      <c r="D236" s="2">
        <f>Rfi[[#This Row],[Sent]]</f>
        <v>43871</v>
      </c>
      <c r="E236" s="2">
        <f ca="1">TODAY()-Table2[[#This Row],[Date Sent]]</f>
        <v>431</v>
      </c>
      <c r="F236" s="1">
        <f>Rfi[[#This Row],[Ball In Court]]</f>
        <v>0</v>
      </c>
      <c r="G236" t="str">
        <f>Rfi[[#This Row],[State]]</f>
        <v>Closed</v>
      </c>
      <c r="H236" s="13"/>
      <c r="I236" s="10"/>
    </row>
    <row r="237" spans="1:9" hidden="1" x14ac:dyDescent="0.35">
      <c r="A237" t="str">
        <f>Rfi[[#This Row],[Priority]]</f>
        <v>Medium</v>
      </c>
      <c r="B237">
        <f>Rfi[[#This Row],[Number]]</f>
        <v>238</v>
      </c>
      <c r="C237" t="str">
        <f>Rfi[[#This Row],[Subject]]</f>
        <v>S301 annex shear wall elevations</v>
      </c>
      <c r="D237" s="2">
        <f>Rfi[[#This Row],[Sent]]</f>
        <v>43882</v>
      </c>
      <c r="E237" s="2">
        <f ca="1">TODAY()-Table2[[#This Row],[Date Sent]]</f>
        <v>420</v>
      </c>
      <c r="F237" s="1">
        <f>Rfi[[#This Row],[Ball In Court]]</f>
        <v>0</v>
      </c>
      <c r="G237" t="str">
        <f>Rfi[[#This Row],[State]]</f>
        <v>Closed</v>
      </c>
      <c r="H237" s="13"/>
      <c r="I237" s="10"/>
    </row>
    <row r="238" spans="1:9" hidden="1" x14ac:dyDescent="0.35">
      <c r="A238" t="str">
        <f>Rfi[[#This Row],[Priority]]</f>
        <v>Medium</v>
      </c>
      <c r="B238">
        <f>Rfi[[#This Row],[Number]]</f>
        <v>239</v>
      </c>
      <c r="C238" t="str">
        <f>Rfi[[#This Row],[Subject]]</f>
        <v>CW4 wall reinforcing at annex</v>
      </c>
      <c r="D238" s="2">
        <f>Rfi[[#This Row],[Sent]]</f>
        <v>43871</v>
      </c>
      <c r="E238" s="2">
        <f ca="1">TODAY()-Table2[[#This Row],[Date Sent]]</f>
        <v>431</v>
      </c>
      <c r="F238" s="1">
        <f>Rfi[[#This Row],[Ball In Court]]</f>
        <v>0</v>
      </c>
      <c r="G238" t="str">
        <f>Rfi[[#This Row],[State]]</f>
        <v>Closed</v>
      </c>
      <c r="H238" s="13"/>
      <c r="I238" s="10"/>
    </row>
    <row r="239" spans="1:9" hidden="1" x14ac:dyDescent="0.35">
      <c r="A239" t="str">
        <f>Rfi[[#This Row],[Priority]]</f>
        <v>High</v>
      </c>
      <c r="B239">
        <f>Rfi[[#This Row],[Number]]</f>
        <v>240</v>
      </c>
      <c r="C239" t="str">
        <f>Rfi[[#This Row],[Subject]]</f>
        <v>Feeder/Branch Circuit MC Cabling</v>
      </c>
      <c r="D239" s="2">
        <f>Rfi[[#This Row],[Sent]]</f>
        <v>43871</v>
      </c>
      <c r="E239" s="2">
        <f ca="1">TODAY()-Table2[[#This Row],[Date Sent]]</f>
        <v>431</v>
      </c>
      <c r="F239" s="1">
        <f>Rfi[[#This Row],[Ball In Court]]</f>
        <v>0</v>
      </c>
      <c r="G239" t="str">
        <f>Rfi[[#This Row],[State]]</f>
        <v>Closed</v>
      </c>
      <c r="H239" s="13"/>
      <c r="I239" s="10"/>
    </row>
    <row r="240" spans="1:9" hidden="1" x14ac:dyDescent="0.35">
      <c r="A240" t="str">
        <f>Rfi[[#This Row],[Priority]]</f>
        <v>Medium</v>
      </c>
      <c r="B240">
        <f>Rfi[[#This Row],[Number]]</f>
        <v>241</v>
      </c>
      <c r="C240" t="str">
        <f>Rfi[[#This Row],[Subject]]</f>
        <v>Existing Domestic Water at Central Plant-Electrolysis</v>
      </c>
      <c r="D240" s="2">
        <f>Rfi[[#This Row],[Sent]]</f>
        <v>43871</v>
      </c>
      <c r="E240" s="2">
        <f ca="1">TODAY()-Table2[[#This Row],[Date Sent]]</f>
        <v>431</v>
      </c>
      <c r="F240" s="1">
        <f>Rfi[[#This Row],[Ball In Court]]</f>
        <v>0</v>
      </c>
      <c r="G240" t="str">
        <f>Rfi[[#This Row],[State]]</f>
        <v>Closed</v>
      </c>
      <c r="H240" s="13"/>
      <c r="I240" s="10"/>
    </row>
    <row r="241" spans="1:9" hidden="1" x14ac:dyDescent="0.35">
      <c r="A241" t="str">
        <f>Rfi[[#This Row],[Priority]]</f>
        <v>Medium</v>
      </c>
      <c r="B241">
        <f>Rfi[[#This Row],[Number]]</f>
        <v>242</v>
      </c>
      <c r="C241" t="str">
        <f>Rfi[[#This Row],[Subject]]</f>
        <v>Sump Vaults-Waterproofing</v>
      </c>
      <c r="D241" s="2">
        <f>Rfi[[#This Row],[Sent]]</f>
        <v>43871</v>
      </c>
      <c r="E241" s="2">
        <f ca="1">TODAY()-Table2[[#This Row],[Date Sent]]</f>
        <v>431</v>
      </c>
      <c r="F241" s="1">
        <f>Rfi[[#This Row],[Ball In Court]]</f>
        <v>0</v>
      </c>
      <c r="G241" t="str">
        <f>Rfi[[#This Row],[State]]</f>
        <v>Closed</v>
      </c>
      <c r="H241" s="13"/>
      <c r="I241" s="10"/>
    </row>
    <row r="242" spans="1:9" hidden="1" x14ac:dyDescent="0.35">
      <c r="A242" t="str">
        <f>Rfi[[#This Row],[Priority]]</f>
        <v>Medium</v>
      </c>
      <c r="B242">
        <f>Rfi[[#This Row],[Number]]</f>
        <v>243</v>
      </c>
      <c r="C242" t="str">
        <f>Rfi[[#This Row],[Subject]]</f>
        <v>Door Type 4 Door Schedule</v>
      </c>
      <c r="D242" s="2">
        <f>Rfi[[#This Row],[Sent]]</f>
        <v>43871</v>
      </c>
      <c r="E242" s="2">
        <f ca="1">TODAY()-Table2[[#This Row],[Date Sent]]</f>
        <v>431</v>
      </c>
      <c r="F242" s="1">
        <f>Rfi[[#This Row],[Ball In Court]]</f>
        <v>0</v>
      </c>
      <c r="G242" t="str">
        <f>Rfi[[#This Row],[State]]</f>
        <v>Closed</v>
      </c>
      <c r="H242" s="13"/>
      <c r="I242" s="10"/>
    </row>
    <row r="243" spans="1:9" hidden="1" x14ac:dyDescent="0.35">
      <c r="A243" t="str">
        <f>Rfi[[#This Row],[Priority]]</f>
        <v>Medium</v>
      </c>
      <c r="B243">
        <f>Rfi[[#This Row],[Number]]</f>
        <v>244</v>
      </c>
      <c r="C243" t="str">
        <f>Rfi[[#This Row],[Subject]]</f>
        <v>CCD 017 Clarification</v>
      </c>
      <c r="D243" s="2">
        <f>Rfi[[#This Row],[Sent]]</f>
        <v>43872</v>
      </c>
      <c r="E243" s="2">
        <f ca="1">TODAY()-Table2[[#This Row],[Date Sent]]</f>
        <v>430</v>
      </c>
      <c r="F243" s="1">
        <f>Rfi[[#This Row],[Ball In Court]]</f>
        <v>0</v>
      </c>
      <c r="G243" t="str">
        <f>Rfi[[#This Row],[State]]</f>
        <v>Closed</v>
      </c>
      <c r="H243" s="13"/>
      <c r="I243" s="10"/>
    </row>
    <row r="244" spans="1:9" hidden="1" x14ac:dyDescent="0.35">
      <c r="A244" t="str">
        <f>Rfi[[#This Row],[Priority]]</f>
        <v>Medium</v>
      </c>
      <c r="B244">
        <f>Rfi[[#This Row],[Number]]</f>
        <v>245</v>
      </c>
      <c r="C244" t="str">
        <f>Rfi[[#This Row],[Subject]]</f>
        <v>Layout of door openings verses call out door schedule</v>
      </c>
      <c r="D244" s="2">
        <f>Rfi[[#This Row],[Sent]]</f>
        <v>43872</v>
      </c>
      <c r="E244" s="2">
        <f ca="1">TODAY()-Table2[[#This Row],[Date Sent]]</f>
        <v>430</v>
      </c>
      <c r="F244" s="1">
        <f>Rfi[[#This Row],[Ball In Court]]</f>
        <v>0</v>
      </c>
      <c r="G244" t="str">
        <f>Rfi[[#This Row],[State]]</f>
        <v>Closed</v>
      </c>
      <c r="H244" s="13"/>
      <c r="I244" s="10"/>
    </row>
    <row r="245" spans="1:9" hidden="1" x14ac:dyDescent="0.35">
      <c r="A245" t="str">
        <f>Rfi[[#This Row],[Priority]]</f>
        <v>Medium</v>
      </c>
      <c r="B245">
        <f>Rfi[[#This Row],[Number]]</f>
        <v>246</v>
      </c>
      <c r="C245" t="str">
        <f>Rfi[[#This Row],[Subject]]</f>
        <v>Antenna Location for Wireless Radio System</v>
      </c>
      <c r="D245" s="2">
        <f>Rfi[[#This Row],[Sent]]</f>
        <v>43872</v>
      </c>
      <c r="E245" s="2">
        <f ca="1">TODAY()-Table2[[#This Row],[Date Sent]]</f>
        <v>430</v>
      </c>
      <c r="F245" s="1">
        <f>Rfi[[#This Row],[Ball In Court]]</f>
        <v>0</v>
      </c>
      <c r="G245" t="str">
        <f>Rfi[[#This Row],[State]]</f>
        <v>Closed</v>
      </c>
      <c r="H245" s="13"/>
      <c r="I245" s="10"/>
    </row>
    <row r="246" spans="1:9" hidden="1" x14ac:dyDescent="0.35">
      <c r="A246" t="str">
        <f>Rfi[[#This Row],[Priority]]</f>
        <v>High</v>
      </c>
      <c r="B246">
        <f>Rfi[[#This Row],[Number]]</f>
        <v>247</v>
      </c>
      <c r="C246" t="str">
        <f>Rfi[[#This Row],[Subject]]</f>
        <v>Celestial elevator 5 pit elevation</v>
      </c>
      <c r="D246" s="2">
        <f>Rfi[[#This Row],[Sent]]</f>
        <v>43874</v>
      </c>
      <c r="E246" s="2">
        <f ca="1">TODAY()-Table2[[#This Row],[Date Sent]]</f>
        <v>428</v>
      </c>
      <c r="F246" s="1">
        <f>Rfi[[#This Row],[Ball In Court]]</f>
        <v>0</v>
      </c>
      <c r="G246" t="str">
        <f>Rfi[[#This Row],[State]]</f>
        <v>Closed</v>
      </c>
      <c r="H246" s="13"/>
      <c r="I246" s="10"/>
    </row>
    <row r="247" spans="1:9" hidden="1" x14ac:dyDescent="0.35">
      <c r="A247" t="str">
        <f>Rfi[[#This Row],[Priority]]</f>
        <v>High</v>
      </c>
      <c r="B247">
        <f>Rfi[[#This Row],[Number]]</f>
        <v>248</v>
      </c>
      <c r="C247" t="str">
        <f>Rfi[[#This Row],[Subject]]</f>
        <v>De-Watering Historical Base</v>
      </c>
      <c r="D247" s="2">
        <f>Rfi[[#This Row],[Sent]]</f>
        <v>43874</v>
      </c>
      <c r="E247" s="2">
        <f ca="1">TODAY()-Table2[[#This Row],[Date Sent]]</f>
        <v>428</v>
      </c>
      <c r="F247" s="1">
        <f>Rfi[[#This Row],[Ball In Court]]</f>
        <v>0</v>
      </c>
      <c r="G247" t="str">
        <f>Rfi[[#This Row],[State]]</f>
        <v>Closed</v>
      </c>
      <c r="H247" s="13"/>
      <c r="I247" s="10"/>
    </row>
    <row r="248" spans="1:9" hidden="1" x14ac:dyDescent="0.35">
      <c r="A248" t="str">
        <f>Rfi[[#This Row],[Priority]]</f>
        <v>Medium</v>
      </c>
      <c r="B248">
        <f>Rfi[[#This Row],[Number]]</f>
        <v>249</v>
      </c>
      <c r="C248" t="str">
        <f>Rfi[[#This Row],[Subject]]</f>
        <v>Door 155 jamb type D5/AE632</v>
      </c>
      <c r="D248" s="2">
        <f>Rfi[[#This Row],[Sent]]</f>
        <v>43874</v>
      </c>
      <c r="E248" s="2">
        <f ca="1">TODAY()-Table2[[#This Row],[Date Sent]]</f>
        <v>428</v>
      </c>
      <c r="F248" s="1">
        <f>Rfi[[#This Row],[Ball In Court]]</f>
        <v>0</v>
      </c>
      <c r="G248" t="str">
        <f>Rfi[[#This Row],[State]]</f>
        <v>Closed</v>
      </c>
      <c r="H248" s="13"/>
      <c r="I248" s="10"/>
    </row>
    <row r="249" spans="1:9" hidden="1" x14ac:dyDescent="0.35">
      <c r="A249" t="str">
        <f>Rfi[[#This Row],[Priority]]</f>
        <v>Medium</v>
      </c>
      <c r="B249">
        <f>Rfi[[#This Row],[Number]]</f>
        <v>250</v>
      </c>
      <c r="C249" t="str">
        <f>Rfi[[#This Row],[Subject]]</f>
        <v>Lobby 131 Hydronic Piping</v>
      </c>
      <c r="D249" s="2">
        <f>Rfi[[#This Row],[Sent]]</f>
        <v>43874</v>
      </c>
      <c r="E249" s="2">
        <f ca="1">TODAY()-Table2[[#This Row],[Date Sent]]</f>
        <v>428</v>
      </c>
      <c r="F249" s="1">
        <f>Rfi[[#This Row],[Ball In Court]]</f>
        <v>0</v>
      </c>
      <c r="G249" t="str">
        <f>Rfi[[#This Row],[State]]</f>
        <v>Closed</v>
      </c>
      <c r="H249" s="13"/>
      <c r="I249" s="10"/>
    </row>
    <row r="250" spans="1:9" hidden="1" x14ac:dyDescent="0.35">
      <c r="A250" t="str">
        <f>Rfi[[#This Row],[Priority]]</f>
        <v>Medium</v>
      </c>
      <c r="B250">
        <f>Rfi[[#This Row],[Number]]</f>
        <v>251</v>
      </c>
      <c r="C250" t="str">
        <f>Rfi[[#This Row],[Subject]]</f>
        <v>Electrical Room 315 hydronic piping</v>
      </c>
      <c r="D250" s="2">
        <f>Rfi[[#This Row],[Sent]]</f>
        <v>43874</v>
      </c>
      <c r="E250" s="2">
        <f ca="1">TODAY()-Table2[[#This Row],[Date Sent]]</f>
        <v>428</v>
      </c>
      <c r="F250" s="1">
        <f>Rfi[[#This Row],[Ball In Court]]</f>
        <v>0</v>
      </c>
      <c r="G250" t="str">
        <f>Rfi[[#This Row],[State]]</f>
        <v>Closed</v>
      </c>
      <c r="H250" s="13"/>
      <c r="I250" s="10"/>
    </row>
    <row r="251" spans="1:9" hidden="1" x14ac:dyDescent="0.35">
      <c r="A251" t="str">
        <f>Rfi[[#This Row],[Priority]]</f>
        <v>Medium</v>
      </c>
      <c r="B251">
        <f>Rfi[[#This Row],[Number]]</f>
        <v>252</v>
      </c>
      <c r="C251" t="str">
        <f>Rfi[[#This Row],[Subject]]</f>
        <v>Basement Ledge Wall Removal</v>
      </c>
      <c r="D251" s="2">
        <f>Rfi[[#This Row],[Sent]]</f>
        <v>43875</v>
      </c>
      <c r="E251" s="2">
        <f ca="1">TODAY()-Table2[[#This Row],[Date Sent]]</f>
        <v>427</v>
      </c>
      <c r="F251" s="1">
        <f>Rfi[[#This Row],[Ball In Court]]</f>
        <v>0</v>
      </c>
      <c r="G251" t="str">
        <f>Rfi[[#This Row],[State]]</f>
        <v>Closed</v>
      </c>
      <c r="H251" s="13"/>
      <c r="I251" s="10"/>
    </row>
    <row r="252" spans="1:9" hidden="1" x14ac:dyDescent="0.35">
      <c r="A252" t="str">
        <f>Rfi[[#This Row],[Priority]]</f>
        <v>High</v>
      </c>
      <c r="B252">
        <f>Rfi[[#This Row],[Number]]</f>
        <v>253</v>
      </c>
      <c r="C252" t="str">
        <f>Rfi[[#This Row],[Subject]]</f>
        <v>Stain Grade Casework Door Profile</v>
      </c>
      <c r="D252" s="2">
        <f>Rfi[[#This Row],[Sent]]</f>
        <v>44168</v>
      </c>
      <c r="E252" s="2">
        <f ca="1">TODAY()-Table2[[#This Row],[Date Sent]]</f>
        <v>134</v>
      </c>
      <c r="F252" s="1">
        <f>Rfi[[#This Row],[Ball In Court]]</f>
        <v>0</v>
      </c>
      <c r="G252" t="str">
        <f>Rfi[[#This Row],[State]]</f>
        <v>Closed</v>
      </c>
      <c r="H252" s="13"/>
      <c r="I252" s="10"/>
    </row>
    <row r="253" spans="1:9" hidden="1" x14ac:dyDescent="0.35">
      <c r="A253" t="str">
        <f>Rfi[[#This Row],[Priority]]</f>
        <v>High</v>
      </c>
      <c r="B253">
        <f>Rfi[[#This Row],[Number]]</f>
        <v>254</v>
      </c>
      <c r="C253" t="str">
        <f>Rfi[[#This Row],[Subject]]</f>
        <v>Annex dowel detail 3/S221</v>
      </c>
      <c r="D253" s="2">
        <f>Rfi[[#This Row],[Sent]]</f>
        <v>43878</v>
      </c>
      <c r="E253" s="2">
        <f ca="1">TODAY()-Table2[[#This Row],[Date Sent]]</f>
        <v>424</v>
      </c>
      <c r="F253" s="1">
        <f>Rfi[[#This Row],[Ball In Court]]</f>
        <v>0</v>
      </c>
      <c r="G253" t="str">
        <f>Rfi[[#This Row],[State]]</f>
        <v>Closed</v>
      </c>
      <c r="H253" s="13"/>
      <c r="I253" s="10"/>
    </row>
    <row r="254" spans="1:9" hidden="1" x14ac:dyDescent="0.35">
      <c r="A254" t="str">
        <f>Rfi[[#This Row],[Priority]]</f>
        <v>Medium</v>
      </c>
      <c r="B254">
        <f>Rfi[[#This Row],[Number]]</f>
        <v>255</v>
      </c>
      <c r="C254" t="str">
        <f>Rfi[[#This Row],[Subject]]</f>
        <v>Micropile Testing</v>
      </c>
      <c r="D254" s="2">
        <f>Rfi[[#This Row],[Sent]]</f>
        <v>43878</v>
      </c>
      <c r="E254" s="2">
        <f ca="1">TODAY()-Table2[[#This Row],[Date Sent]]</f>
        <v>424</v>
      </c>
      <c r="F254" s="1">
        <f>Rfi[[#This Row],[Ball In Court]]</f>
        <v>0</v>
      </c>
      <c r="G254" t="str">
        <f>Rfi[[#This Row],[State]]</f>
        <v>Closed</v>
      </c>
      <c r="H254" s="13"/>
      <c r="I254" s="10"/>
    </row>
    <row r="255" spans="1:9" hidden="1" x14ac:dyDescent="0.35">
      <c r="A255" t="str">
        <f>Rfi[[#This Row],[Priority]]</f>
        <v>Medium</v>
      </c>
      <c r="B255">
        <f>Rfi[[#This Row],[Number]]</f>
        <v>256</v>
      </c>
      <c r="C255" t="str">
        <f>Rfi[[#This Row],[Subject]]</f>
        <v>P_lam Casework</v>
      </c>
      <c r="D255" s="2">
        <f>Rfi[[#This Row],[Sent]]</f>
        <v>43878</v>
      </c>
      <c r="E255" s="2">
        <f ca="1">TODAY()-Table2[[#This Row],[Date Sent]]</f>
        <v>424</v>
      </c>
      <c r="F255" s="1">
        <f>Rfi[[#This Row],[Ball In Court]]</f>
        <v>0</v>
      </c>
      <c r="G255" t="str">
        <f>Rfi[[#This Row],[State]]</f>
        <v>Closed</v>
      </c>
      <c r="H255" s="13"/>
      <c r="I255" s="10"/>
    </row>
    <row r="256" spans="1:9" hidden="1" x14ac:dyDescent="0.35">
      <c r="A256" t="str">
        <f>Rfi[[#This Row],[Priority]]</f>
        <v>Medium</v>
      </c>
      <c r="B256">
        <f>Rfi[[#This Row],[Number]]</f>
        <v>257</v>
      </c>
      <c r="C256" t="str">
        <f>Rfi[[#This Row],[Subject]]</f>
        <v>Finish Sample Stain Grade Casework</v>
      </c>
      <c r="D256" s="2">
        <f>Rfi[[#This Row],[Sent]]</f>
        <v>43878</v>
      </c>
      <c r="E256" s="2">
        <f ca="1">TODAY()-Table2[[#This Row],[Date Sent]]</f>
        <v>424</v>
      </c>
      <c r="F256" s="1">
        <f>Rfi[[#This Row],[Ball In Court]]</f>
        <v>0</v>
      </c>
      <c r="G256" t="str">
        <f>Rfi[[#This Row],[State]]</f>
        <v>Closed</v>
      </c>
      <c r="H256" s="13"/>
      <c r="I256" s="10"/>
    </row>
    <row r="257" spans="1:9" hidden="1" x14ac:dyDescent="0.35">
      <c r="A257" t="str">
        <f>Rfi[[#This Row],[Priority]]</f>
        <v>High</v>
      </c>
      <c r="B257">
        <f>Rfi[[#This Row],[Number]]</f>
        <v>258</v>
      </c>
      <c r="C257" t="str">
        <f>Rfi[[#This Row],[Subject]]</f>
        <v>Stair 2 Demolition</v>
      </c>
      <c r="D257" s="2">
        <f>Rfi[[#This Row],[Sent]]</f>
        <v>43879</v>
      </c>
      <c r="E257" s="2">
        <f ca="1">TODAY()-Table2[[#This Row],[Date Sent]]</f>
        <v>423</v>
      </c>
      <c r="F257" s="1">
        <f>Rfi[[#This Row],[Ball In Court]]</f>
        <v>0</v>
      </c>
      <c r="G257" t="str">
        <f>Rfi[[#This Row],[State]]</f>
        <v>Closed</v>
      </c>
      <c r="H257" s="13"/>
      <c r="I257" s="10"/>
    </row>
    <row r="258" spans="1:9" hidden="1" x14ac:dyDescent="0.35">
      <c r="A258" t="str">
        <f>Rfi[[#This Row],[Priority]]</f>
        <v>High</v>
      </c>
      <c r="B258">
        <f>Rfi[[#This Row],[Number]]</f>
        <v>259</v>
      </c>
      <c r="C258" t="str">
        <f>Rfi[[#This Row],[Subject]]</f>
        <v>North and South Stair Roof Drains and Lighting Protection</v>
      </c>
      <c r="D258" s="2">
        <f>Rfi[[#This Row],[Sent]]</f>
        <v>43879</v>
      </c>
      <c r="E258" s="2">
        <f ca="1">TODAY()-Table2[[#This Row],[Date Sent]]</f>
        <v>423</v>
      </c>
      <c r="F258" s="1">
        <f>Rfi[[#This Row],[Ball In Court]]</f>
        <v>0</v>
      </c>
      <c r="G258" t="str">
        <f>Rfi[[#This Row],[State]]</f>
        <v>Closed</v>
      </c>
      <c r="H258" s="13"/>
      <c r="I258" s="10"/>
    </row>
    <row r="259" spans="1:9" hidden="1" x14ac:dyDescent="0.35">
      <c r="A259" t="str">
        <f>Rfi[[#This Row],[Priority]]</f>
        <v>Medium</v>
      </c>
      <c r="B259">
        <f>Rfi[[#This Row],[Number]]</f>
        <v>260</v>
      </c>
      <c r="C259" t="str">
        <f>Rfi[[#This Row],[Subject]]</f>
        <v>Plaster Medallions</v>
      </c>
      <c r="D259" s="2">
        <f>Rfi[[#This Row],[Sent]]</f>
        <v>44011</v>
      </c>
      <c r="E259" s="2">
        <f ca="1">TODAY()-Table2[[#This Row],[Date Sent]]</f>
        <v>291</v>
      </c>
      <c r="F259" s="1">
        <f>Rfi[[#This Row],[Ball In Court]]</f>
        <v>0</v>
      </c>
      <c r="G259" t="str">
        <f>Rfi[[#This Row],[State]]</f>
        <v>Closed</v>
      </c>
      <c r="H259" s="13"/>
      <c r="I259" s="10"/>
    </row>
    <row r="260" spans="1:9" hidden="1" x14ac:dyDescent="0.35">
      <c r="A260" t="str">
        <f>Rfi[[#This Row],[Priority]]</f>
        <v>Medium</v>
      </c>
      <c r="B260">
        <f>Rfi[[#This Row],[Number]]</f>
        <v>261</v>
      </c>
      <c r="C260" t="str">
        <f>Rfi[[#This Row],[Subject]]</f>
        <v>Exhaust duct FSD at level 0, grid HH and H2</v>
      </c>
      <c r="D260" s="2">
        <f>Rfi[[#This Row],[Sent]]</f>
        <v>43879</v>
      </c>
      <c r="E260" s="2">
        <f ca="1">TODAY()-Table2[[#This Row],[Date Sent]]</f>
        <v>423</v>
      </c>
      <c r="F260" s="1">
        <f>Rfi[[#This Row],[Ball In Court]]</f>
        <v>0</v>
      </c>
      <c r="G260" t="str">
        <f>Rfi[[#This Row],[State]]</f>
        <v>Closed</v>
      </c>
      <c r="H260" s="13"/>
      <c r="I260" s="10"/>
    </row>
    <row r="261" spans="1:9" hidden="1" x14ac:dyDescent="0.35">
      <c r="A261" t="str">
        <f>Rfi[[#This Row],[Priority]]</f>
        <v>Medium</v>
      </c>
      <c r="B261">
        <f>Rfi[[#This Row],[Number]]</f>
        <v>262</v>
      </c>
      <c r="C261" t="str">
        <f>Rfi[[#This Row],[Subject]]</f>
        <v>Mat Slab Infill</v>
      </c>
      <c r="D261" s="2">
        <f>Rfi[[#This Row],[Sent]]</f>
        <v>43887</v>
      </c>
      <c r="E261" s="2">
        <f ca="1">TODAY()-Table2[[#This Row],[Date Sent]]</f>
        <v>415</v>
      </c>
      <c r="F261" s="1">
        <f>Rfi[[#This Row],[Ball In Court]]</f>
        <v>0</v>
      </c>
      <c r="G261" t="str">
        <f>Rfi[[#This Row],[State]]</f>
        <v>Closed</v>
      </c>
      <c r="H261" s="13"/>
      <c r="I261" s="10"/>
    </row>
    <row r="262" spans="1:9" hidden="1" x14ac:dyDescent="0.35">
      <c r="A262" t="str">
        <f>Rfi[[#This Row],[Priority]]</f>
        <v>Medium</v>
      </c>
      <c r="B262">
        <f>Rfi[[#This Row],[Number]]</f>
        <v>263</v>
      </c>
      <c r="C262" t="str">
        <f>Rfi[[#This Row],[Subject]]</f>
        <v>Elevator Pit Clarifications (sump, elevation &amp; embedment)</v>
      </c>
      <c r="D262" s="2">
        <f>Rfi[[#This Row],[Sent]]</f>
        <v>43880</v>
      </c>
      <c r="E262" s="2">
        <f ca="1">TODAY()-Table2[[#This Row],[Date Sent]]</f>
        <v>422</v>
      </c>
      <c r="F262" s="1">
        <f>Rfi[[#This Row],[Ball In Court]]</f>
        <v>0</v>
      </c>
      <c r="G262" t="str">
        <f>Rfi[[#This Row],[State]]</f>
        <v>Closed</v>
      </c>
      <c r="H262" s="13"/>
      <c r="I262" s="10"/>
    </row>
    <row r="263" spans="1:9" hidden="1" x14ac:dyDescent="0.35">
      <c r="A263" t="str">
        <f>Rfi[[#This Row],[Priority]]</f>
        <v>High</v>
      </c>
      <c r="B263">
        <f>Rfi[[#This Row],[Number]]</f>
        <v>264</v>
      </c>
      <c r="C263" t="str">
        <f>Rfi[[#This Row],[Subject]]</f>
        <v>Mainline Pipe</v>
      </c>
      <c r="D263" s="2">
        <f>Rfi[[#This Row],[Sent]]</f>
        <v>43881</v>
      </c>
      <c r="E263" s="2">
        <f ca="1">TODAY()-Table2[[#This Row],[Date Sent]]</f>
        <v>421</v>
      </c>
      <c r="F263" s="1">
        <f>Rfi[[#This Row],[Ball In Court]]</f>
        <v>0</v>
      </c>
      <c r="G263" t="str">
        <f>Rfi[[#This Row],[State]]</f>
        <v>Closed</v>
      </c>
      <c r="H263" s="13"/>
      <c r="I263" s="10"/>
    </row>
    <row r="264" spans="1:9" hidden="1" x14ac:dyDescent="0.35">
      <c r="A264" t="str">
        <f>Rfi[[#This Row],[Priority]]</f>
        <v>Medium</v>
      </c>
      <c r="B264">
        <f>Rfi[[#This Row],[Number]]</f>
        <v>265</v>
      </c>
      <c r="C264" t="str">
        <f>Rfi[[#This Row],[Subject]]</f>
        <v>Site Electrical receptacle mounting Detail</v>
      </c>
      <c r="D264" s="2">
        <f>Rfi[[#This Row],[Sent]]</f>
        <v>43881</v>
      </c>
      <c r="E264" s="2">
        <f ca="1">TODAY()-Table2[[#This Row],[Date Sent]]</f>
        <v>421</v>
      </c>
      <c r="F264" s="1">
        <f>Rfi[[#This Row],[Ball In Court]]</f>
        <v>0</v>
      </c>
      <c r="G264" t="str">
        <f>Rfi[[#This Row],[State]]</f>
        <v>Closed</v>
      </c>
      <c r="H264" s="13"/>
      <c r="I264" s="10"/>
    </row>
    <row r="265" spans="1:9" hidden="1" x14ac:dyDescent="0.35">
      <c r="A265" t="str">
        <f>Rfi[[#This Row],[Priority]]</f>
        <v>High</v>
      </c>
      <c r="B265">
        <f>Rfi[[#This Row],[Number]]</f>
        <v>266</v>
      </c>
      <c r="C265" t="str">
        <f>Rfi[[#This Row],[Subject]]</f>
        <v>CCD 18 East Rooms Questions</v>
      </c>
      <c r="D265" s="2">
        <f>Rfi[[#This Row],[Sent]]</f>
        <v>43882</v>
      </c>
      <c r="E265" s="2">
        <f ca="1">TODAY()-Table2[[#This Row],[Date Sent]]</f>
        <v>420</v>
      </c>
      <c r="F265" s="1">
        <f>Rfi[[#This Row],[Ball In Court]]</f>
        <v>0</v>
      </c>
      <c r="G265" t="str">
        <f>Rfi[[#This Row],[State]]</f>
        <v>Closed</v>
      </c>
      <c r="H265" s="13"/>
      <c r="I265" s="10"/>
    </row>
    <row r="266" spans="1:9" hidden="1" x14ac:dyDescent="0.35">
      <c r="A266" t="str">
        <f>Rfi[[#This Row],[Priority]]</f>
        <v>Medium</v>
      </c>
      <c r="B266">
        <f>Rfi[[#This Row],[Number]]</f>
        <v>267</v>
      </c>
      <c r="C266" t="str">
        <f>Rfi[[#This Row],[Subject]]</f>
        <v>Elimination of Grooves in Existing Mat Slab</v>
      </c>
      <c r="D266" s="2">
        <f>Rfi[[#This Row],[Sent]]</f>
        <v>43882</v>
      </c>
      <c r="E266" s="2">
        <f ca="1">TODAY()-Table2[[#This Row],[Date Sent]]</f>
        <v>420</v>
      </c>
      <c r="F266" s="1">
        <f>Rfi[[#This Row],[Ball In Court]]</f>
        <v>0</v>
      </c>
      <c r="G266" t="str">
        <f>Rfi[[#This Row],[State]]</f>
        <v>Closed</v>
      </c>
      <c r="H266" s="13"/>
      <c r="I266" s="10"/>
    </row>
    <row r="267" spans="1:9" hidden="1" x14ac:dyDescent="0.35">
      <c r="A267" t="str">
        <f>Rfi[[#This Row],[Priority]]</f>
        <v>Medium</v>
      </c>
      <c r="B267">
        <f>Rfi[[#This Row],[Number]]</f>
        <v>268</v>
      </c>
      <c r="C267" t="str">
        <f>Rfi[[#This Row],[Subject]]</f>
        <v>Information on Filling Holes in Stone Walls</v>
      </c>
      <c r="D267" s="2">
        <f>Rfi[[#This Row],[Sent]]</f>
        <v>43882</v>
      </c>
      <c r="E267" s="2">
        <f ca="1">TODAY()-Table2[[#This Row],[Date Sent]]</f>
        <v>420</v>
      </c>
      <c r="F267" s="1">
        <f>Rfi[[#This Row],[Ball In Court]]</f>
        <v>0</v>
      </c>
      <c r="G267" t="str">
        <f>Rfi[[#This Row],[State]]</f>
        <v>Closed</v>
      </c>
      <c r="H267" s="13"/>
      <c r="I267" s="10"/>
    </row>
    <row r="268" spans="1:9" hidden="1" x14ac:dyDescent="0.35">
      <c r="A268" t="str">
        <f>Rfi[[#This Row],[Priority]]</f>
        <v>Medium</v>
      </c>
      <c r="B268">
        <f>Rfi[[#This Row],[Number]]</f>
        <v>269</v>
      </c>
      <c r="C268" t="str">
        <f>Rfi[[#This Row],[Subject]]</f>
        <v>Scaffold for Center of 4th Floor</v>
      </c>
      <c r="D268" s="2">
        <f>Rfi[[#This Row],[Sent]]</f>
        <v>43882</v>
      </c>
      <c r="E268" s="2">
        <f ca="1">TODAY()-Table2[[#This Row],[Date Sent]]</f>
        <v>420</v>
      </c>
      <c r="F268" s="1">
        <f>Rfi[[#This Row],[Ball In Court]]</f>
        <v>0</v>
      </c>
      <c r="G268" t="str">
        <f>Rfi[[#This Row],[State]]</f>
        <v>Closed</v>
      </c>
      <c r="H268" s="13"/>
      <c r="I268" s="10"/>
    </row>
    <row r="269" spans="1:9" hidden="1" x14ac:dyDescent="0.35">
      <c r="A269" t="str">
        <f>Rfi[[#This Row],[Priority]]</f>
        <v>Medium</v>
      </c>
      <c r="B269">
        <f>Rfi[[#This Row],[Number]]</f>
        <v>270</v>
      </c>
      <c r="C269" t="str">
        <f>Rfi[[#This Row],[Subject]]</f>
        <v>Sidewalk Clarifications</v>
      </c>
      <c r="D269" s="2">
        <f>Rfi[[#This Row],[Sent]]</f>
        <v>43882</v>
      </c>
      <c r="E269" s="2">
        <f ca="1">TODAY()-Table2[[#This Row],[Date Sent]]</f>
        <v>420</v>
      </c>
      <c r="F269" s="1">
        <f>Rfi[[#This Row],[Ball In Court]]</f>
        <v>0</v>
      </c>
      <c r="G269" t="str">
        <f>Rfi[[#This Row],[State]]</f>
        <v>Closed</v>
      </c>
      <c r="H269" s="13"/>
      <c r="I269" s="10"/>
    </row>
    <row r="270" spans="1:9" hidden="1" x14ac:dyDescent="0.35">
      <c r="A270" t="str">
        <f>Rfi[[#This Row],[Priority]]</f>
        <v>Medium</v>
      </c>
      <c r="B270">
        <f>Rfi[[#This Row],[Number]]</f>
        <v>271</v>
      </c>
      <c r="C270" t="str">
        <f>Rfi[[#This Row],[Subject]]</f>
        <v>LCP-A1B Added in CCD-021</v>
      </c>
      <c r="D270" s="2">
        <f>Rfi[[#This Row],[Sent]]</f>
        <v>43895</v>
      </c>
      <c r="E270" s="2">
        <f ca="1">TODAY()-Table2[[#This Row],[Date Sent]]</f>
        <v>407</v>
      </c>
      <c r="F270" s="1">
        <f>Rfi[[#This Row],[Ball In Court]]</f>
        <v>0</v>
      </c>
      <c r="G270" t="str">
        <f>Rfi[[#This Row],[State]]</f>
        <v>Closed</v>
      </c>
      <c r="H270" s="13"/>
      <c r="I270" s="10"/>
    </row>
    <row r="271" spans="1:9" hidden="1" x14ac:dyDescent="0.35">
      <c r="A271" t="str">
        <f>Rfi[[#This Row],[Priority]]</f>
        <v>High</v>
      </c>
      <c r="B271">
        <f>Rfi[[#This Row],[Number]]</f>
        <v>272</v>
      </c>
      <c r="C271" t="str">
        <f>Rfi[[#This Row],[Subject]]</f>
        <v>Backwater valve locations</v>
      </c>
      <c r="D271" s="2">
        <f>Rfi[[#This Row],[Sent]]</f>
        <v>43885</v>
      </c>
      <c r="E271" s="2">
        <f ca="1">TODAY()-Table2[[#This Row],[Date Sent]]</f>
        <v>417</v>
      </c>
      <c r="F271" s="1">
        <f>Rfi[[#This Row],[Ball In Court]]</f>
        <v>0</v>
      </c>
      <c r="G271" t="str">
        <f>Rfi[[#This Row],[State]]</f>
        <v>Closed</v>
      </c>
      <c r="H271" s="13"/>
      <c r="I271" s="10"/>
    </row>
    <row r="272" spans="1:9" hidden="1" x14ac:dyDescent="0.35">
      <c r="A272" t="str">
        <f>Rfi[[#This Row],[Priority]]</f>
        <v>High</v>
      </c>
      <c r="B272">
        <f>Rfi[[#This Row],[Number]]</f>
        <v>273</v>
      </c>
      <c r="C272" t="str">
        <f>Rfi[[#This Row],[Subject]]</f>
        <v>Laundry Dryer Vent Requirement</v>
      </c>
      <c r="D272" s="2">
        <f>Rfi[[#This Row],[Sent]]</f>
        <v>43885</v>
      </c>
      <c r="E272" s="2">
        <f ca="1">TODAY()-Table2[[#This Row],[Date Sent]]</f>
        <v>417</v>
      </c>
      <c r="F272" s="1">
        <f>Rfi[[#This Row],[Ball In Court]]</f>
        <v>0</v>
      </c>
      <c r="G272" t="str">
        <f>Rfi[[#This Row],[State]]</f>
        <v>Closed</v>
      </c>
      <c r="H272" s="13"/>
      <c r="I272" s="10"/>
    </row>
    <row r="273" spans="1:9" hidden="1" x14ac:dyDescent="0.35">
      <c r="A273" t="str">
        <f>Rfi[[#This Row],[Priority]]</f>
        <v>High</v>
      </c>
      <c r="B273">
        <f>Rfi[[#This Row],[Number]]</f>
        <v>274</v>
      </c>
      <c r="C273" t="str">
        <f>Rfi[[#This Row],[Subject]]</f>
        <v>CB-7 at 8" walls at doors AB and AC/ A7 to A8 Annex</v>
      </c>
      <c r="D273" s="2">
        <f>Rfi[[#This Row],[Sent]]</f>
        <v>43885</v>
      </c>
      <c r="E273" s="2">
        <f ca="1">TODAY()-Table2[[#This Row],[Date Sent]]</f>
        <v>417</v>
      </c>
      <c r="F273" s="1">
        <f>Rfi[[#This Row],[Ball In Court]]</f>
        <v>0</v>
      </c>
      <c r="G273" t="str">
        <f>Rfi[[#This Row],[State]]</f>
        <v>Closed</v>
      </c>
      <c r="H273" s="13"/>
      <c r="I273" s="10"/>
    </row>
    <row r="274" spans="1:9" hidden="1" x14ac:dyDescent="0.35">
      <c r="A274" t="str">
        <f>Rfi[[#This Row],[Priority]]</f>
        <v>Medium</v>
      </c>
      <c r="B274">
        <f>Rfi[[#This Row],[Number]]</f>
        <v>275</v>
      </c>
      <c r="C274" t="str">
        <f>Rfi[[#This Row],[Subject]]</f>
        <v>Floor penetrations for BIM coordination</v>
      </c>
      <c r="D274" s="2">
        <f>Rfi[[#This Row],[Sent]]</f>
        <v>43886</v>
      </c>
      <c r="E274" s="2">
        <f ca="1">TODAY()-Table2[[#This Row],[Date Sent]]</f>
        <v>416</v>
      </c>
      <c r="F274" s="1">
        <f>Rfi[[#This Row],[Ball In Court]]</f>
        <v>0</v>
      </c>
      <c r="G274" t="str">
        <f>Rfi[[#This Row],[State]]</f>
        <v>Closed</v>
      </c>
      <c r="H274" s="13"/>
      <c r="I274" s="10"/>
    </row>
    <row r="275" spans="1:9" hidden="1" x14ac:dyDescent="0.35">
      <c r="A275" t="str">
        <f>Rfi[[#This Row],[Priority]]</f>
        <v>Medium</v>
      </c>
      <c r="B275">
        <f>Rfi[[#This Row],[Number]]</f>
        <v>276</v>
      </c>
      <c r="C275" t="str">
        <f>Rfi[[#This Row],[Subject]]</f>
        <v>Buttress detail 9/S212</v>
      </c>
      <c r="D275" s="2">
        <f>Rfi[[#This Row],[Sent]]</f>
        <v>43886</v>
      </c>
      <c r="E275" s="2">
        <f ca="1">TODAY()-Table2[[#This Row],[Date Sent]]</f>
        <v>416</v>
      </c>
      <c r="F275" s="1">
        <f>Rfi[[#This Row],[Ball In Court]]</f>
        <v>0</v>
      </c>
      <c r="G275" t="str">
        <f>Rfi[[#This Row],[State]]</f>
        <v>Closed</v>
      </c>
      <c r="H275" s="13"/>
      <c r="I275" s="10"/>
    </row>
    <row r="276" spans="1:9" hidden="1" x14ac:dyDescent="0.35">
      <c r="A276" t="str">
        <f>Rfi[[#This Row],[Priority]]</f>
        <v>High</v>
      </c>
      <c r="B276">
        <f>Rfi[[#This Row],[Number]]</f>
        <v>277</v>
      </c>
      <c r="C276" t="str">
        <f>Rfi[[#This Row],[Subject]]</f>
        <v>Mat Footing Bearing Capacity</v>
      </c>
      <c r="D276" s="2">
        <f>Rfi[[#This Row],[Sent]]</f>
        <v>43886</v>
      </c>
      <c r="E276" s="2">
        <f ca="1">TODAY()-Table2[[#This Row],[Date Sent]]</f>
        <v>416</v>
      </c>
      <c r="F276" s="1">
        <f>Rfi[[#This Row],[Ball In Court]]</f>
        <v>0</v>
      </c>
      <c r="G276" t="str">
        <f>Rfi[[#This Row],[State]]</f>
        <v>Closed</v>
      </c>
      <c r="H276" s="13"/>
      <c r="I276" s="10"/>
    </row>
    <row r="277" spans="1:9" hidden="1" x14ac:dyDescent="0.35">
      <c r="A277" t="str">
        <f>Rfi[[#This Row],[Priority]]</f>
        <v>Medium</v>
      </c>
      <c r="B277">
        <f>Rfi[[#This Row],[Number]]</f>
        <v>278</v>
      </c>
      <c r="C277" t="str">
        <f>Rfi[[#This Row],[Subject]]</f>
        <v>Level 2 Joist Bearing</v>
      </c>
      <c r="D277" s="2">
        <f>Rfi[[#This Row],[Sent]]</f>
        <v>43887</v>
      </c>
      <c r="E277" s="2">
        <f ca="1">TODAY()-Table2[[#This Row],[Date Sent]]</f>
        <v>415</v>
      </c>
      <c r="F277" s="1">
        <f>Rfi[[#This Row],[Ball In Court]]</f>
        <v>0</v>
      </c>
      <c r="G277" t="str">
        <f>Rfi[[#This Row],[State]]</f>
        <v>Closed</v>
      </c>
      <c r="H277" s="13"/>
      <c r="I277" s="10"/>
    </row>
    <row r="278" spans="1:9" hidden="1" x14ac:dyDescent="0.35">
      <c r="A278" t="str">
        <f>Rfi[[#This Row],[Priority]]</f>
        <v>High</v>
      </c>
      <c r="B278">
        <f>Rfi[[#This Row],[Number]]</f>
        <v>279</v>
      </c>
      <c r="C278" t="str">
        <f>Rfi[[#This Row],[Subject]]</f>
        <v>Micropile Questions</v>
      </c>
      <c r="D278" s="2">
        <f>Rfi[[#This Row],[Sent]]</f>
        <v>43887</v>
      </c>
      <c r="E278" s="2">
        <f ca="1">TODAY()-Table2[[#This Row],[Date Sent]]</f>
        <v>415</v>
      </c>
      <c r="F278" s="1">
        <f>Rfi[[#This Row],[Ball In Court]]</f>
        <v>0</v>
      </c>
      <c r="G278" t="str">
        <f>Rfi[[#This Row],[State]]</f>
        <v>Closed</v>
      </c>
      <c r="H278" s="13"/>
      <c r="I278" s="10"/>
    </row>
    <row r="279" spans="1:9" hidden="1" x14ac:dyDescent="0.35">
      <c r="A279" t="str">
        <f>Rfi[[#This Row],[Priority]]</f>
        <v>High</v>
      </c>
      <c r="B279">
        <f>Rfi[[#This Row],[Number]]</f>
        <v>280</v>
      </c>
      <c r="C279" t="str">
        <f>Rfi[[#This Row],[Subject]]</f>
        <v>Level 2 Sub-floor</v>
      </c>
      <c r="D279" s="2">
        <f>Rfi[[#This Row],[Sent]]</f>
        <v>43887</v>
      </c>
      <c r="E279" s="2">
        <f ca="1">TODAY()-Table2[[#This Row],[Date Sent]]</f>
        <v>415</v>
      </c>
      <c r="F279" s="1">
        <f>Rfi[[#This Row],[Ball In Court]]</f>
        <v>0</v>
      </c>
      <c r="G279" t="str">
        <f>Rfi[[#This Row],[State]]</f>
        <v>Closed</v>
      </c>
      <c r="H279" s="13"/>
      <c r="I279" s="10"/>
    </row>
    <row r="280" spans="1:9" hidden="1" x14ac:dyDescent="0.35">
      <c r="A280" t="str">
        <f>Rfi[[#This Row],[Priority]]</f>
        <v>High</v>
      </c>
      <c r="B280">
        <f>Rfi[[#This Row],[Number]]</f>
        <v>281</v>
      </c>
      <c r="C280" t="str">
        <f>Rfi[[#This Row],[Subject]]</f>
        <v>Quatrefoil Columns Level 2 Historical</v>
      </c>
      <c r="D280" s="2">
        <f>Rfi[[#This Row],[Sent]]</f>
        <v>43888</v>
      </c>
      <c r="E280" s="2">
        <f ca="1">TODAY()-Table2[[#This Row],[Date Sent]]</f>
        <v>414</v>
      </c>
      <c r="F280" s="1">
        <f>Rfi[[#This Row],[Ball In Court]]</f>
        <v>0</v>
      </c>
      <c r="G280" t="str">
        <f>Rfi[[#This Row],[State]]</f>
        <v>Closed</v>
      </c>
      <c r="H280" s="13"/>
      <c r="I280" s="10"/>
    </row>
    <row r="281" spans="1:9" hidden="1" x14ac:dyDescent="0.35">
      <c r="A281" t="str">
        <f>Rfi[[#This Row],[Priority]]</f>
        <v>Medium</v>
      </c>
      <c r="B281">
        <f>Rfi[[#This Row],[Number]]</f>
        <v>282</v>
      </c>
      <c r="C281" t="str">
        <f>Rfi[[#This Row],[Subject]]</f>
        <v>Cross tie size confirmation detail 10/S240</v>
      </c>
      <c r="D281" s="2">
        <f>Rfi[[#This Row],[Sent]]</f>
        <v>43888</v>
      </c>
      <c r="E281" s="2">
        <f ca="1">TODAY()-Table2[[#This Row],[Date Sent]]</f>
        <v>414</v>
      </c>
      <c r="F281" s="1">
        <f>Rfi[[#This Row],[Ball In Court]]</f>
        <v>0</v>
      </c>
      <c r="G281" t="str">
        <f>Rfi[[#This Row],[State]]</f>
        <v>Closed</v>
      </c>
      <c r="H281" s="13"/>
      <c r="I281" s="10"/>
    </row>
    <row r="282" spans="1:9" hidden="1" x14ac:dyDescent="0.35">
      <c r="A282" t="str">
        <f>Rfi[[#This Row],[Priority]]</f>
        <v>Medium</v>
      </c>
      <c r="B282">
        <f>Rfi[[#This Row],[Number]]</f>
        <v>283</v>
      </c>
      <c r="C282" t="str">
        <f>Rfi[[#This Row],[Subject]]</f>
        <v>Single Tree Removal on East side</v>
      </c>
      <c r="D282" s="2">
        <f>Rfi[[#This Row],[Sent]]</f>
        <v>43889</v>
      </c>
      <c r="E282" s="2">
        <f ca="1">TODAY()-Table2[[#This Row],[Date Sent]]</f>
        <v>413</v>
      </c>
      <c r="F282" s="1">
        <f>Rfi[[#This Row],[Ball In Court]]</f>
        <v>0</v>
      </c>
      <c r="G282" t="str">
        <f>Rfi[[#This Row],[State]]</f>
        <v>Closed</v>
      </c>
      <c r="H282" s="13"/>
      <c r="I282" s="10"/>
    </row>
    <row r="283" spans="1:9" hidden="1" x14ac:dyDescent="0.35">
      <c r="A283" t="str">
        <f>Rfi[[#This Row],[Priority]]</f>
        <v>High</v>
      </c>
      <c r="B283">
        <f>Rfi[[#This Row],[Number]]</f>
        <v>284</v>
      </c>
      <c r="C283" t="str">
        <f>Rfi[[#This Row],[Subject]]</f>
        <v>Interior Pile off Set from Stone Column</v>
      </c>
      <c r="D283" s="2">
        <f>Rfi[[#This Row],[Sent]]</f>
        <v>43892</v>
      </c>
      <c r="E283" s="2">
        <f ca="1">TODAY()-Table2[[#This Row],[Date Sent]]</f>
        <v>410</v>
      </c>
      <c r="F283" s="1">
        <f>Rfi[[#This Row],[Ball In Court]]</f>
        <v>0</v>
      </c>
      <c r="G283" t="str">
        <f>Rfi[[#This Row],[State]]</f>
        <v>Closed</v>
      </c>
      <c r="H283" s="13"/>
      <c r="I283" s="10"/>
    </row>
    <row r="284" spans="1:9" hidden="1" x14ac:dyDescent="0.35">
      <c r="A284" t="str">
        <f>Rfi[[#This Row],[Priority]]</f>
        <v>High</v>
      </c>
      <c r="B284">
        <f>Rfi[[#This Row],[Number]]</f>
        <v>285</v>
      </c>
      <c r="C284" t="str">
        <f>Rfi[[#This Row],[Subject]]</f>
        <v>Carbon Fiber Stone Column Wrap</v>
      </c>
      <c r="D284" s="2">
        <f>Rfi[[#This Row],[Sent]]</f>
        <v>43892</v>
      </c>
      <c r="E284" s="2">
        <f ca="1">TODAY()-Table2[[#This Row],[Date Sent]]</f>
        <v>410</v>
      </c>
      <c r="F284" s="1">
        <f>Rfi[[#This Row],[Ball In Court]]</f>
        <v>0</v>
      </c>
      <c r="G284" t="str">
        <f>Rfi[[#This Row],[State]]</f>
        <v>Closed</v>
      </c>
      <c r="H284" s="13"/>
      <c r="I284" s="10"/>
    </row>
    <row r="285" spans="1:9" hidden="1" x14ac:dyDescent="0.35">
      <c r="A285" t="str">
        <f>Rfi[[#This Row],[Priority]]</f>
        <v>Medium</v>
      </c>
      <c r="B285">
        <f>Rfi[[#This Row],[Number]]</f>
        <v>286</v>
      </c>
      <c r="C285" t="str">
        <f>Rfi[[#This Row],[Subject]]</f>
        <v>Tower fire alarm</v>
      </c>
      <c r="D285" s="2">
        <f>Rfi[[#This Row],[Sent]]</f>
        <v>43893</v>
      </c>
      <c r="E285" s="2">
        <f ca="1">TODAY()-Table2[[#This Row],[Date Sent]]</f>
        <v>409</v>
      </c>
      <c r="F285" s="1">
        <f>Rfi[[#This Row],[Ball In Court]]</f>
        <v>0</v>
      </c>
      <c r="G285" t="str">
        <f>Rfi[[#This Row],[State]]</f>
        <v>Closed</v>
      </c>
      <c r="H285" s="13"/>
      <c r="I285" s="10"/>
    </row>
    <row r="286" spans="1:9" hidden="1" x14ac:dyDescent="0.35">
      <c r="A286" t="str">
        <f>Rfi[[#This Row],[Priority]]</f>
        <v>Medium</v>
      </c>
      <c r="B286">
        <f>Rfi[[#This Row],[Number]]</f>
        <v>287</v>
      </c>
      <c r="C286" t="str">
        <f>Rfi[[#This Row],[Subject]]</f>
        <v>Soda Line Pull Box</v>
      </c>
      <c r="D286" s="2">
        <f>Rfi[[#This Row],[Sent]]</f>
        <v>43893</v>
      </c>
      <c r="E286" s="2">
        <f ca="1">TODAY()-Table2[[#This Row],[Date Sent]]</f>
        <v>409</v>
      </c>
      <c r="F286" s="1">
        <f>Rfi[[#This Row],[Ball In Court]]</f>
        <v>0</v>
      </c>
      <c r="G286" t="str">
        <f>Rfi[[#This Row],[State]]</f>
        <v>Closed</v>
      </c>
      <c r="H286" s="13"/>
      <c r="I286" s="10"/>
    </row>
    <row r="287" spans="1:9" hidden="1" x14ac:dyDescent="0.35">
      <c r="A287" t="str">
        <f>Rfi[[#This Row],[Priority]]</f>
        <v>Medium</v>
      </c>
      <c r="B287">
        <f>Rfi[[#This Row],[Number]]</f>
        <v>288</v>
      </c>
      <c r="C287" t="str">
        <f>Rfi[[#This Row],[Subject]]</f>
        <v>Schonbek: Family B - Cast Arm Design</v>
      </c>
      <c r="D287" s="2">
        <f>Rfi[[#This Row],[Sent]]</f>
        <v>43894</v>
      </c>
      <c r="E287" s="9">
        <f ca="1">TODAY()-Table2[[#This Row],[Date Sent]]</f>
        <v>408</v>
      </c>
      <c r="F287" s="1">
        <f>Rfi[[#This Row],[Ball In Court]]</f>
        <v>0</v>
      </c>
      <c r="G287" t="str">
        <f>Rfi[[#This Row],[State]]</f>
        <v>Closed</v>
      </c>
      <c r="H287" s="15" t="s">
        <v>2366</v>
      </c>
      <c r="I287" s="12"/>
    </row>
    <row r="288" spans="1:9" hidden="1" x14ac:dyDescent="0.35">
      <c r="A288" t="str">
        <f>Rfi[[#This Row],[Priority]]</f>
        <v>Medium</v>
      </c>
      <c r="B288">
        <f>Rfi[[#This Row],[Number]]</f>
        <v>289</v>
      </c>
      <c r="C288" t="str">
        <f>Rfi[[#This Row],[Subject]]</f>
        <v>Flooring Details</v>
      </c>
      <c r="D288" s="2">
        <f>Rfi[[#This Row],[Sent]]</f>
        <v>43893</v>
      </c>
      <c r="E288" s="2">
        <f ca="1">TODAY()-Table2[[#This Row],[Date Sent]]</f>
        <v>409</v>
      </c>
      <c r="F288" s="1">
        <f>Rfi[[#This Row],[Ball In Court]]</f>
        <v>0</v>
      </c>
      <c r="G288" t="str">
        <f>Rfi[[#This Row],[State]]</f>
        <v>Closed</v>
      </c>
      <c r="H288" s="13"/>
    </row>
    <row r="289" spans="1:8" hidden="1" x14ac:dyDescent="0.35">
      <c r="A289" t="str">
        <f>Rfi[[#This Row],[Priority]]</f>
        <v>Medium</v>
      </c>
      <c r="B289">
        <f>Rfi[[#This Row],[Number]]</f>
        <v>290</v>
      </c>
      <c r="C289" t="str">
        <f>Rfi[[#This Row],[Subject]]</f>
        <v>Paving Submittal Return</v>
      </c>
      <c r="D289" s="2">
        <f>Rfi[[#This Row],[Sent]]</f>
        <v>43893</v>
      </c>
      <c r="E289" s="2">
        <f ca="1">TODAY()-Table2[[#This Row],[Date Sent]]</f>
        <v>409</v>
      </c>
      <c r="F289" s="1">
        <f>Rfi[[#This Row],[Ball In Court]]</f>
        <v>0</v>
      </c>
      <c r="G289" t="str">
        <f>Rfi[[#This Row],[State]]</f>
        <v>Closed</v>
      </c>
      <c r="H289" s="13"/>
    </row>
    <row r="290" spans="1:8" hidden="1" x14ac:dyDescent="0.35">
      <c r="A290" t="str">
        <f>Rfi[[#This Row],[Priority]]</f>
        <v>High</v>
      </c>
      <c r="B290">
        <f>Rfi[[#This Row],[Number]]</f>
        <v>291</v>
      </c>
      <c r="C290" t="str">
        <f>Rfi[[#This Row],[Subject]]</f>
        <v>Annex grid AH wall cap dowels embedment</v>
      </c>
      <c r="D290" s="2">
        <f>Rfi[[#This Row],[Sent]]</f>
        <v>43896</v>
      </c>
      <c r="E290" s="2">
        <f ca="1">TODAY()-Table2[[#This Row],[Date Sent]]</f>
        <v>406</v>
      </c>
      <c r="F290" s="1">
        <f>Rfi[[#This Row],[Ball In Court]]</f>
        <v>0</v>
      </c>
      <c r="G290" t="str">
        <f>Rfi[[#This Row],[State]]</f>
        <v>Closed</v>
      </c>
      <c r="H290" s="13"/>
    </row>
    <row r="291" spans="1:8" hidden="1" x14ac:dyDescent="0.35">
      <c r="A291" t="str">
        <f>Rfi[[#This Row],[Priority]]</f>
        <v>Medium</v>
      </c>
      <c r="B291">
        <f>Rfi[[#This Row],[Number]]</f>
        <v>292</v>
      </c>
      <c r="C291" t="str">
        <f>Rfi[[#This Row],[Subject]]</f>
        <v>Annex mat footing bulkhead</v>
      </c>
      <c r="D291" s="2">
        <f>Rfi[[#This Row],[Sent]]</f>
        <v>43896</v>
      </c>
      <c r="E291" s="2">
        <f ca="1">TODAY()-Table2[[#This Row],[Date Sent]]</f>
        <v>406</v>
      </c>
      <c r="F291" s="1">
        <f>Rfi[[#This Row],[Ball In Court]]</f>
        <v>0</v>
      </c>
      <c r="G291" t="str">
        <f>Rfi[[#This Row],[State]]</f>
        <v>Closed</v>
      </c>
      <c r="H291" s="13"/>
    </row>
    <row r="292" spans="1:8" hidden="1" x14ac:dyDescent="0.35">
      <c r="A292" t="str">
        <f>Rfi[[#This Row],[Priority]]</f>
        <v>High</v>
      </c>
      <c r="B292">
        <f>Rfi[[#This Row],[Number]]</f>
        <v>293</v>
      </c>
      <c r="C292" t="str">
        <f>Rfi[[#This Row],[Subject]]</f>
        <v>Level 5 Duct Penetrations</v>
      </c>
      <c r="D292" s="2">
        <f>Rfi[[#This Row],[Sent]]</f>
        <v>43896</v>
      </c>
      <c r="E292" s="2">
        <f ca="1">TODAY()-Table2[[#This Row],[Date Sent]]</f>
        <v>406</v>
      </c>
      <c r="F292" s="1">
        <f>Rfi[[#This Row],[Ball In Court]]</f>
        <v>0</v>
      </c>
      <c r="G292" t="str">
        <f>Rfi[[#This Row],[State]]</f>
        <v>Closed</v>
      </c>
      <c r="H292" s="13"/>
    </row>
    <row r="293" spans="1:8" hidden="1" x14ac:dyDescent="0.35">
      <c r="A293" t="str">
        <f>Rfi[[#This Row],[Priority]]</f>
        <v>Medium</v>
      </c>
      <c r="B293">
        <f>Rfi[[#This Row],[Number]]</f>
        <v>294</v>
      </c>
      <c r="C293" t="str">
        <f>Rfi[[#This Row],[Subject]]</f>
        <v>Epoxy coating requirements at vaults</v>
      </c>
      <c r="D293" s="2">
        <f>Rfi[[#This Row],[Sent]]</f>
        <v>43899</v>
      </c>
      <c r="E293" s="2">
        <f ca="1">TODAY()-Table2[[#This Row],[Date Sent]]</f>
        <v>403</v>
      </c>
      <c r="F293" s="1">
        <f>Rfi[[#This Row],[Ball In Court]]</f>
        <v>0</v>
      </c>
      <c r="G293" t="str">
        <f>Rfi[[#This Row],[State]]</f>
        <v>Closed</v>
      </c>
      <c r="H293" s="13"/>
    </row>
    <row r="294" spans="1:8" hidden="1" x14ac:dyDescent="0.35">
      <c r="A294" t="str">
        <f>Rfi[[#This Row],[Priority]]</f>
        <v>Medium</v>
      </c>
      <c r="B294">
        <f>Rfi[[#This Row],[Number]]</f>
        <v>295</v>
      </c>
      <c r="C294" t="str">
        <f>Rfi[[#This Row],[Subject]]</f>
        <v>Joint filler material</v>
      </c>
      <c r="D294" s="2">
        <f>Rfi[[#This Row],[Sent]]</f>
        <v>43899</v>
      </c>
      <c r="E294" s="2">
        <f ca="1">TODAY()-Table2[[#This Row],[Date Sent]]</f>
        <v>403</v>
      </c>
      <c r="F294" s="1">
        <f>Rfi[[#This Row],[Ball In Court]]</f>
        <v>0</v>
      </c>
      <c r="G294" t="str">
        <f>Rfi[[#This Row],[State]]</f>
        <v>Closed</v>
      </c>
      <c r="H294" s="13"/>
    </row>
    <row r="295" spans="1:8" hidden="1" x14ac:dyDescent="0.35">
      <c r="A295" t="str">
        <f>Rfi[[#This Row],[Priority]]</f>
        <v>High</v>
      </c>
      <c r="B295">
        <f>Rfi[[#This Row],[Number]]</f>
        <v>296</v>
      </c>
      <c r="C295" t="str">
        <f>Rfi[[#This Row],[Subject]]</f>
        <v>Historic wood joist angle support attachment</v>
      </c>
      <c r="D295" s="2">
        <f>Rfi[[#This Row],[Sent]]</f>
        <v>43900</v>
      </c>
      <c r="E295" s="2">
        <f ca="1">TODAY()-Table2[[#This Row],[Date Sent]]</f>
        <v>402</v>
      </c>
      <c r="F295" s="1">
        <f>Rfi[[#This Row],[Ball In Court]]</f>
        <v>0</v>
      </c>
      <c r="G295" t="str">
        <f>Rfi[[#This Row],[State]]</f>
        <v>Closed</v>
      </c>
      <c r="H295" s="13"/>
    </row>
    <row r="296" spans="1:8" hidden="1" x14ac:dyDescent="0.35">
      <c r="A296" t="str">
        <f>Rfi[[#This Row],[Priority]]</f>
        <v>Medium</v>
      </c>
      <c r="B296">
        <f>Rfi[[#This Row],[Number]]</f>
        <v>297</v>
      </c>
      <c r="C296" t="str">
        <f>Rfi[[#This Row],[Subject]]</f>
        <v>Lighting 5th floor North and South stair towers</v>
      </c>
      <c r="D296" s="2">
        <f>Rfi[[#This Row],[Sent]]</f>
        <v>43900</v>
      </c>
      <c r="E296" s="2">
        <f ca="1">TODAY()-Table2[[#This Row],[Date Sent]]</f>
        <v>402</v>
      </c>
      <c r="F296" s="1">
        <f>Rfi[[#This Row],[Ball In Court]]</f>
        <v>0</v>
      </c>
      <c r="G296" t="str">
        <f>Rfi[[#This Row],[State]]</f>
        <v>Closed</v>
      </c>
      <c r="H296" s="13"/>
    </row>
    <row r="297" spans="1:8" hidden="1" x14ac:dyDescent="0.35">
      <c r="A297" t="str">
        <f>Rfi[[#This Row],[Priority]]</f>
        <v>Medium</v>
      </c>
      <c r="B297">
        <f>Rfi[[#This Row],[Number]]</f>
        <v>298</v>
      </c>
      <c r="C297" t="str">
        <f>Rfi[[#This Row],[Subject]]</f>
        <v>Steel Continuation at Columns - Level 3</v>
      </c>
      <c r="D297" s="2">
        <f>Rfi[[#This Row],[Sent]]</f>
        <v>43901</v>
      </c>
      <c r="E297" s="2">
        <f ca="1">TODAY()-Table2[[#This Row],[Date Sent]]</f>
        <v>401</v>
      </c>
      <c r="F297" s="1">
        <f>Rfi[[#This Row],[Ball In Court]]</f>
        <v>0</v>
      </c>
      <c r="G297" t="str">
        <f>Rfi[[#This Row],[State]]</f>
        <v>Closed</v>
      </c>
      <c r="H297" s="13"/>
    </row>
    <row r="298" spans="1:8" hidden="1" x14ac:dyDescent="0.35">
      <c r="A298" t="str">
        <f>Rfi[[#This Row],[Priority]]</f>
        <v>Medium</v>
      </c>
      <c r="B298">
        <f>Rfi[[#This Row],[Number]]</f>
        <v>299</v>
      </c>
      <c r="C298" t="str">
        <f>Rfi[[#This Row],[Subject]]</f>
        <v>CCD 006r2 Pavers</v>
      </c>
      <c r="D298" s="2">
        <f>Rfi[[#This Row],[Sent]]</f>
        <v>43901</v>
      </c>
      <c r="E298" s="2">
        <f ca="1">TODAY()-Table2[[#This Row],[Date Sent]]</f>
        <v>401</v>
      </c>
      <c r="F298" s="1">
        <f>Rfi[[#This Row],[Ball In Court]]</f>
        <v>0</v>
      </c>
      <c r="G298" t="str">
        <f>Rfi[[#This Row],[State]]</f>
        <v>Closed</v>
      </c>
      <c r="H298" s="13"/>
    </row>
    <row r="299" spans="1:8" hidden="1" x14ac:dyDescent="0.35">
      <c r="A299" t="str">
        <f>Rfi[[#This Row],[Priority]]</f>
        <v>Medium</v>
      </c>
      <c r="B299">
        <f>Rfi[[#This Row],[Number]]</f>
        <v>300</v>
      </c>
      <c r="C299" t="str">
        <f>Rfi[[#This Row],[Subject]]</f>
        <v>Radius Ceiling Information - Instruction Room below Level 4</v>
      </c>
      <c r="D299" s="2">
        <f>Rfi[[#This Row],[Sent]]</f>
        <v>43901</v>
      </c>
      <c r="E299" s="2">
        <f ca="1">TODAY()-Table2[[#This Row],[Date Sent]]</f>
        <v>401</v>
      </c>
      <c r="F299" s="1">
        <f>Rfi[[#This Row],[Ball In Court]]</f>
        <v>0</v>
      </c>
      <c r="G299" t="str">
        <f>Rfi[[#This Row],[State]]</f>
        <v>Closed</v>
      </c>
      <c r="H299" s="13"/>
    </row>
    <row r="300" spans="1:8" hidden="1" x14ac:dyDescent="0.35">
      <c r="A300" t="str">
        <f>Rfi[[#This Row],[Priority]]</f>
        <v>Medium</v>
      </c>
      <c r="B300">
        <f>Rfi[[#This Row],[Number]]</f>
        <v>301</v>
      </c>
      <c r="C300" t="str">
        <f>Rfi[[#This Row],[Subject]]</f>
        <v>CCD#028-Dryer Duct</v>
      </c>
      <c r="D300" s="2">
        <f>Rfi[[#This Row],[Sent]]</f>
        <v>43901</v>
      </c>
      <c r="E300" s="2">
        <f ca="1">TODAY()-Table2[[#This Row],[Date Sent]]</f>
        <v>401</v>
      </c>
      <c r="F300" s="1">
        <f>Rfi[[#This Row],[Ball In Court]]</f>
        <v>0</v>
      </c>
      <c r="G300" t="str">
        <f>Rfi[[#This Row],[State]]</f>
        <v>Closed</v>
      </c>
      <c r="H300" s="13"/>
    </row>
    <row r="301" spans="1:8" hidden="1" x14ac:dyDescent="0.35">
      <c r="A301" t="str">
        <f>Rfi[[#This Row],[Priority]]</f>
        <v>Medium</v>
      </c>
      <c r="B301">
        <f>Rfi[[#This Row],[Number]]</f>
        <v>302</v>
      </c>
      <c r="C301" t="str">
        <f>Rfi[[#This Row],[Subject]]</f>
        <v>M100A, M100B Missing Duct and Grill sizes</v>
      </c>
      <c r="D301" s="2">
        <f>Rfi[[#This Row],[Sent]]</f>
        <v>43901</v>
      </c>
      <c r="E301" s="2">
        <f ca="1">TODAY()-Table2[[#This Row],[Date Sent]]</f>
        <v>401</v>
      </c>
      <c r="F301" s="1">
        <f>Rfi[[#This Row],[Ball In Court]]</f>
        <v>0</v>
      </c>
      <c r="G301" t="str">
        <f>Rfi[[#This Row],[State]]</f>
        <v>Closed</v>
      </c>
      <c r="H301" s="13"/>
    </row>
    <row r="302" spans="1:8" hidden="1" x14ac:dyDescent="0.35">
      <c r="A302" t="str">
        <f>Rfi[[#This Row],[Priority]]</f>
        <v>High</v>
      </c>
      <c r="B302">
        <f>Rfi[[#This Row],[Number]]</f>
        <v>303</v>
      </c>
      <c r="C302" t="str">
        <f>Rfi[[#This Row],[Subject]]</f>
        <v>Sump Vault Switch Conformation</v>
      </c>
      <c r="D302" s="2">
        <f>Rfi[[#This Row],[Sent]]</f>
        <v>43902</v>
      </c>
      <c r="E302" s="2">
        <f ca="1">TODAY()-Table2[[#This Row],[Date Sent]]</f>
        <v>400</v>
      </c>
      <c r="F302" s="1">
        <f>Rfi[[#This Row],[Ball In Court]]</f>
        <v>0</v>
      </c>
      <c r="G302" t="str">
        <f>Rfi[[#This Row],[State]]</f>
        <v>Closed</v>
      </c>
      <c r="H302" s="13"/>
    </row>
    <row r="303" spans="1:8" hidden="1" x14ac:dyDescent="0.35">
      <c r="A303" t="str">
        <f>Rfi[[#This Row],[Priority]]</f>
        <v>Medium</v>
      </c>
      <c r="B303">
        <f>Rfi[[#This Row],[Number]]</f>
        <v>304</v>
      </c>
      <c r="C303" t="str">
        <f>Rfi[[#This Row],[Subject]]</f>
        <v>FS-1, FD-2 at Annex Mechanical Room</v>
      </c>
      <c r="D303" s="2">
        <f>Rfi[[#This Row],[Sent]]</f>
        <v>43902</v>
      </c>
      <c r="E303" s="2">
        <f ca="1">TODAY()-Table2[[#This Row],[Date Sent]]</f>
        <v>400</v>
      </c>
      <c r="F303" s="1">
        <f>Rfi[[#This Row],[Ball In Court]]</f>
        <v>0</v>
      </c>
      <c r="G303" t="str">
        <f>Rfi[[#This Row],[State]]</f>
        <v>Closed</v>
      </c>
      <c r="H303" s="13"/>
    </row>
    <row r="304" spans="1:8" hidden="1" x14ac:dyDescent="0.35">
      <c r="A304" t="str">
        <f>Rfi[[#This Row],[Priority]]</f>
        <v>Medium</v>
      </c>
      <c r="B304">
        <f>Rfi[[#This Row],[Number]]</f>
        <v>305</v>
      </c>
      <c r="C304" t="str">
        <f>Rfi[[#This Row],[Subject]]</f>
        <v>Laundry Room 028 Casework AE4007</v>
      </c>
      <c r="D304" s="2">
        <f>Rfi[[#This Row],[Sent]]</f>
        <v>43903</v>
      </c>
      <c r="E304" s="2">
        <f ca="1">TODAY()-Table2[[#This Row],[Date Sent]]</f>
        <v>399</v>
      </c>
      <c r="F304" s="1">
        <f>Rfi[[#This Row],[Ball In Court]]</f>
        <v>0</v>
      </c>
      <c r="G304" t="str">
        <f>Rfi[[#This Row],[State]]</f>
        <v>Closed</v>
      </c>
      <c r="H304" s="13"/>
    </row>
    <row r="305" spans="1:8" hidden="1" x14ac:dyDescent="0.35">
      <c r="A305" t="str">
        <f>Rfi[[#This Row],[Priority]]</f>
        <v>Medium</v>
      </c>
      <c r="B305">
        <f>Rfi[[#This Row],[Number]]</f>
        <v>306</v>
      </c>
      <c r="C305" t="str">
        <f>Rfi[[#This Row],[Subject]]</f>
        <v>CCD 041 sheet AE146 clarification</v>
      </c>
      <c r="D305" s="2">
        <f>Rfi[[#This Row],[Sent]]</f>
        <v>43906</v>
      </c>
      <c r="E305" s="2">
        <f ca="1">TODAY()-Table2[[#This Row],[Date Sent]]</f>
        <v>396</v>
      </c>
      <c r="F305" s="1">
        <f>Rfi[[#This Row],[Ball In Court]]</f>
        <v>0</v>
      </c>
      <c r="G305" t="str">
        <f>Rfi[[#This Row],[State]]</f>
        <v>Closed</v>
      </c>
      <c r="H305" s="13"/>
    </row>
    <row r="306" spans="1:8" hidden="1" x14ac:dyDescent="0.35">
      <c r="A306" t="str">
        <f>Rfi[[#This Row],[Priority]]</f>
        <v>Medium</v>
      </c>
      <c r="B306">
        <f>Rfi[[#This Row],[Number]]</f>
        <v>307</v>
      </c>
      <c r="C306" t="str">
        <f>Rfi[[#This Row],[Subject]]</f>
        <v>East Fountain Geometry</v>
      </c>
      <c r="D306" s="2">
        <f>Rfi[[#This Row],[Sent]]</f>
        <v>43907</v>
      </c>
      <c r="E306" s="2">
        <f ca="1">TODAY()-Table2[[#This Row],[Date Sent]]</f>
        <v>395</v>
      </c>
      <c r="F306" s="1">
        <f>Rfi[[#This Row],[Ball In Court]]</f>
        <v>0</v>
      </c>
      <c r="G306" t="str">
        <f>Rfi[[#This Row],[State]]</f>
        <v>Closed</v>
      </c>
      <c r="H306" s="13"/>
    </row>
    <row r="307" spans="1:8" hidden="1" x14ac:dyDescent="0.35">
      <c r="A307" t="str">
        <f>Rfi[[#This Row],[Priority]]</f>
        <v>Medium</v>
      </c>
      <c r="B307">
        <f>Rfi[[#This Row],[Number]]</f>
        <v>308</v>
      </c>
      <c r="C307" t="str">
        <f>Rfi[[#This Row],[Subject]]</f>
        <v>5th floor outlets</v>
      </c>
      <c r="D307" s="2">
        <f>Rfi[[#This Row],[Sent]]</f>
        <v>43930</v>
      </c>
      <c r="E307" s="2">
        <f ca="1">TODAY()-Table2[[#This Row],[Date Sent]]</f>
        <v>372</v>
      </c>
      <c r="F307" s="1">
        <f>Rfi[[#This Row],[Ball In Court]]</f>
        <v>0</v>
      </c>
      <c r="G307" t="str">
        <f>Rfi[[#This Row],[State]]</f>
        <v>Closed</v>
      </c>
      <c r="H307" s="13"/>
    </row>
    <row r="308" spans="1:8" hidden="1" x14ac:dyDescent="0.35">
      <c r="A308" t="str">
        <f>Rfi[[#This Row],[Priority]]</f>
        <v>Medium</v>
      </c>
      <c r="B308">
        <f>Rfi[[#This Row],[Number]]</f>
        <v>309</v>
      </c>
      <c r="C308" t="str">
        <f>Rfi[[#This Row],[Subject]]</f>
        <v>Room layout Consistency</v>
      </c>
      <c r="D308" s="2">
        <f>Rfi[[#This Row],[Sent]]</f>
        <v>43907</v>
      </c>
      <c r="E308" s="2">
        <f ca="1">TODAY()-Table2[[#This Row],[Date Sent]]</f>
        <v>395</v>
      </c>
      <c r="F308" s="1">
        <f>Rfi[[#This Row],[Ball In Court]]</f>
        <v>0</v>
      </c>
      <c r="G308" t="str">
        <f>Rfi[[#This Row],[State]]</f>
        <v>Closed</v>
      </c>
      <c r="H308" s="13"/>
    </row>
    <row r="309" spans="1:8" hidden="1" x14ac:dyDescent="0.35">
      <c r="A309" t="str">
        <f>Rfi[[#This Row],[Priority]]</f>
        <v>Medium</v>
      </c>
      <c r="B309">
        <f>Rfi[[#This Row],[Number]]</f>
        <v>310</v>
      </c>
      <c r="C309" t="str">
        <f>Rfi[[#This Row],[Subject]]</f>
        <v>In wall cleanouts at annex kitchen</v>
      </c>
      <c r="D309" s="2">
        <f>Rfi[[#This Row],[Sent]]</f>
        <v>43908</v>
      </c>
      <c r="E309" s="2">
        <f ca="1">TODAY()-Table2[[#This Row],[Date Sent]]</f>
        <v>394</v>
      </c>
      <c r="F309" s="1">
        <f>Rfi[[#This Row],[Ball In Court]]</f>
        <v>0</v>
      </c>
      <c r="G309" t="str">
        <f>Rfi[[#This Row],[State]]</f>
        <v>Closed</v>
      </c>
      <c r="H309" s="13"/>
    </row>
    <row r="310" spans="1:8" hidden="1" x14ac:dyDescent="0.35">
      <c r="A310" t="str">
        <f>Rfi[[#This Row],[Priority]]</f>
        <v>Medium</v>
      </c>
      <c r="B310">
        <f>Rfi[[#This Row],[Number]]</f>
        <v>311</v>
      </c>
      <c r="C310" t="str">
        <f>Rfi[[#This Row],[Subject]]</f>
        <v>Annex level 1 missing duct and register sizes</v>
      </c>
      <c r="D310" s="2">
        <f>Rfi[[#This Row],[Sent]]</f>
        <v>43908</v>
      </c>
      <c r="E310" s="2">
        <f ca="1">TODAY()-Table2[[#This Row],[Date Sent]]</f>
        <v>394</v>
      </c>
      <c r="F310" s="1">
        <f>Rfi[[#This Row],[Ball In Court]]</f>
        <v>0</v>
      </c>
      <c r="G310" t="str">
        <f>Rfi[[#This Row],[State]]</f>
        <v>Closed</v>
      </c>
      <c r="H310" s="13"/>
    </row>
    <row r="311" spans="1:8" x14ac:dyDescent="0.35">
      <c r="A311" t="str">
        <f>Rfi[[#This Row],[Priority]]</f>
        <v>High</v>
      </c>
      <c r="B311">
        <f>Rfi[[#This Row],[Number]]</f>
        <v>312</v>
      </c>
      <c r="C311" t="str">
        <f>Rfi[[#This Row],[Subject]]</f>
        <v>Light fixtures at medallions</v>
      </c>
      <c r="D311" s="2">
        <f>Rfi[[#This Row],[Sent]]</f>
        <v>44068</v>
      </c>
      <c r="E311" s="9">
        <f ca="1">TODAY()-Table2[[#This Row],[Date Sent]]</f>
        <v>234</v>
      </c>
      <c r="F311" s="1">
        <f>Rfi[[#This Row],[Ball In Court]]</f>
        <v>0</v>
      </c>
      <c r="G311" t="str">
        <f>Rfi[[#This Row],[State]]</f>
        <v>Closed</v>
      </c>
      <c r="H311" s="13"/>
    </row>
    <row r="312" spans="1:8" hidden="1" x14ac:dyDescent="0.35">
      <c r="A312" t="str">
        <f>Rfi[[#This Row],[Priority]]</f>
        <v>Medium</v>
      </c>
      <c r="B312">
        <f>Rfi[[#This Row],[Number]]</f>
        <v>313</v>
      </c>
      <c r="C312" t="str">
        <f>Rfi[[#This Row],[Subject]]</f>
        <v>Electrical Room 315 duct</v>
      </c>
      <c r="D312" s="2">
        <f>Rfi[[#This Row],[Sent]]</f>
        <v>43910</v>
      </c>
      <c r="E312" s="2">
        <f ca="1">TODAY()-Table2[[#This Row],[Date Sent]]</f>
        <v>392</v>
      </c>
      <c r="F312" s="1">
        <f>Rfi[[#This Row],[Ball In Court]]</f>
        <v>0</v>
      </c>
      <c r="G312" t="str">
        <f>Rfi[[#This Row],[State]]</f>
        <v>Closed</v>
      </c>
      <c r="H312" s="13"/>
    </row>
    <row r="313" spans="1:8" hidden="1" x14ac:dyDescent="0.35">
      <c r="A313" t="str">
        <f>Rfi[[#This Row],[Priority]]</f>
        <v>Medium</v>
      </c>
      <c r="B313">
        <f>Rfi[[#This Row],[Number]]</f>
        <v>314</v>
      </c>
      <c r="C313" t="str">
        <f>Rfi[[#This Row],[Subject]]</f>
        <v>Landscape Concrete Conformation</v>
      </c>
      <c r="D313" s="2">
        <f>Rfi[[#This Row],[Sent]]</f>
        <v>43913</v>
      </c>
      <c r="E313" s="2">
        <f ca="1">TODAY()-Table2[[#This Row],[Date Sent]]</f>
        <v>389</v>
      </c>
      <c r="F313" s="1">
        <f>Rfi[[#This Row],[Ball In Court]]</f>
        <v>0</v>
      </c>
      <c r="G313" t="str">
        <f>Rfi[[#This Row],[State]]</f>
        <v>Closed</v>
      </c>
      <c r="H313" s="13"/>
    </row>
    <row r="314" spans="1:8" hidden="1" x14ac:dyDescent="0.35">
      <c r="A314" t="str">
        <f>Rfi[[#This Row],[Priority]]</f>
        <v>Medium</v>
      </c>
      <c r="B314">
        <f>Rfi[[#This Row],[Number]]</f>
        <v>315</v>
      </c>
      <c r="C314" t="str">
        <f>Rfi[[#This Row],[Subject]]</f>
        <v>Soda Line Pull Box Type</v>
      </c>
      <c r="D314" s="2">
        <f>Rfi[[#This Row],[Sent]]</f>
        <v>43913</v>
      </c>
      <c r="E314" s="2">
        <f ca="1">TODAY()-Table2[[#This Row],[Date Sent]]</f>
        <v>389</v>
      </c>
      <c r="F314" s="1">
        <f>Rfi[[#This Row],[Ball In Court]]</f>
        <v>0</v>
      </c>
      <c r="G314" t="str">
        <f>Rfi[[#This Row],[State]]</f>
        <v>Closed</v>
      </c>
      <c r="H314" s="13"/>
    </row>
    <row r="315" spans="1:8" hidden="1" x14ac:dyDescent="0.35">
      <c r="A315" t="str">
        <f>Rfi[[#This Row],[Priority]]</f>
        <v>High</v>
      </c>
      <c r="B315">
        <f>Rfi[[#This Row],[Number]]</f>
        <v>316</v>
      </c>
      <c r="C315" t="str">
        <f>Rfi[[#This Row],[Subject]]</f>
        <v>Level 5 Ducting Penetrations</v>
      </c>
      <c r="D315" s="2">
        <f>Rfi[[#This Row],[Sent]]</f>
        <v>43913</v>
      </c>
      <c r="E315" s="2">
        <f ca="1">TODAY()-Table2[[#This Row],[Date Sent]]</f>
        <v>389</v>
      </c>
      <c r="F315" s="1">
        <f>Rfi[[#This Row],[Ball In Court]]</f>
        <v>0</v>
      </c>
      <c r="G315" t="str">
        <f>Rfi[[#This Row],[State]]</f>
        <v>Closed</v>
      </c>
      <c r="H315" s="13"/>
    </row>
    <row r="316" spans="1:8" hidden="1" x14ac:dyDescent="0.35">
      <c r="A316" t="str">
        <f>Rfi[[#This Row],[Priority]]</f>
        <v>Medium</v>
      </c>
      <c r="B316">
        <f>Rfi[[#This Row],[Number]]</f>
        <v>317</v>
      </c>
      <c r="C316" t="str">
        <f>Rfi[[#This Row],[Subject]]</f>
        <v>Fireproofing of Steel in Annex</v>
      </c>
      <c r="D316" s="2">
        <f>Rfi[[#This Row],[Sent]]</f>
        <v>43913</v>
      </c>
      <c r="E316" s="2">
        <f ca="1">TODAY()-Table2[[#This Row],[Date Sent]]</f>
        <v>389</v>
      </c>
      <c r="F316" s="1">
        <f>Rfi[[#This Row],[Ball In Court]]</f>
        <v>0</v>
      </c>
      <c r="G316" t="str">
        <f>Rfi[[#This Row],[State]]</f>
        <v>Closed</v>
      </c>
      <c r="H316" s="13"/>
    </row>
    <row r="317" spans="1:8" hidden="1" x14ac:dyDescent="0.35">
      <c r="A317" t="str">
        <f>Rfi[[#This Row],[Priority]]</f>
        <v>Medium</v>
      </c>
      <c r="B317">
        <f>Rfi[[#This Row],[Number]]</f>
        <v>318</v>
      </c>
      <c r="C317" t="str">
        <f>Rfi[[#This Row],[Subject]]</f>
        <v>Galvanized Font Level Steel</v>
      </c>
      <c r="D317" s="2">
        <f>Rfi[[#This Row],[Sent]]</f>
        <v>43914</v>
      </c>
      <c r="E317" s="2">
        <f ca="1">TODAY()-Table2[[#This Row],[Date Sent]]</f>
        <v>388</v>
      </c>
      <c r="F317" s="1">
        <f>Rfi[[#This Row],[Ball In Court]]</f>
        <v>0</v>
      </c>
      <c r="G317" t="str">
        <f>Rfi[[#This Row],[State]]</f>
        <v>Closed</v>
      </c>
      <c r="H317" s="13"/>
    </row>
    <row r="318" spans="1:8" hidden="1" x14ac:dyDescent="0.35">
      <c r="A318" t="str">
        <f>Rfi[[#This Row],[Priority]]</f>
        <v>High</v>
      </c>
      <c r="B318">
        <f>Rfi[[#This Row],[Number]]</f>
        <v>319</v>
      </c>
      <c r="C318" t="str">
        <f>Rfi[[#This Row],[Subject]]</f>
        <v>Arborist's Recomendation for Pre-existing tree conditions</v>
      </c>
      <c r="D318" s="2">
        <f>Rfi[[#This Row],[Sent]]</f>
        <v>43914</v>
      </c>
      <c r="E318" s="2">
        <f ca="1">TODAY()-Table2[[#This Row],[Date Sent]]</f>
        <v>388</v>
      </c>
      <c r="F318" s="1">
        <f>Rfi[[#This Row],[Ball In Court]]</f>
        <v>0</v>
      </c>
      <c r="G318" t="str">
        <f>Rfi[[#This Row],[State]]</f>
        <v>Closed</v>
      </c>
      <c r="H318" s="13"/>
    </row>
    <row r="319" spans="1:8" hidden="1" x14ac:dyDescent="0.35">
      <c r="A319" t="str">
        <f>Rfi[[#This Row],[Priority]]</f>
        <v>Medium</v>
      </c>
      <c r="B319">
        <f>Rfi[[#This Row],[Number]]</f>
        <v>320</v>
      </c>
      <c r="C319" t="str">
        <f>Rfi[[#This Row],[Subject]]</f>
        <v>Missing Sheet AE608</v>
      </c>
      <c r="D319" s="2">
        <f>Rfi[[#This Row],[Sent]]</f>
        <v>43914</v>
      </c>
      <c r="E319" s="2">
        <f ca="1">TODAY()-Table2[[#This Row],[Date Sent]]</f>
        <v>388</v>
      </c>
      <c r="F319" s="1">
        <f>Rfi[[#This Row],[Ball In Court]]</f>
        <v>0</v>
      </c>
      <c r="G319" t="str">
        <f>Rfi[[#This Row],[State]]</f>
        <v>Closed</v>
      </c>
      <c r="H319" s="13"/>
    </row>
    <row r="320" spans="1:8" hidden="1" x14ac:dyDescent="0.35">
      <c r="A320" t="str">
        <f>Rfi[[#This Row],[Priority]]</f>
        <v>Medium</v>
      </c>
      <c r="B320">
        <f>Rfi[[#This Row],[Number]]</f>
        <v>321</v>
      </c>
      <c r="C320" t="str">
        <f>Rfi[[#This Row],[Subject]]</f>
        <v>CCD 41r1 Slab elevations</v>
      </c>
      <c r="D320" s="2">
        <f>Rfi[[#This Row],[Sent]]</f>
        <v>43922</v>
      </c>
      <c r="E320" s="2">
        <f ca="1">TODAY()-Table2[[#This Row],[Date Sent]]</f>
        <v>380</v>
      </c>
      <c r="F320" s="1">
        <f>Rfi[[#This Row],[Ball In Court]]</f>
        <v>0</v>
      </c>
      <c r="G320" t="str">
        <f>Rfi[[#This Row],[State]]</f>
        <v>Closed</v>
      </c>
      <c r="H320" s="13"/>
    </row>
    <row r="321" spans="1:8" x14ac:dyDescent="0.35">
      <c r="A321" t="str">
        <f>Rfi[[#This Row],[Priority]]</f>
        <v>Medium</v>
      </c>
      <c r="B321">
        <f>Rfi[[#This Row],[Number]]</f>
        <v>322</v>
      </c>
      <c r="C321" t="str">
        <f>Rfi[[#This Row],[Subject]]</f>
        <v>Glazing Clarifications</v>
      </c>
      <c r="D321" s="2">
        <f>Rfi[[#This Row],[Sent]]</f>
        <v>43915</v>
      </c>
      <c r="E321" s="9">
        <f ca="1">TODAY()-Table2[[#This Row],[Date Sent]]</f>
        <v>387</v>
      </c>
      <c r="F321" s="1">
        <f>Rfi[[#This Row],[Ball In Court]]</f>
        <v>0</v>
      </c>
      <c r="G321" t="str">
        <f>Rfi[[#This Row],[State]]</f>
        <v>Closed</v>
      </c>
      <c r="H321" s="14" t="s">
        <v>2365</v>
      </c>
    </row>
    <row r="322" spans="1:8" hidden="1" x14ac:dyDescent="0.35">
      <c r="A322" t="str">
        <f>Rfi[[#This Row],[Priority]]</f>
        <v>Medium</v>
      </c>
      <c r="B322">
        <f>Rfi[[#This Row],[Number]]</f>
        <v>323</v>
      </c>
      <c r="C322" t="str">
        <f>Rfi[[#This Row],[Subject]]</f>
        <v>Demo. Plaster for Electrical Rough</v>
      </c>
      <c r="D322" s="2">
        <f>Rfi[[#This Row],[Sent]]</f>
        <v>43915</v>
      </c>
      <c r="E322" s="2">
        <f ca="1">TODAY()-Table2[[#This Row],[Date Sent]]</f>
        <v>387</v>
      </c>
      <c r="F322" s="1">
        <f>Rfi[[#This Row],[Ball In Court]]</f>
        <v>0</v>
      </c>
      <c r="G322" t="str">
        <f>Rfi[[#This Row],[State]]</f>
        <v>Closed</v>
      </c>
    </row>
    <row r="323" spans="1:8" hidden="1" x14ac:dyDescent="0.35">
      <c r="A323" t="str">
        <f>Rfi[[#This Row],[Priority]]</f>
        <v>Medium</v>
      </c>
      <c r="B323">
        <f>Rfi[[#This Row],[Number]]</f>
        <v>324</v>
      </c>
      <c r="C323" t="str">
        <f>Rfi[[#This Row],[Subject]]</f>
        <v>Annex round high windows</v>
      </c>
      <c r="D323" s="2">
        <f>Rfi[[#This Row],[Sent]]</f>
        <v>43915</v>
      </c>
      <c r="E323" s="2">
        <f ca="1">TODAY()-Table2[[#This Row],[Date Sent]]</f>
        <v>387</v>
      </c>
      <c r="F323" s="1">
        <f>Rfi[[#This Row],[Ball In Court]]</f>
        <v>0</v>
      </c>
      <c r="G323" t="str">
        <f>Rfi[[#This Row],[State]]</f>
        <v>Closed</v>
      </c>
    </row>
    <row r="324" spans="1:8" hidden="1" x14ac:dyDescent="0.35">
      <c r="A324" t="str">
        <f>Rfi[[#This Row],[Priority]]</f>
        <v>Medium</v>
      </c>
      <c r="B324">
        <f>Rfi[[#This Row],[Number]]</f>
        <v>325</v>
      </c>
      <c r="C324" t="str">
        <f>Rfi[[#This Row],[Subject]]</f>
        <v>North Stone Column Infills</v>
      </c>
      <c r="D324" s="2">
        <f>Rfi[[#This Row],[Sent]]</f>
        <v>43916</v>
      </c>
      <c r="E324" s="2">
        <f ca="1">TODAY()-Table2[[#This Row],[Date Sent]]</f>
        <v>386</v>
      </c>
      <c r="F324" s="1">
        <f>Rfi[[#This Row],[Ball In Court]]</f>
        <v>0</v>
      </c>
      <c r="G324" t="str">
        <f>Rfi[[#This Row],[State]]</f>
        <v>Closed</v>
      </c>
    </row>
    <row r="325" spans="1:8" hidden="1" x14ac:dyDescent="0.35">
      <c r="A325" t="str">
        <f>Rfi[[#This Row],[Priority]]</f>
        <v>Medium</v>
      </c>
      <c r="B325">
        <f>Rfi[[#This Row],[Number]]</f>
        <v>326</v>
      </c>
      <c r="C325" t="str">
        <f>Rfi[[#This Row],[Subject]]</f>
        <v>Room 317, 319 SWS Grille installation</v>
      </c>
      <c r="D325" s="2">
        <f>Rfi[[#This Row],[Sent]]</f>
        <v>43916</v>
      </c>
      <c r="E325" s="2">
        <f ca="1">TODAY()-Table2[[#This Row],[Date Sent]]</f>
        <v>386</v>
      </c>
      <c r="F325" s="1">
        <f>Rfi[[#This Row],[Ball In Court]]</f>
        <v>0</v>
      </c>
      <c r="G325" t="str">
        <f>Rfi[[#This Row],[State]]</f>
        <v>Closed</v>
      </c>
    </row>
    <row r="326" spans="1:8" hidden="1" x14ac:dyDescent="0.35">
      <c r="A326" t="str">
        <f>Rfi[[#This Row],[Priority]]</f>
        <v>Medium</v>
      </c>
      <c r="B326">
        <f>Rfi[[#This Row],[Number]]</f>
        <v>327</v>
      </c>
      <c r="C326" t="str">
        <f>Rfi[[#This Row],[Subject]]</f>
        <v>Elevator 5 shaft fire damper requirements</v>
      </c>
      <c r="D326" s="2">
        <f>Rfi[[#This Row],[Sent]]</f>
        <v>43916</v>
      </c>
      <c r="E326" s="2">
        <f ca="1">TODAY()-Table2[[#This Row],[Date Sent]]</f>
        <v>386</v>
      </c>
      <c r="F326" s="1">
        <f>Rfi[[#This Row],[Ball In Court]]</f>
        <v>0</v>
      </c>
      <c r="G326" t="str">
        <f>Rfi[[#This Row],[State]]</f>
        <v>Closed</v>
      </c>
    </row>
    <row r="327" spans="1:8" hidden="1" x14ac:dyDescent="0.35">
      <c r="A327" t="str">
        <f>Rfi[[#This Row],[Priority]]</f>
        <v>Medium</v>
      </c>
      <c r="B327">
        <f>Rfi[[#This Row],[Number]]</f>
        <v>328</v>
      </c>
      <c r="C327" t="str">
        <f>Rfi[[#This Row],[Subject]]</f>
        <v>Electrical Room 315 Return Duct opening</v>
      </c>
      <c r="D327" s="2">
        <f>Rfi[[#This Row],[Sent]]</f>
        <v>43916</v>
      </c>
      <c r="E327" s="2">
        <f ca="1">TODAY()-Table2[[#This Row],[Date Sent]]</f>
        <v>386</v>
      </c>
      <c r="F327" s="1">
        <f>Rfi[[#This Row],[Ball In Court]]</f>
        <v>0</v>
      </c>
      <c r="G327" t="str">
        <f>Rfi[[#This Row],[State]]</f>
        <v>Closed</v>
      </c>
    </row>
    <row r="328" spans="1:8" hidden="1" x14ac:dyDescent="0.35">
      <c r="A328" t="str">
        <f>Rfi[[#This Row],[Priority]]</f>
        <v>Medium</v>
      </c>
      <c r="B328">
        <f>Rfi[[#This Row],[Number]]</f>
        <v>329</v>
      </c>
      <c r="C328" t="str">
        <f>Rfi[[#This Row],[Subject]]</f>
        <v>Curb Wall by Ramp in North Addition</v>
      </c>
      <c r="D328" s="2">
        <f>Rfi[[#This Row],[Sent]]</f>
        <v>43917</v>
      </c>
      <c r="E328" s="2">
        <f ca="1">TODAY()-Table2[[#This Row],[Date Sent]]</f>
        <v>385</v>
      </c>
      <c r="F328" s="1">
        <f>Rfi[[#This Row],[Ball In Court]]</f>
        <v>0</v>
      </c>
      <c r="G328" t="str">
        <f>Rfi[[#This Row],[State]]</f>
        <v>Closed</v>
      </c>
    </row>
    <row r="329" spans="1:8" hidden="1" x14ac:dyDescent="0.35">
      <c r="A329" t="str">
        <f>Rfi[[#This Row],[Priority]]</f>
        <v>Medium</v>
      </c>
      <c r="B329">
        <f>Rfi[[#This Row],[Number]]</f>
        <v>330</v>
      </c>
      <c r="C329" t="str">
        <f>Rfi[[#This Row],[Subject]]</f>
        <v>Color Selection of wiring devices and wall sensors</v>
      </c>
      <c r="D329" s="2">
        <f>Rfi[[#This Row],[Sent]]</f>
        <v>43917</v>
      </c>
      <c r="E329" s="2">
        <f ca="1">TODAY()-Table2[[#This Row],[Date Sent]]</f>
        <v>385</v>
      </c>
      <c r="F329" s="1">
        <f>Rfi[[#This Row],[Ball In Court]]</f>
        <v>0</v>
      </c>
      <c r="G329" t="str">
        <f>Rfi[[#This Row],[State]]</f>
        <v>Closed</v>
      </c>
    </row>
    <row r="330" spans="1:8" hidden="1" x14ac:dyDescent="0.35">
      <c r="A330" t="str">
        <f>Rfi[[#This Row],[Priority]]</f>
        <v>Medium</v>
      </c>
      <c r="B330">
        <f>Rfi[[#This Row],[Number]]</f>
        <v>331</v>
      </c>
      <c r="C330" t="str">
        <f>Rfi[[#This Row],[Subject]]</f>
        <v>Rough Openings Doors West End Historical</v>
      </c>
      <c r="D330" s="2">
        <f>Rfi[[#This Row],[Sent]]</f>
        <v>43917</v>
      </c>
      <c r="E330" s="2">
        <f ca="1">TODAY()-Table2[[#This Row],[Date Sent]]</f>
        <v>385</v>
      </c>
      <c r="F330" s="1">
        <f>Rfi[[#This Row],[Ball In Court]]</f>
        <v>0</v>
      </c>
      <c r="G330" t="str">
        <f>Rfi[[#This Row],[State]]</f>
        <v>Closed</v>
      </c>
    </row>
    <row r="331" spans="1:8" hidden="1" x14ac:dyDescent="0.35">
      <c r="A331" t="str">
        <f>Rfi[[#This Row],[Priority]]</f>
        <v>Medium</v>
      </c>
      <c r="B331">
        <f>Rfi[[#This Row],[Number]]</f>
        <v>332</v>
      </c>
      <c r="C331" t="str">
        <f>Rfi[[#This Row],[Subject]]</f>
        <v>CCD 006r3</v>
      </c>
      <c r="D331" s="2">
        <f>Rfi[[#This Row],[Sent]]</f>
        <v>43917</v>
      </c>
      <c r="E331" s="2">
        <f ca="1">TODAY()-Table2[[#This Row],[Date Sent]]</f>
        <v>385</v>
      </c>
      <c r="F331" s="1">
        <f>Rfi[[#This Row],[Ball In Court]]</f>
        <v>0</v>
      </c>
      <c r="G331" t="str">
        <f>Rfi[[#This Row],[State]]</f>
        <v>Closed</v>
      </c>
    </row>
    <row r="332" spans="1:8" hidden="1" x14ac:dyDescent="0.35">
      <c r="A332" t="str">
        <f>Rfi[[#This Row],[Priority]]</f>
        <v>Medium</v>
      </c>
      <c r="B332">
        <f>Rfi[[#This Row],[Number]]</f>
        <v>333</v>
      </c>
      <c r="C332" t="str">
        <f>Rfi[[#This Row],[Subject]]</f>
        <v>Soda line conduit</v>
      </c>
      <c r="D332" s="2">
        <f>Rfi[[#This Row],[Sent]]</f>
        <v>43920</v>
      </c>
      <c r="E332" s="2">
        <f ca="1">TODAY()-Table2[[#This Row],[Date Sent]]</f>
        <v>382</v>
      </c>
      <c r="F332" s="1">
        <f>Rfi[[#This Row],[Ball In Court]]</f>
        <v>0</v>
      </c>
      <c r="G332" t="str">
        <f>Rfi[[#This Row],[State]]</f>
        <v>Closed</v>
      </c>
    </row>
    <row r="333" spans="1:8" hidden="1" x14ac:dyDescent="0.35">
      <c r="A333" t="str">
        <f>Rfi[[#This Row],[Priority]]</f>
        <v>Medium</v>
      </c>
      <c r="B333">
        <f>Rfi[[#This Row],[Number]]</f>
        <v>334</v>
      </c>
      <c r="C333" t="str">
        <f>Rfi[[#This Row],[Subject]]</f>
        <v>East Rooms Excavations</v>
      </c>
      <c r="D333" s="2">
        <f>Rfi[[#This Row],[Sent]]</f>
        <v>43920</v>
      </c>
      <c r="E333" s="2">
        <f ca="1">TODAY()-Table2[[#This Row],[Date Sent]]</f>
        <v>382</v>
      </c>
      <c r="F333" s="1">
        <f>Rfi[[#This Row],[Ball In Court]]</f>
        <v>0</v>
      </c>
      <c r="G333" t="str">
        <f>Rfi[[#This Row],[State]]</f>
        <v>Closed</v>
      </c>
    </row>
    <row r="334" spans="1:8" hidden="1" x14ac:dyDescent="0.35">
      <c r="A334" t="str">
        <f>Rfi[[#This Row],[Priority]]</f>
        <v>Medium</v>
      </c>
      <c r="B334">
        <f>Rfi[[#This Row],[Number]]</f>
        <v>335</v>
      </c>
      <c r="C334" t="str">
        <f>Rfi[[#This Row],[Subject]]</f>
        <v>Annex stair 2 shaft dimension clarification</v>
      </c>
      <c r="D334" s="2">
        <f>Rfi[[#This Row],[Sent]]</f>
        <v>43920</v>
      </c>
      <c r="E334" s="2">
        <f ca="1">TODAY()-Table2[[#This Row],[Date Sent]]</f>
        <v>382</v>
      </c>
      <c r="F334" s="1">
        <f>Rfi[[#This Row],[Ball In Court]]</f>
        <v>0</v>
      </c>
      <c r="G334" t="str">
        <f>Rfi[[#This Row],[State]]</f>
        <v>Closed</v>
      </c>
    </row>
    <row r="335" spans="1:8" hidden="1" x14ac:dyDescent="0.35">
      <c r="A335" t="str">
        <f>Rfi[[#This Row],[Priority]]</f>
        <v>Medium</v>
      </c>
      <c r="B335">
        <f>Rfi[[#This Row],[Number]]</f>
        <v>336</v>
      </c>
      <c r="C335" t="str">
        <f>Rfi[[#This Row],[Subject]]</f>
        <v>Sealer Gasket @ Acoustically Insulated Walls</v>
      </c>
      <c r="D335" s="2">
        <f>Rfi[[#This Row],[Sent]]</f>
        <v>43921</v>
      </c>
      <c r="E335" s="2">
        <f ca="1">TODAY()-Table2[[#This Row],[Date Sent]]</f>
        <v>381</v>
      </c>
      <c r="F335" s="1">
        <f>Rfi[[#This Row],[Ball In Court]]</f>
        <v>0</v>
      </c>
      <c r="G335" t="str">
        <f>Rfi[[#This Row],[State]]</f>
        <v>Closed</v>
      </c>
    </row>
    <row r="336" spans="1:8" hidden="1" x14ac:dyDescent="0.35">
      <c r="A336" t="str">
        <f>Rfi[[#This Row],[Priority]]</f>
        <v>High</v>
      </c>
      <c r="B336">
        <f>Rfi[[#This Row],[Number]]</f>
        <v>337</v>
      </c>
      <c r="C336" t="str">
        <f>Rfi[[#This Row],[Subject]]</f>
        <v>CONCRETE PAVING</v>
      </c>
      <c r="D336" s="2">
        <f>Rfi[[#This Row],[Sent]]</f>
        <v>43921</v>
      </c>
      <c r="E336" s="2">
        <f ca="1">TODAY()-Table2[[#This Row],[Date Sent]]</f>
        <v>381</v>
      </c>
      <c r="F336" s="1">
        <f>Rfi[[#This Row],[Ball In Court]]</f>
        <v>0</v>
      </c>
      <c r="G336" t="str">
        <f>Rfi[[#This Row],[State]]</f>
        <v>Closed</v>
      </c>
    </row>
    <row r="337" spans="1:7" hidden="1" x14ac:dyDescent="0.35">
      <c r="A337" t="str">
        <f>Rfi[[#This Row],[Priority]]</f>
        <v>Medium</v>
      </c>
      <c r="B337">
        <f>Rfi[[#This Row],[Number]]</f>
        <v>338</v>
      </c>
      <c r="C337" t="str">
        <f>Rfi[[#This Row],[Subject]]</f>
        <v>Corridor Columns on 3rd and 5th Floor</v>
      </c>
      <c r="D337" s="2">
        <f>Rfi[[#This Row],[Sent]]</f>
        <v>43921</v>
      </c>
      <c r="E337" s="2">
        <f ca="1">TODAY()-Table2[[#This Row],[Date Sent]]</f>
        <v>381</v>
      </c>
      <c r="F337" s="1">
        <f>Rfi[[#This Row],[Ball In Court]]</f>
        <v>0</v>
      </c>
      <c r="G337" t="str">
        <f>Rfi[[#This Row],[State]]</f>
        <v>Closed</v>
      </c>
    </row>
    <row r="338" spans="1:7" hidden="1" x14ac:dyDescent="0.35">
      <c r="A338" t="str">
        <f>Rfi[[#This Row],[Priority]]</f>
        <v>High</v>
      </c>
      <c r="B338">
        <f>Rfi[[#This Row],[Number]]</f>
        <v>339</v>
      </c>
      <c r="C338" t="str">
        <f>Rfi[[#This Row],[Subject]]</f>
        <v>Partial/Full Height Walls</v>
      </c>
      <c r="D338" s="2">
        <f>Rfi[[#This Row],[Sent]]</f>
        <v>43921</v>
      </c>
      <c r="E338" s="2">
        <f ca="1">TODAY()-Table2[[#This Row],[Date Sent]]</f>
        <v>381</v>
      </c>
      <c r="F338" s="1">
        <f>Rfi[[#This Row],[Ball In Court]]</f>
        <v>0</v>
      </c>
      <c r="G338" t="str">
        <f>Rfi[[#This Row],[State]]</f>
        <v>Closed</v>
      </c>
    </row>
    <row r="339" spans="1:7" hidden="1" x14ac:dyDescent="0.35">
      <c r="A339" t="str">
        <f>Rfi[[#This Row],[Priority]]</f>
        <v>Medium</v>
      </c>
      <c r="B339">
        <f>Rfi[[#This Row],[Number]]</f>
        <v>340</v>
      </c>
      <c r="C339" t="str">
        <f>Rfi[[#This Row],[Subject]]</f>
        <v>Waiting 109 &amp; Chapel 110 column dimension conflict</v>
      </c>
      <c r="D339" s="2">
        <f>Rfi[[#This Row],[Sent]]</f>
        <v>43921</v>
      </c>
      <c r="E339" s="2">
        <f ca="1">TODAY()-Table2[[#This Row],[Date Sent]]</f>
        <v>381</v>
      </c>
      <c r="F339" s="1">
        <f>Rfi[[#This Row],[Ball In Court]]</f>
        <v>0</v>
      </c>
      <c r="G339" t="str">
        <f>Rfi[[#This Row],[State]]</f>
        <v>Closed</v>
      </c>
    </row>
    <row r="340" spans="1:7" hidden="1" x14ac:dyDescent="0.35">
      <c r="A340" t="str">
        <f>Rfi[[#This Row],[Priority]]</f>
        <v>Medium</v>
      </c>
      <c r="B340">
        <f>Rfi[[#This Row],[Number]]</f>
        <v>341</v>
      </c>
      <c r="C340" t="str">
        <f>Rfi[[#This Row],[Subject]]</f>
        <v>Cove Detail Material Not Specified</v>
      </c>
      <c r="D340" s="2">
        <f>Rfi[[#This Row],[Sent]]</f>
        <v>43921</v>
      </c>
      <c r="E340" s="2">
        <f ca="1">TODAY()-Table2[[#This Row],[Date Sent]]</f>
        <v>381</v>
      </c>
      <c r="F340" s="1">
        <f>Rfi[[#This Row],[Ball In Court]]</f>
        <v>0</v>
      </c>
      <c r="G340" t="str">
        <f>Rfi[[#This Row],[State]]</f>
        <v>Closed</v>
      </c>
    </row>
    <row r="341" spans="1:7" hidden="1" x14ac:dyDescent="0.35">
      <c r="A341" t="str">
        <f>Rfi[[#This Row],[Priority]]</f>
        <v>Medium</v>
      </c>
      <c r="B341">
        <f>Rfi[[#This Row],[Number]]</f>
        <v>342</v>
      </c>
      <c r="C341" t="str">
        <f>Rfi[[#This Row],[Subject]]</f>
        <v>Wall Type and Fire Code Discrepancy</v>
      </c>
      <c r="D341" s="2">
        <f>Rfi[[#This Row],[Sent]]</f>
        <v>43921</v>
      </c>
      <c r="E341" s="2">
        <f ca="1">TODAY()-Table2[[#This Row],[Date Sent]]</f>
        <v>381</v>
      </c>
      <c r="F341" s="1">
        <f>Rfi[[#This Row],[Ball In Court]]</f>
        <v>0</v>
      </c>
      <c r="G341" t="str">
        <f>Rfi[[#This Row],[State]]</f>
        <v>Closed</v>
      </c>
    </row>
    <row r="342" spans="1:7" hidden="1" x14ac:dyDescent="0.35">
      <c r="A342" t="str">
        <f>Rfi[[#This Row],[Priority]]</f>
        <v>Medium</v>
      </c>
      <c r="B342">
        <f>Rfi[[#This Row],[Number]]</f>
        <v>343</v>
      </c>
      <c r="C342" t="str">
        <f>Rfi[[#This Row],[Subject]]</f>
        <v>Room #510 ceiling height</v>
      </c>
      <c r="D342" s="2">
        <f>Rfi[[#This Row],[Sent]]</f>
        <v>43921</v>
      </c>
      <c r="E342" s="2">
        <f ca="1">TODAY()-Table2[[#This Row],[Date Sent]]</f>
        <v>381</v>
      </c>
      <c r="F342" s="1">
        <f>Rfi[[#This Row],[Ball In Court]]</f>
        <v>0</v>
      </c>
      <c r="G342" t="str">
        <f>Rfi[[#This Row],[State]]</f>
        <v>Closed</v>
      </c>
    </row>
    <row r="343" spans="1:7" hidden="1" x14ac:dyDescent="0.35">
      <c r="A343" t="str">
        <f>Rfi[[#This Row],[Priority]]</f>
        <v>Medium</v>
      </c>
      <c r="B343">
        <f>Rfi[[#This Row],[Number]]</f>
        <v>344</v>
      </c>
      <c r="C343" t="str">
        <f>Rfi[[#This Row],[Subject]]</f>
        <v>Door Openings East of Baptistery</v>
      </c>
      <c r="D343" s="2">
        <f>Rfi[[#This Row],[Sent]]</f>
        <v>43921</v>
      </c>
      <c r="E343" s="2">
        <f ca="1">TODAY()-Table2[[#This Row],[Date Sent]]</f>
        <v>381</v>
      </c>
      <c r="F343" s="1">
        <f>Rfi[[#This Row],[Ball In Court]]</f>
        <v>0</v>
      </c>
      <c r="G343" t="str">
        <f>Rfi[[#This Row],[State]]</f>
        <v>Closed</v>
      </c>
    </row>
    <row r="344" spans="1:7" hidden="1" x14ac:dyDescent="0.35">
      <c r="A344" t="str">
        <f>Rfi[[#This Row],[Priority]]</f>
        <v>Medium</v>
      </c>
      <c r="B344">
        <f>Rfi[[#This Row],[Number]]</f>
        <v>345</v>
      </c>
      <c r="C344" t="str">
        <f>Rfi[[#This Row],[Subject]]</f>
        <v>Rough Opening for Wood Shimmed Door Jambs</v>
      </c>
      <c r="D344" s="2">
        <f>Rfi[[#This Row],[Sent]]</f>
        <v>43921</v>
      </c>
      <c r="E344" s="2">
        <f ca="1">TODAY()-Table2[[#This Row],[Date Sent]]</f>
        <v>381</v>
      </c>
      <c r="F344" s="1">
        <f>Rfi[[#This Row],[Ball In Court]]</f>
        <v>0</v>
      </c>
      <c r="G344" t="str">
        <f>Rfi[[#This Row],[State]]</f>
        <v>Closed</v>
      </c>
    </row>
    <row r="345" spans="1:7" hidden="1" x14ac:dyDescent="0.35">
      <c r="A345" t="str">
        <f>Rfi[[#This Row],[Priority]]</f>
        <v>Medium</v>
      </c>
      <c r="B345">
        <f>Rfi[[#This Row],[Number]]</f>
        <v>346</v>
      </c>
      <c r="C345" t="str">
        <f>Rfi[[#This Row],[Subject]]</f>
        <v>Steel Beam Spacing - ANNEX</v>
      </c>
      <c r="D345" s="2">
        <f>Rfi[[#This Row],[Sent]]</f>
        <v>43921</v>
      </c>
      <c r="E345" s="2">
        <f ca="1">TODAY()-Table2[[#This Row],[Date Sent]]</f>
        <v>381</v>
      </c>
      <c r="F345" s="1">
        <f>Rfi[[#This Row],[Ball In Court]]</f>
        <v>0</v>
      </c>
      <c r="G345" t="str">
        <f>Rfi[[#This Row],[State]]</f>
        <v>Closed</v>
      </c>
    </row>
    <row r="346" spans="1:7" hidden="1" x14ac:dyDescent="0.35">
      <c r="A346" t="str">
        <f>Rfi[[#This Row],[Priority]]</f>
        <v>Medium</v>
      </c>
      <c r="B346">
        <f>Rfi[[#This Row],[Number]]</f>
        <v>347</v>
      </c>
      <c r="C346" t="str">
        <f>Rfi[[#This Row],[Subject]]</f>
        <v>Baptistery Cove Lighting</v>
      </c>
      <c r="D346" s="2">
        <f>Rfi[[#This Row],[Sent]]</f>
        <v>43922</v>
      </c>
      <c r="E346" s="2">
        <f ca="1">TODAY()-Table2[[#This Row],[Date Sent]]</f>
        <v>380</v>
      </c>
      <c r="F346" s="1">
        <f>Rfi[[#This Row],[Ball In Court]]</f>
        <v>0</v>
      </c>
      <c r="G346" t="str">
        <f>Rfi[[#This Row],[State]]</f>
        <v>Closed</v>
      </c>
    </row>
    <row r="347" spans="1:7" hidden="1" x14ac:dyDescent="0.35">
      <c r="A347" t="str">
        <f>Rfi[[#This Row],[Priority]]</f>
        <v>High</v>
      </c>
      <c r="B347">
        <f>Rfi[[#This Row],[Number]]</f>
        <v>348</v>
      </c>
      <c r="C347" t="str">
        <f>Rfi[[#This Row],[Subject]]</f>
        <v>Mulberry Tree 57 Cabled and Braced</v>
      </c>
      <c r="D347" s="2">
        <f>Rfi[[#This Row],[Sent]]</f>
        <v>43922</v>
      </c>
      <c r="E347" s="2">
        <f ca="1">TODAY()-Table2[[#This Row],[Date Sent]]</f>
        <v>380</v>
      </c>
      <c r="F347" s="1">
        <f>Rfi[[#This Row],[Ball In Court]]</f>
        <v>0</v>
      </c>
      <c r="G347" t="str">
        <f>Rfi[[#This Row],[State]]</f>
        <v>Closed</v>
      </c>
    </row>
    <row r="348" spans="1:7" hidden="1" x14ac:dyDescent="0.35">
      <c r="A348" t="str">
        <f>Rfi[[#This Row],[Priority]]</f>
        <v>High</v>
      </c>
      <c r="B348">
        <f>Rfi[[#This Row],[Number]]</f>
        <v>349</v>
      </c>
      <c r="C348" t="str">
        <f>Rfi[[#This Row],[Subject]]</f>
        <v>Window Type Clarifications in the Annex</v>
      </c>
      <c r="D348" s="2">
        <f>Rfi[[#This Row],[Sent]]</f>
        <v>43922</v>
      </c>
      <c r="E348" s="2">
        <f ca="1">TODAY()-Table2[[#This Row],[Date Sent]]</f>
        <v>380</v>
      </c>
      <c r="F348" s="1">
        <f>Rfi[[#This Row],[Ball In Court]]</f>
        <v>0</v>
      </c>
      <c r="G348" t="str">
        <f>Rfi[[#This Row],[State]]</f>
        <v>Closed</v>
      </c>
    </row>
    <row r="349" spans="1:7" hidden="1" x14ac:dyDescent="0.35">
      <c r="A349" t="str">
        <f>Rfi[[#This Row],[Priority]]</f>
        <v>High</v>
      </c>
      <c r="B349">
        <f>Rfi[[#This Row],[Number]]</f>
        <v>350</v>
      </c>
      <c r="C349" t="str">
        <f>Rfi[[#This Row],[Subject]]</f>
        <v>Historic Windows Type H5, H4 &amp; K Clarifications</v>
      </c>
      <c r="D349" s="2">
        <f>Rfi[[#This Row],[Sent]]</f>
        <v>43922</v>
      </c>
      <c r="E349" s="2">
        <f ca="1">TODAY()-Table2[[#This Row],[Date Sent]]</f>
        <v>380</v>
      </c>
      <c r="F349" s="1">
        <f>Rfi[[#This Row],[Ball In Court]]</f>
        <v>0</v>
      </c>
      <c r="G349" t="str">
        <f>Rfi[[#This Row],[State]]</f>
        <v>Closed</v>
      </c>
    </row>
    <row r="350" spans="1:7" hidden="1" x14ac:dyDescent="0.35">
      <c r="A350" t="str">
        <f>Rfi[[#This Row],[Priority]]</f>
        <v>High</v>
      </c>
      <c r="B350">
        <f>Rfi[[#This Row],[Number]]</f>
        <v>351</v>
      </c>
      <c r="C350" t="str">
        <f>Rfi[[#This Row],[Subject]]</f>
        <v>Historic Windows Type H2 - 4th Floor</v>
      </c>
      <c r="D350" s="2">
        <f>Rfi[[#This Row],[Sent]]</f>
        <v>43922</v>
      </c>
      <c r="E350" s="2">
        <f ca="1">TODAY()-Table2[[#This Row],[Date Sent]]</f>
        <v>380</v>
      </c>
      <c r="F350" s="1">
        <f>Rfi[[#This Row],[Ball In Court]]</f>
        <v>0</v>
      </c>
      <c r="G350" t="str">
        <f>Rfi[[#This Row],[State]]</f>
        <v>Closed</v>
      </c>
    </row>
    <row r="351" spans="1:7" hidden="1" x14ac:dyDescent="0.35">
      <c r="A351" t="str">
        <f>Rfi[[#This Row],[Priority]]</f>
        <v>Medium</v>
      </c>
      <c r="B351">
        <f>Rfi[[#This Row],[Number]]</f>
        <v>352</v>
      </c>
      <c r="C351" t="str">
        <f>Rfi[[#This Row],[Subject]]</f>
        <v>Boiler voltage</v>
      </c>
      <c r="D351" s="2">
        <f>Rfi[[#This Row],[Sent]]</f>
        <v>43922</v>
      </c>
      <c r="E351" s="2">
        <f ca="1">TODAY()-Table2[[#This Row],[Date Sent]]</f>
        <v>380</v>
      </c>
      <c r="F351" s="1">
        <f>Rfi[[#This Row],[Ball In Court]]</f>
        <v>0</v>
      </c>
      <c r="G351" t="str">
        <f>Rfi[[#This Row],[State]]</f>
        <v>Closed</v>
      </c>
    </row>
    <row r="352" spans="1:7" hidden="1" x14ac:dyDescent="0.35">
      <c r="A352" t="str">
        <f>Rfi[[#This Row],[Priority]]</f>
        <v>Medium</v>
      </c>
      <c r="B352">
        <f>Rfi[[#This Row],[Number]]</f>
        <v>353</v>
      </c>
      <c r="C352" t="str">
        <f>Rfi[[#This Row],[Subject]]</f>
        <v>Level 4 duct penetration at floor</v>
      </c>
      <c r="D352" s="2">
        <f>Rfi[[#This Row],[Sent]]</f>
        <v>43922</v>
      </c>
      <c r="E352" s="2">
        <f ca="1">TODAY()-Table2[[#This Row],[Date Sent]]</f>
        <v>380</v>
      </c>
      <c r="F352" s="1">
        <f>Rfi[[#This Row],[Ball In Court]]</f>
        <v>0</v>
      </c>
      <c r="G352" t="str">
        <f>Rfi[[#This Row],[State]]</f>
        <v>Closed</v>
      </c>
    </row>
    <row r="353" spans="1:7" hidden="1" x14ac:dyDescent="0.35">
      <c r="A353" t="str">
        <f>Rfi[[#This Row],[Priority]]</f>
        <v>Medium</v>
      </c>
      <c r="B353">
        <f>Rfi[[#This Row],[Number]]</f>
        <v>354</v>
      </c>
      <c r="C353" t="str">
        <f>Rfi[[#This Row],[Subject]]</f>
        <v>CCD#035 r1 floor drains</v>
      </c>
      <c r="D353" s="2">
        <f>Rfi[[#This Row],[Sent]]</f>
        <v>43922</v>
      </c>
      <c r="E353" s="2">
        <f ca="1">TODAY()-Table2[[#This Row],[Date Sent]]</f>
        <v>380</v>
      </c>
      <c r="F353" s="1">
        <f>Rfi[[#This Row],[Ball In Court]]</f>
        <v>0</v>
      </c>
      <c r="G353" t="str">
        <f>Rfi[[#This Row],[State]]</f>
        <v>Closed</v>
      </c>
    </row>
    <row r="354" spans="1:7" hidden="1" x14ac:dyDescent="0.35">
      <c r="A354" t="str">
        <f>Rfi[[#This Row],[Priority]]</f>
        <v>Medium</v>
      </c>
      <c r="B354">
        <f>Rfi[[#This Row],[Number]]</f>
        <v>355</v>
      </c>
      <c r="C354" t="str">
        <f>Rfi[[#This Row],[Subject]]</f>
        <v>Exhaust Fan Voltage Discrepancies</v>
      </c>
      <c r="D354" s="2">
        <f>Rfi[[#This Row],[Sent]]</f>
        <v>43922</v>
      </c>
      <c r="E354" s="2">
        <f ca="1">TODAY()-Table2[[#This Row],[Date Sent]]</f>
        <v>380</v>
      </c>
      <c r="F354" s="1">
        <f>Rfi[[#This Row],[Ball In Court]]</f>
        <v>0</v>
      </c>
      <c r="G354" t="str">
        <f>Rfi[[#This Row],[State]]</f>
        <v>Closed</v>
      </c>
    </row>
    <row r="355" spans="1:7" hidden="1" x14ac:dyDescent="0.35">
      <c r="A355" t="str">
        <f>Rfi[[#This Row],[Priority]]</f>
        <v>Medium</v>
      </c>
      <c r="B355">
        <f>Rfi[[#This Row],[Number]]</f>
        <v>356</v>
      </c>
      <c r="C355" t="str">
        <f>Rfi[[#This Row],[Subject]]</f>
        <v>Kitchen Equipment Voltage</v>
      </c>
      <c r="D355" s="2">
        <f>Rfi[[#This Row],[Sent]]</f>
        <v>43923</v>
      </c>
      <c r="E355" s="2">
        <f ca="1">TODAY()-Table2[[#This Row],[Date Sent]]</f>
        <v>379</v>
      </c>
      <c r="F355" s="1">
        <f>Rfi[[#This Row],[Ball In Court]]</f>
        <v>0</v>
      </c>
      <c r="G355" t="str">
        <f>Rfi[[#This Row],[State]]</f>
        <v>Closed</v>
      </c>
    </row>
    <row r="356" spans="1:7" hidden="1" x14ac:dyDescent="0.35">
      <c r="A356" t="str">
        <f>Rfi[[#This Row],[Priority]]</f>
        <v>High</v>
      </c>
      <c r="B356">
        <f>Rfi[[#This Row],[Number]]</f>
        <v>357</v>
      </c>
      <c r="C356" t="str">
        <f>Rfi[[#This Row],[Subject]]</f>
        <v>Initiatory Sink Rough In</v>
      </c>
      <c r="D356" s="2">
        <f>Rfi[[#This Row],[Sent]]</f>
        <v>43923</v>
      </c>
      <c r="E356" s="2">
        <f ca="1">TODAY()-Table2[[#This Row],[Date Sent]]</f>
        <v>379</v>
      </c>
      <c r="F356" s="1">
        <f>Rfi[[#This Row],[Ball In Court]]</f>
        <v>0</v>
      </c>
      <c r="G356" t="str">
        <f>Rfi[[#This Row],[State]]</f>
        <v>Closed</v>
      </c>
    </row>
    <row r="357" spans="1:7" hidden="1" x14ac:dyDescent="0.35">
      <c r="A357" t="str">
        <f>Rfi[[#This Row],[Priority]]</f>
        <v>Medium</v>
      </c>
      <c r="B357">
        <f>Rfi[[#This Row],[Number]]</f>
        <v>358</v>
      </c>
      <c r="C357" t="str">
        <f>Rfi[[#This Row],[Subject]]</f>
        <v>Historical Roof Demo</v>
      </c>
      <c r="D357" s="2">
        <f>Rfi[[#This Row],[Sent]]</f>
        <v>43923</v>
      </c>
      <c r="E357" s="2">
        <f ca="1">TODAY()-Table2[[#This Row],[Date Sent]]</f>
        <v>379</v>
      </c>
      <c r="F357" s="1">
        <f>Rfi[[#This Row],[Ball In Court]]</f>
        <v>0</v>
      </c>
      <c r="G357" t="str">
        <f>Rfi[[#This Row],[State]]</f>
        <v>Closed</v>
      </c>
    </row>
    <row r="358" spans="1:7" hidden="1" x14ac:dyDescent="0.35">
      <c r="A358" t="str">
        <f>Rfi[[#This Row],[Priority]]</f>
        <v>Medium</v>
      </c>
      <c r="B358">
        <f>Rfi[[#This Row],[Number]]</f>
        <v>359</v>
      </c>
      <c r="C358" t="str">
        <f>Rfi[[#This Row],[Subject]]</f>
        <v>Irrigation Backflow Preventer</v>
      </c>
      <c r="D358" s="2">
        <f>Rfi[[#This Row],[Sent]]</f>
        <v>43959</v>
      </c>
      <c r="E358" s="2">
        <f ca="1">TODAY()-Table2[[#This Row],[Date Sent]]</f>
        <v>343</v>
      </c>
      <c r="F358" s="1">
        <f>Rfi[[#This Row],[Ball In Court]]</f>
        <v>0</v>
      </c>
      <c r="G358" t="str">
        <f>Rfi[[#This Row],[State]]</f>
        <v>Closed</v>
      </c>
    </row>
    <row r="359" spans="1:7" hidden="1" x14ac:dyDescent="0.35">
      <c r="A359" t="str">
        <f>Rfi[[#This Row],[Priority]]</f>
        <v>Medium</v>
      </c>
      <c r="B359">
        <f>Rfi[[#This Row],[Number]]</f>
        <v>360</v>
      </c>
      <c r="C359" t="str">
        <f>Rfi[[#This Row],[Subject]]</f>
        <v>Stair 3 CB5 beam at 12" suspended slab</v>
      </c>
      <c r="D359" s="2">
        <f>Rfi[[#This Row],[Sent]]</f>
        <v>43924</v>
      </c>
      <c r="E359" s="2">
        <f ca="1">TODAY()-Table2[[#This Row],[Date Sent]]</f>
        <v>378</v>
      </c>
      <c r="F359" s="1">
        <f>Rfi[[#This Row],[Ball In Court]]</f>
        <v>0</v>
      </c>
      <c r="G359" t="str">
        <f>Rfi[[#This Row],[State]]</f>
        <v>Closed</v>
      </c>
    </row>
    <row r="360" spans="1:7" hidden="1" x14ac:dyDescent="0.35">
      <c r="A360" t="str">
        <f>Rfi[[#This Row],[Priority]]</f>
        <v>High</v>
      </c>
      <c r="B360">
        <f>Rfi[[#This Row],[Number]]</f>
        <v>361</v>
      </c>
      <c r="C360" t="str">
        <f>Rfi[[#This Row],[Subject]]</f>
        <v>Floor Box Locations</v>
      </c>
      <c r="D360" s="2">
        <f>Rfi[[#This Row],[Sent]]</f>
        <v>43949</v>
      </c>
      <c r="E360" s="2">
        <f ca="1">TODAY()-Table2[[#This Row],[Date Sent]]</f>
        <v>353</v>
      </c>
      <c r="F360" s="1">
        <f>Rfi[[#This Row],[Ball In Court]]</f>
        <v>0</v>
      </c>
      <c r="G360" t="str">
        <f>Rfi[[#This Row],[State]]</f>
        <v>Closed</v>
      </c>
    </row>
    <row r="361" spans="1:7" hidden="1" x14ac:dyDescent="0.35">
      <c r="A361" t="str">
        <f>Rfi[[#This Row],[Priority]]</f>
        <v>Medium</v>
      </c>
      <c r="B361">
        <f>Rfi[[#This Row],[Number]]</f>
        <v>362</v>
      </c>
      <c r="C361" t="str">
        <f>Rfi[[#This Row],[Subject]]</f>
        <v>CCD#029-Added backflow preventer</v>
      </c>
      <c r="D361" s="2">
        <f>Rfi[[#This Row],[Sent]]</f>
        <v>43924</v>
      </c>
      <c r="E361" s="2">
        <f ca="1">TODAY()-Table2[[#This Row],[Date Sent]]</f>
        <v>378</v>
      </c>
      <c r="F361" s="1">
        <f>Rfi[[#This Row],[Ball In Court]]</f>
        <v>0</v>
      </c>
      <c r="G361" t="str">
        <f>Rfi[[#This Row],[State]]</f>
        <v>Closed</v>
      </c>
    </row>
    <row r="362" spans="1:7" hidden="1" x14ac:dyDescent="0.35">
      <c r="A362" t="str">
        <f>Rfi[[#This Row],[Priority]]</f>
        <v>Medium</v>
      </c>
      <c r="B362">
        <f>Rfi[[#This Row],[Number]]</f>
        <v>363</v>
      </c>
      <c r="C362" t="str">
        <f>Rfi[[#This Row],[Subject]]</f>
        <v>CCD#029 R.1-Domestic Water Plumbing intent</v>
      </c>
      <c r="D362" s="2">
        <f>Rfi[[#This Row],[Sent]]</f>
        <v>43924</v>
      </c>
      <c r="E362" s="2">
        <f ca="1">TODAY()-Table2[[#This Row],[Date Sent]]</f>
        <v>378</v>
      </c>
      <c r="F362" s="1">
        <f>Rfi[[#This Row],[Ball In Court]]</f>
        <v>0</v>
      </c>
      <c r="G362" t="str">
        <f>Rfi[[#This Row],[State]]</f>
        <v>Closed</v>
      </c>
    </row>
    <row r="363" spans="1:7" hidden="1" x14ac:dyDescent="0.35">
      <c r="A363" t="str">
        <f>Rfi[[#This Row],[Priority]]</f>
        <v>Medium</v>
      </c>
      <c r="B363">
        <f>Rfi[[#This Row],[Number]]</f>
        <v>364</v>
      </c>
      <c r="C363" t="str">
        <f>Rfi[[#This Row],[Subject]]</f>
        <v>CCD#032-Soap Dispenser located in wall cavity</v>
      </c>
      <c r="D363" s="2">
        <f>Rfi[[#This Row],[Sent]]</f>
        <v>43924</v>
      </c>
      <c r="E363" s="2">
        <f ca="1">TODAY()-Table2[[#This Row],[Date Sent]]</f>
        <v>378</v>
      </c>
      <c r="F363" s="1">
        <f>Rfi[[#This Row],[Ball In Court]]</f>
        <v>0</v>
      </c>
      <c r="G363" t="str">
        <f>Rfi[[#This Row],[State]]</f>
        <v>Closed</v>
      </c>
    </row>
    <row r="364" spans="1:7" hidden="1" x14ac:dyDescent="0.35">
      <c r="A364" t="str">
        <f>Rfi[[#This Row],[Priority]]</f>
        <v>Medium</v>
      </c>
      <c r="B364">
        <f>Rfi[[#This Row],[Number]]</f>
        <v>365</v>
      </c>
      <c r="C364" t="str">
        <f>Rfi[[#This Row],[Subject]]</f>
        <v>Column Wrap Connection (L2 - L3)</v>
      </c>
      <c r="D364" s="2">
        <f>Rfi[[#This Row],[Sent]]</f>
        <v>43925</v>
      </c>
      <c r="E364" s="2">
        <f ca="1">TODAY()-Table2[[#This Row],[Date Sent]]</f>
        <v>377</v>
      </c>
      <c r="F364" s="1">
        <f>Rfi[[#This Row],[Ball In Court]]</f>
        <v>0</v>
      </c>
      <c r="G364" t="str">
        <f>Rfi[[#This Row],[State]]</f>
        <v>Closed</v>
      </c>
    </row>
    <row r="365" spans="1:7" hidden="1" x14ac:dyDescent="0.35">
      <c r="A365" t="str">
        <f>Rfi[[#This Row],[Priority]]</f>
        <v>Medium</v>
      </c>
      <c r="B365">
        <f>Rfi[[#This Row],[Number]]</f>
        <v>366</v>
      </c>
      <c r="C365" t="str">
        <f>Rfi[[#This Row],[Subject]]</f>
        <v>Two way Communication</v>
      </c>
      <c r="D365" s="2">
        <f>Rfi[[#This Row],[Sent]]</f>
        <v>43927</v>
      </c>
      <c r="E365" s="2">
        <f ca="1">TODAY()-Table2[[#This Row],[Date Sent]]</f>
        <v>375</v>
      </c>
      <c r="F365" s="1">
        <f>Rfi[[#This Row],[Ball In Court]]</f>
        <v>0</v>
      </c>
      <c r="G365" t="str">
        <f>Rfi[[#This Row],[State]]</f>
        <v>Closed</v>
      </c>
    </row>
    <row r="366" spans="1:7" hidden="1" x14ac:dyDescent="0.35">
      <c r="A366" t="str">
        <f>Rfi[[#This Row],[Priority]]</f>
        <v>Medium</v>
      </c>
      <c r="B366">
        <f>Rfi[[#This Row],[Number]]</f>
        <v>367</v>
      </c>
      <c r="C366" t="str">
        <f>Rfi[[#This Row],[Subject]]</f>
        <v>Inititory Lighting</v>
      </c>
      <c r="D366" s="2">
        <f>Rfi[[#This Row],[Sent]]</f>
        <v>43927</v>
      </c>
      <c r="E366" s="2">
        <f ca="1">TODAY()-Table2[[#This Row],[Date Sent]]</f>
        <v>375</v>
      </c>
      <c r="F366" s="1">
        <f>Rfi[[#This Row],[Ball In Court]]</f>
        <v>0</v>
      </c>
      <c r="G366" t="str">
        <f>Rfi[[#This Row],[State]]</f>
        <v>Closed</v>
      </c>
    </row>
    <row r="367" spans="1:7" hidden="1" x14ac:dyDescent="0.35">
      <c r="A367" t="str">
        <f>Rfi[[#This Row],[Priority]]</f>
        <v>Medium</v>
      </c>
      <c r="B367">
        <f>Rfi[[#This Row],[Number]]</f>
        <v>368</v>
      </c>
      <c r="C367" t="str">
        <f>Rfi[[#This Row],[Subject]]</f>
        <v>Vertical Wheelchair lift</v>
      </c>
      <c r="D367" s="2">
        <f>Rfi[[#This Row],[Sent]]</f>
        <v>43927</v>
      </c>
      <c r="E367" s="2">
        <f ca="1">TODAY()-Table2[[#This Row],[Date Sent]]</f>
        <v>375</v>
      </c>
      <c r="F367" s="1">
        <f>Rfi[[#This Row],[Ball In Court]]</f>
        <v>0</v>
      </c>
      <c r="G367" t="str">
        <f>Rfi[[#This Row],[State]]</f>
        <v>Closed</v>
      </c>
    </row>
    <row r="368" spans="1:7" hidden="1" x14ac:dyDescent="0.35">
      <c r="A368" t="str">
        <f>Rfi[[#This Row],[Priority]]</f>
        <v>Medium</v>
      </c>
      <c r="B368">
        <f>Rfi[[#This Row],[Number]]</f>
        <v>370</v>
      </c>
      <c r="C368" t="str">
        <f>Rfi[[#This Row],[Subject]]</f>
        <v>Chimney Infills</v>
      </c>
      <c r="D368" s="2">
        <f>Rfi[[#This Row],[Sent]]</f>
        <v>43927</v>
      </c>
      <c r="E368" s="2">
        <f ca="1">TODAY()-Table2[[#This Row],[Date Sent]]</f>
        <v>375</v>
      </c>
      <c r="F368" s="1">
        <f>Rfi[[#This Row],[Ball In Court]]</f>
        <v>0</v>
      </c>
      <c r="G368" t="str">
        <f>Rfi[[#This Row],[State]]</f>
        <v>Closed</v>
      </c>
    </row>
    <row r="369" spans="1:7" hidden="1" x14ac:dyDescent="0.35">
      <c r="A369" t="str">
        <f>Rfi[[#This Row],[Priority]]</f>
        <v>High</v>
      </c>
      <c r="B369">
        <f>Rfi[[#This Row],[Number]]</f>
        <v>371</v>
      </c>
      <c r="C369" t="str">
        <f>Rfi[[#This Row],[Subject]]</f>
        <v>Core Holes Aligning with Steel Saddle</v>
      </c>
      <c r="D369" s="2">
        <f>Rfi[[#This Row],[Sent]]</f>
        <v>43927</v>
      </c>
      <c r="E369" s="2">
        <f ca="1">TODAY()-Table2[[#This Row],[Date Sent]]</f>
        <v>375</v>
      </c>
      <c r="F369" s="1">
        <f>Rfi[[#This Row],[Ball In Court]]</f>
        <v>0</v>
      </c>
      <c r="G369" t="str">
        <f>Rfi[[#This Row],[State]]</f>
        <v>Closed</v>
      </c>
    </row>
    <row r="370" spans="1:7" hidden="1" x14ac:dyDescent="0.35">
      <c r="A370" t="str">
        <f>Rfi[[#This Row],[Priority]]</f>
        <v>High</v>
      </c>
      <c r="B370">
        <f>Rfi[[#This Row],[Number]]</f>
        <v>372</v>
      </c>
      <c r="C370" t="str">
        <f>Rfi[[#This Row],[Subject]]</f>
        <v>Level 2 Floor Structural Upgrade</v>
      </c>
      <c r="D370" s="2">
        <f>Rfi[[#This Row],[Sent]]</f>
        <v>43928</v>
      </c>
      <c r="E370" s="2">
        <f ca="1">TODAY()-Table2[[#This Row],[Date Sent]]</f>
        <v>374</v>
      </c>
      <c r="F370" s="1">
        <f>Rfi[[#This Row],[Ball In Court]]</f>
        <v>0</v>
      </c>
      <c r="G370" t="str">
        <f>Rfi[[#This Row],[State]]</f>
        <v>Closed</v>
      </c>
    </row>
    <row r="371" spans="1:7" hidden="1" x14ac:dyDescent="0.35">
      <c r="A371" t="str">
        <f>Rfi[[#This Row],[Priority]]</f>
        <v>Medium</v>
      </c>
      <c r="B371">
        <f>Rfi[[#This Row],[Number]]</f>
        <v>373</v>
      </c>
      <c r="C371" t="str">
        <f>Rfi[[#This Row],[Subject]]</f>
        <v>East Side Area Well of Historical</v>
      </c>
      <c r="D371" s="2">
        <f>Rfi[[#This Row],[Sent]]</f>
        <v>43928</v>
      </c>
      <c r="E371" s="2">
        <f ca="1">TODAY()-Table2[[#This Row],[Date Sent]]</f>
        <v>374</v>
      </c>
      <c r="F371" s="1">
        <f>Rfi[[#This Row],[Ball In Court]]</f>
        <v>0</v>
      </c>
      <c r="G371" t="str">
        <f>Rfi[[#This Row],[State]]</f>
        <v>Closed</v>
      </c>
    </row>
    <row r="372" spans="1:7" hidden="1" x14ac:dyDescent="0.35">
      <c r="A372" t="str">
        <f>Rfi[[#This Row],[Priority]]</f>
        <v>Medium</v>
      </c>
      <c r="B372">
        <f>Rfi[[#This Row],[Number]]</f>
        <v>374</v>
      </c>
      <c r="C372" t="str">
        <f>Rfi[[#This Row],[Subject]]</f>
        <v>Shear wall coordination meeting at west historic</v>
      </c>
      <c r="D372" s="2">
        <f>Rfi[[#This Row],[Sent]]</f>
        <v>43928</v>
      </c>
      <c r="E372" s="2">
        <f ca="1">TODAY()-Table2[[#This Row],[Date Sent]]</f>
        <v>374</v>
      </c>
      <c r="F372" s="1">
        <f>Rfi[[#This Row],[Ball In Court]]</f>
        <v>0</v>
      </c>
      <c r="G372" t="str">
        <f>Rfi[[#This Row],[State]]</f>
        <v>Closed</v>
      </c>
    </row>
    <row r="373" spans="1:7" hidden="1" x14ac:dyDescent="0.35">
      <c r="A373" t="str">
        <f>Rfi[[#This Row],[Priority]]</f>
        <v>Medium</v>
      </c>
      <c r="B373">
        <f>Rfi[[#This Row],[Number]]</f>
        <v>375</v>
      </c>
      <c r="C373" t="str">
        <f>Rfi[[#This Row],[Subject]]</f>
        <v>Baptismal Font Exhaust Duct Material</v>
      </c>
      <c r="D373" s="2">
        <f>Rfi[[#This Row],[Sent]]</f>
        <v>43928</v>
      </c>
      <c r="E373" s="2">
        <f ca="1">TODAY()-Table2[[#This Row],[Date Sent]]</f>
        <v>374</v>
      </c>
      <c r="F373" s="1">
        <f>Rfi[[#This Row],[Ball In Court]]</f>
        <v>0</v>
      </c>
      <c r="G373" t="str">
        <f>Rfi[[#This Row],[State]]</f>
        <v>Closed</v>
      </c>
    </row>
    <row r="374" spans="1:7" hidden="1" x14ac:dyDescent="0.35">
      <c r="A374" t="str">
        <f>Rfi[[#This Row],[Priority]]</f>
        <v>Medium</v>
      </c>
      <c r="B374">
        <f>Rfi[[#This Row],[Number]]</f>
        <v>376</v>
      </c>
      <c r="C374" t="str">
        <f>Rfi[[#This Row],[Subject]]</f>
        <v>Room 219 Ceiling Height</v>
      </c>
      <c r="D374" s="2">
        <f>Rfi[[#This Row],[Sent]]</f>
        <v>43929</v>
      </c>
      <c r="E374" s="2">
        <f ca="1">TODAY()-Table2[[#This Row],[Date Sent]]</f>
        <v>373</v>
      </c>
      <c r="F374" s="1">
        <f>Rfi[[#This Row],[Ball In Court]]</f>
        <v>0</v>
      </c>
      <c r="G374" t="str">
        <f>Rfi[[#This Row],[State]]</f>
        <v>Closed</v>
      </c>
    </row>
    <row r="375" spans="1:7" hidden="1" x14ac:dyDescent="0.35">
      <c r="A375" t="str">
        <f>Rfi[[#This Row],[Priority]]</f>
        <v>Medium</v>
      </c>
      <c r="B375">
        <f>Rfi[[#This Row],[Number]]</f>
        <v>377</v>
      </c>
      <c r="C375" t="str">
        <f>Rfi[[#This Row],[Subject]]</f>
        <v>LFTA Strap Discontinued</v>
      </c>
      <c r="D375" s="2">
        <f>Rfi[[#This Row],[Sent]]</f>
        <v>43930</v>
      </c>
      <c r="E375" s="2">
        <f ca="1">TODAY()-Table2[[#This Row],[Date Sent]]</f>
        <v>372</v>
      </c>
      <c r="F375" s="1">
        <f>Rfi[[#This Row],[Ball In Court]]</f>
        <v>0</v>
      </c>
      <c r="G375" t="str">
        <f>Rfi[[#This Row],[State]]</f>
        <v>Closed</v>
      </c>
    </row>
    <row r="376" spans="1:7" hidden="1" x14ac:dyDescent="0.35">
      <c r="A376" t="str">
        <f>Rfi[[#This Row],[Priority]]</f>
        <v>High</v>
      </c>
      <c r="B376">
        <f>Rfi[[#This Row],[Number]]</f>
        <v>378</v>
      </c>
      <c r="C376" t="str">
        <f>Rfi[[#This Row],[Subject]]</f>
        <v>Level 3-5 Elevator Fill In</v>
      </c>
      <c r="D376" s="2">
        <f>Rfi[[#This Row],[Sent]]</f>
        <v>43930</v>
      </c>
      <c r="E376" s="2">
        <f ca="1">TODAY()-Table2[[#This Row],[Date Sent]]</f>
        <v>372</v>
      </c>
      <c r="F376" s="1">
        <f>Rfi[[#This Row],[Ball In Court]]</f>
        <v>0</v>
      </c>
      <c r="G376" t="str">
        <f>Rfi[[#This Row],[State]]</f>
        <v>Closed</v>
      </c>
    </row>
    <row r="377" spans="1:7" hidden="1" x14ac:dyDescent="0.35">
      <c r="A377" t="str">
        <f>Rfi[[#This Row],[Priority]]</f>
        <v>Medium</v>
      </c>
      <c r="B377">
        <f>Rfi[[#This Row],[Number]]</f>
        <v>379</v>
      </c>
      <c r="C377" t="str">
        <f>Rfi[[#This Row],[Subject]]</f>
        <v>Ledger Board Attachment to Hist. Truss</v>
      </c>
      <c r="D377" s="2">
        <f>Rfi[[#This Row],[Sent]]</f>
        <v>43937</v>
      </c>
      <c r="E377" s="2">
        <f ca="1">TODAY()-Table2[[#This Row],[Date Sent]]</f>
        <v>365</v>
      </c>
      <c r="F377" s="1">
        <f>Rfi[[#This Row],[Ball In Court]]</f>
        <v>0</v>
      </c>
      <c r="G377" t="str">
        <f>Rfi[[#This Row],[State]]</f>
        <v>Closed</v>
      </c>
    </row>
    <row r="378" spans="1:7" hidden="1" x14ac:dyDescent="0.35">
      <c r="A378" t="str">
        <f>Rfi[[#This Row],[Priority]]</f>
        <v>Medium</v>
      </c>
      <c r="B378">
        <f>Rfi[[#This Row],[Number]]</f>
        <v>380</v>
      </c>
      <c r="C378" t="str">
        <f>Rfi[[#This Row],[Subject]]</f>
        <v>Replace Roof Purlin</v>
      </c>
      <c r="D378" s="2">
        <f>Rfi[[#This Row],[Sent]]</f>
        <v>43935</v>
      </c>
      <c r="E378" s="2">
        <f ca="1">TODAY()-Table2[[#This Row],[Date Sent]]</f>
        <v>367</v>
      </c>
      <c r="F378" s="1">
        <f>Rfi[[#This Row],[Ball In Court]]</f>
        <v>0</v>
      </c>
      <c r="G378" t="str">
        <f>Rfi[[#This Row],[State]]</f>
        <v>Closed</v>
      </c>
    </row>
    <row r="379" spans="1:7" hidden="1" x14ac:dyDescent="0.35">
      <c r="A379" t="str">
        <f>Rfi[[#This Row],[Priority]]</f>
        <v>Medium</v>
      </c>
      <c r="B379">
        <f>Rfi[[#This Row],[Number]]</f>
        <v>381</v>
      </c>
      <c r="C379" t="str">
        <f>Rfi[[#This Row],[Subject]]</f>
        <v>5th floor outlets for lamps</v>
      </c>
      <c r="D379" s="2">
        <f>Rfi[[#This Row],[Sent]]</f>
        <v>43931</v>
      </c>
      <c r="E379" s="2">
        <f ca="1">TODAY()-Table2[[#This Row],[Date Sent]]</f>
        <v>371</v>
      </c>
      <c r="F379" s="1">
        <f>Rfi[[#This Row],[Ball In Court]]</f>
        <v>0</v>
      </c>
      <c r="G379" t="str">
        <f>Rfi[[#This Row],[State]]</f>
        <v>Closed</v>
      </c>
    </row>
    <row r="380" spans="1:7" hidden="1" x14ac:dyDescent="0.35">
      <c r="A380" t="str">
        <f>Rfi[[#This Row],[Priority]]</f>
        <v>Medium</v>
      </c>
      <c r="B380">
        <f>Rfi[[#This Row],[Number]]</f>
        <v>382</v>
      </c>
      <c r="C380" t="str">
        <f>Rfi[[#This Row],[Subject]]</f>
        <v>Shear Wall Connection to Steel Columns</v>
      </c>
      <c r="D380" s="2">
        <f>Rfi[[#This Row],[Sent]]</f>
        <v>43931</v>
      </c>
      <c r="E380" s="2">
        <f ca="1">TODAY()-Table2[[#This Row],[Date Sent]]</f>
        <v>371</v>
      </c>
      <c r="F380" s="1">
        <f>Rfi[[#This Row],[Ball In Court]]</f>
        <v>0</v>
      </c>
      <c r="G380" t="str">
        <f>Rfi[[#This Row],[State]]</f>
        <v>Closed</v>
      </c>
    </row>
    <row r="381" spans="1:7" hidden="1" x14ac:dyDescent="0.35">
      <c r="A381" t="str">
        <f>Rfi[[#This Row],[Priority]]</f>
        <v>Medium</v>
      </c>
      <c r="B381">
        <f>Rfi[[#This Row],[Number]]</f>
        <v>383</v>
      </c>
      <c r="C381" t="str">
        <f>Rfi[[#This Row],[Subject]]</f>
        <v>Temple Fountains (North &amp; East Fountains)</v>
      </c>
      <c r="D381" s="2">
        <f>Rfi[[#This Row],[Sent]]</f>
        <v>43931</v>
      </c>
      <c r="E381" s="2">
        <f ca="1">TODAY()-Table2[[#This Row],[Date Sent]]</f>
        <v>371</v>
      </c>
      <c r="F381" s="1">
        <f>Rfi[[#This Row],[Ball In Court]]</f>
        <v>0</v>
      </c>
      <c r="G381" t="str">
        <f>Rfi[[#This Row],[State]]</f>
        <v>Closed</v>
      </c>
    </row>
    <row r="382" spans="1:7" hidden="1" x14ac:dyDescent="0.35">
      <c r="A382" t="str">
        <f>Rfi[[#This Row],[Priority]]</f>
        <v>High</v>
      </c>
      <c r="B382">
        <f>Rfi[[#This Row],[Number]]</f>
        <v>384</v>
      </c>
      <c r="C382" t="str">
        <f>Rfi[[#This Row],[Subject]]</f>
        <v>Sheer Wall Structural Coordination</v>
      </c>
      <c r="D382" s="2">
        <f>Rfi[[#This Row],[Sent]]</f>
        <v>43934</v>
      </c>
      <c r="E382" s="2">
        <f ca="1">TODAY()-Table2[[#This Row],[Date Sent]]</f>
        <v>368</v>
      </c>
      <c r="F382" s="1">
        <f>Rfi[[#This Row],[Ball In Court]]</f>
        <v>0</v>
      </c>
      <c r="G382" t="str">
        <f>Rfi[[#This Row],[State]]</f>
        <v>Closed</v>
      </c>
    </row>
    <row r="383" spans="1:7" hidden="1" x14ac:dyDescent="0.35">
      <c r="A383" t="str">
        <f>Rfi[[#This Row],[Priority]]</f>
        <v>Medium</v>
      </c>
      <c r="B383">
        <f>Rfi[[#This Row],[Number]]</f>
        <v>385</v>
      </c>
      <c r="C383" t="str">
        <f>Rfi[[#This Row],[Subject]]</f>
        <v>Fire Alarm Device Discrepancies</v>
      </c>
      <c r="D383" s="2">
        <f>Rfi[[#This Row],[Sent]]</f>
        <v>43934</v>
      </c>
      <c r="E383" s="2">
        <f ca="1">TODAY()-Table2[[#This Row],[Date Sent]]</f>
        <v>368</v>
      </c>
      <c r="F383" s="1">
        <f>Rfi[[#This Row],[Ball In Court]]</f>
        <v>0</v>
      </c>
      <c r="G383" t="str">
        <f>Rfi[[#This Row],[State]]</f>
        <v>Closed</v>
      </c>
    </row>
    <row r="384" spans="1:7" hidden="1" x14ac:dyDescent="0.35">
      <c r="A384" t="str">
        <f>Rfi[[#This Row],[Priority]]</f>
        <v>High</v>
      </c>
      <c r="B384">
        <f>Rfi[[#This Row],[Number]]</f>
        <v>386</v>
      </c>
      <c r="C384" t="str">
        <f>Rfi[[#This Row],[Subject]]</f>
        <v>5th Floor Stair Tower Notch</v>
      </c>
      <c r="D384" s="2">
        <f>Rfi[[#This Row],[Sent]]</f>
        <v>43935</v>
      </c>
      <c r="E384" s="2">
        <f ca="1">TODAY()-Table2[[#This Row],[Date Sent]]</f>
        <v>367</v>
      </c>
      <c r="F384" s="1">
        <f>Rfi[[#This Row],[Ball In Court]]</f>
        <v>0</v>
      </c>
      <c r="G384" t="str">
        <f>Rfi[[#This Row],[State]]</f>
        <v>Closed</v>
      </c>
    </row>
    <row r="385" spans="1:7" x14ac:dyDescent="0.35">
      <c r="A385" t="str">
        <f>Rfi[[#This Row],[Priority]]</f>
        <v>Medium</v>
      </c>
      <c r="B385">
        <f>Rfi[[#This Row],[Number]]</f>
        <v>387</v>
      </c>
      <c r="C385" t="str">
        <f>Rfi[[#This Row],[Subject]]</f>
        <v>Restroom Mirrors at Wall Tile Transition</v>
      </c>
      <c r="D385" s="2">
        <f>Rfi[[#This Row],[Sent]]</f>
        <v>43935</v>
      </c>
      <c r="E385" s="9">
        <f ca="1">TODAY()-Table2[[#This Row],[Date Sent]]</f>
        <v>367</v>
      </c>
      <c r="F385" s="1">
        <f>Rfi[[#This Row],[Ball In Court]]</f>
        <v>0</v>
      </c>
      <c r="G385" t="str">
        <f>Rfi[[#This Row],[State]]</f>
        <v>Closed</v>
      </c>
    </row>
    <row r="386" spans="1:7" hidden="1" x14ac:dyDescent="0.35">
      <c r="A386" t="str">
        <f>Rfi[[#This Row],[Priority]]</f>
        <v>Medium</v>
      </c>
      <c r="B386">
        <f>Rfi[[#This Row],[Number]]</f>
        <v>388</v>
      </c>
      <c r="C386" t="str">
        <f>Rfi[[#This Row],[Subject]]</f>
        <v>Annex mat footing waterstop 13/S210</v>
      </c>
      <c r="D386" s="2">
        <f>Rfi[[#This Row],[Sent]]</f>
        <v>43935</v>
      </c>
      <c r="E386" s="2">
        <f ca="1">TODAY()-Table2[[#This Row],[Date Sent]]</f>
        <v>367</v>
      </c>
      <c r="F386" s="1">
        <f>Rfi[[#This Row],[Ball In Court]]</f>
        <v>0</v>
      </c>
      <c r="G386" t="str">
        <f>Rfi[[#This Row],[State]]</f>
        <v>Closed</v>
      </c>
    </row>
    <row r="387" spans="1:7" hidden="1" x14ac:dyDescent="0.35">
      <c r="A387" t="str">
        <f>Rfi[[#This Row],[Priority]]</f>
        <v>Medium</v>
      </c>
      <c r="B387">
        <f>Rfi[[#This Row],[Number]]</f>
        <v>389</v>
      </c>
      <c r="C387" t="str">
        <f>Rfi[[#This Row],[Subject]]</f>
        <v>Revise Gear per Coordination Study</v>
      </c>
      <c r="D387" s="2">
        <f>Rfi[[#This Row],[Sent]]</f>
        <v>43935</v>
      </c>
      <c r="E387" s="2">
        <f ca="1">TODAY()-Table2[[#This Row],[Date Sent]]</f>
        <v>367</v>
      </c>
      <c r="F387" s="1">
        <f>Rfi[[#This Row],[Ball In Court]]</f>
        <v>0</v>
      </c>
      <c r="G387" t="str">
        <f>Rfi[[#This Row],[State]]</f>
        <v>Closed</v>
      </c>
    </row>
    <row r="388" spans="1:7" hidden="1" x14ac:dyDescent="0.35">
      <c r="A388" t="str">
        <f>Rfi[[#This Row],[Priority]]</f>
        <v>Medium</v>
      </c>
      <c r="B388">
        <f>Rfi[[#This Row],[Number]]</f>
        <v>390</v>
      </c>
      <c r="C388" t="str">
        <f>Rfi[[#This Row],[Subject]]</f>
        <v>Two-Way Communication System Monitoring Information</v>
      </c>
      <c r="D388" s="2">
        <f>Rfi[[#This Row],[Sent]]</f>
        <v>43935</v>
      </c>
      <c r="E388" s="2">
        <f ca="1">TODAY()-Table2[[#This Row],[Date Sent]]</f>
        <v>367</v>
      </c>
      <c r="F388" s="1">
        <f>Rfi[[#This Row],[Ball In Court]]</f>
        <v>0</v>
      </c>
      <c r="G388" t="str">
        <f>Rfi[[#This Row],[State]]</f>
        <v>Closed</v>
      </c>
    </row>
    <row r="389" spans="1:7" hidden="1" x14ac:dyDescent="0.35">
      <c r="A389" t="str">
        <f>Rfi[[#This Row],[Priority]]</f>
        <v>Medium</v>
      </c>
      <c r="B389">
        <f>Rfi[[#This Row],[Number]]</f>
        <v>391</v>
      </c>
      <c r="C389" t="str">
        <f>Rfi[[#This Row],[Subject]]</f>
        <v>Top of Column Joist Connection - Annex</v>
      </c>
      <c r="D389" s="2">
        <f>Rfi[[#This Row],[Sent]]</f>
        <v>43935</v>
      </c>
      <c r="E389" s="2">
        <f ca="1">TODAY()-Table2[[#This Row],[Date Sent]]</f>
        <v>367</v>
      </c>
      <c r="F389" s="1">
        <f>Rfi[[#This Row],[Ball In Court]]</f>
        <v>0</v>
      </c>
      <c r="G389" t="str">
        <f>Rfi[[#This Row],[State]]</f>
        <v>Closed</v>
      </c>
    </row>
    <row r="390" spans="1:7" hidden="1" x14ac:dyDescent="0.35">
      <c r="A390" t="str">
        <f>Rfi[[#This Row],[Priority]]</f>
        <v>Medium</v>
      </c>
      <c r="B390">
        <f>Rfi[[#This Row],[Number]]</f>
        <v>392</v>
      </c>
      <c r="C390" t="str">
        <f>Rfi[[#This Row],[Subject]]</f>
        <v>Added RCP-2 in CCD-029</v>
      </c>
      <c r="D390" s="2">
        <f>Rfi[[#This Row],[Sent]]</f>
        <v>43971</v>
      </c>
      <c r="E390" s="2">
        <f ca="1">TODAY()-Table2[[#This Row],[Date Sent]]</f>
        <v>331</v>
      </c>
      <c r="F390" s="1">
        <f>Rfi[[#This Row],[Ball In Court]]</f>
        <v>0</v>
      </c>
      <c r="G390" t="str">
        <f>Rfi[[#This Row],[State]]</f>
        <v>Closed</v>
      </c>
    </row>
    <row r="391" spans="1:7" hidden="1" x14ac:dyDescent="0.35">
      <c r="A391" t="str">
        <f>Rfi[[#This Row],[Priority]]</f>
        <v>Medium</v>
      </c>
      <c r="B391">
        <f>Rfi[[#This Row],[Number]]</f>
        <v>393</v>
      </c>
      <c r="C391" t="str">
        <f>Rfi[[#This Row],[Subject]]</f>
        <v>4th Floor Lattice Truss I-beam Install</v>
      </c>
      <c r="D391" s="2">
        <f>Rfi[[#This Row],[Sent]]</f>
        <v>43936</v>
      </c>
      <c r="E391" s="2">
        <f ca="1">TODAY()-Table2[[#This Row],[Date Sent]]</f>
        <v>366</v>
      </c>
      <c r="F391" s="1">
        <f>Rfi[[#This Row],[Ball In Court]]</f>
        <v>0</v>
      </c>
      <c r="G391" t="str">
        <f>Rfi[[#This Row],[State]]</f>
        <v>Closed</v>
      </c>
    </row>
    <row r="392" spans="1:7" hidden="1" x14ac:dyDescent="0.35">
      <c r="A392" t="str">
        <f>Rfi[[#This Row],[Priority]]</f>
        <v>Medium</v>
      </c>
      <c r="B392">
        <f>Rfi[[#This Row],[Number]]</f>
        <v>394</v>
      </c>
      <c r="C392" t="str">
        <f>Rfi[[#This Row],[Subject]]</f>
        <v>CCD#028 R1-Missing CFM values</v>
      </c>
      <c r="D392" s="2">
        <f>Rfi[[#This Row],[Sent]]</f>
        <v>43936</v>
      </c>
      <c r="E392" s="2">
        <f ca="1">TODAY()-Table2[[#This Row],[Date Sent]]</f>
        <v>366</v>
      </c>
      <c r="F392" s="1">
        <f>Rfi[[#This Row],[Ball In Court]]</f>
        <v>0</v>
      </c>
      <c r="G392" t="str">
        <f>Rfi[[#This Row],[State]]</f>
        <v>Closed</v>
      </c>
    </row>
    <row r="393" spans="1:7" hidden="1" x14ac:dyDescent="0.35">
      <c r="A393" t="str">
        <f>Rfi[[#This Row],[Priority]]</f>
        <v>High</v>
      </c>
      <c r="B393">
        <f>Rfi[[#This Row],[Number]]</f>
        <v>395</v>
      </c>
      <c r="C393" t="str">
        <f>Rfi[[#This Row],[Subject]]</f>
        <v>Concrete Light Pole Base</v>
      </c>
      <c r="D393" s="2">
        <f>Rfi[[#This Row],[Sent]]</f>
        <v>43936</v>
      </c>
      <c r="E393" s="2">
        <f ca="1">TODAY()-Table2[[#This Row],[Date Sent]]</f>
        <v>366</v>
      </c>
      <c r="F393" s="1">
        <f>Rfi[[#This Row],[Ball In Court]]</f>
        <v>0</v>
      </c>
      <c r="G393" t="str">
        <f>Rfi[[#This Row],[State]]</f>
        <v>Closed</v>
      </c>
    </row>
    <row r="394" spans="1:7" hidden="1" x14ac:dyDescent="0.35">
      <c r="A394" t="str">
        <f>Rfi[[#This Row],[Priority]]</f>
        <v>Medium</v>
      </c>
      <c r="B394">
        <f>Rfi[[#This Row],[Number]]</f>
        <v>396</v>
      </c>
      <c r="C394" t="str">
        <f>Rfi[[#This Row],[Subject]]</f>
        <v>Room 219 wall framing</v>
      </c>
      <c r="D394" s="2">
        <f>Rfi[[#This Row],[Sent]]</f>
        <v>43936</v>
      </c>
      <c r="E394" s="2">
        <f ca="1">TODAY()-Table2[[#This Row],[Date Sent]]</f>
        <v>366</v>
      </c>
      <c r="F394" s="1">
        <f>Rfi[[#This Row],[Ball In Court]]</f>
        <v>0</v>
      </c>
      <c r="G394" t="str">
        <f>Rfi[[#This Row],[State]]</f>
        <v>Closed</v>
      </c>
    </row>
    <row r="395" spans="1:7" hidden="1" x14ac:dyDescent="0.35">
      <c r="A395" t="str">
        <f>Rfi[[#This Row],[Priority]]</f>
        <v>Medium</v>
      </c>
      <c r="B395">
        <f>Rfi[[#This Row],[Number]]</f>
        <v>397</v>
      </c>
      <c r="C395" t="str">
        <f>Rfi[[#This Row],[Subject]]</f>
        <v>Micropiles on Historical South Wall</v>
      </c>
      <c r="D395" s="2">
        <f>Rfi[[#This Row],[Sent]]</f>
        <v>43937</v>
      </c>
      <c r="E395" s="2">
        <f ca="1">TODAY()-Table2[[#This Row],[Date Sent]]</f>
        <v>365</v>
      </c>
      <c r="F395" s="1">
        <f>Rfi[[#This Row],[Ball In Court]]</f>
        <v>0</v>
      </c>
      <c r="G395" t="str">
        <f>Rfi[[#This Row],[State]]</f>
        <v>Closed</v>
      </c>
    </row>
    <row r="396" spans="1:7" hidden="1" x14ac:dyDescent="0.35">
      <c r="A396" t="str">
        <f>Rfi[[#This Row],[Priority]]</f>
        <v>Medium</v>
      </c>
      <c r="B396">
        <f>Rfi[[#This Row],[Number]]</f>
        <v>398</v>
      </c>
      <c r="C396" t="str">
        <f>Rfi[[#This Row],[Subject]]</f>
        <v>CCD#29R1-Step Saver Piping-Water Softener System</v>
      </c>
      <c r="D396" s="2">
        <f>Rfi[[#This Row],[Sent]]</f>
        <v>43937</v>
      </c>
      <c r="E396" s="2">
        <f ca="1">TODAY()-Table2[[#This Row],[Date Sent]]</f>
        <v>365</v>
      </c>
      <c r="F396" s="1">
        <f>Rfi[[#This Row],[Ball In Court]]</f>
        <v>0</v>
      </c>
      <c r="G396" t="str">
        <f>Rfi[[#This Row],[State]]</f>
        <v>Closed</v>
      </c>
    </row>
    <row r="397" spans="1:7" hidden="1" x14ac:dyDescent="0.35">
      <c r="A397" t="str">
        <f>Rfi[[#This Row],[Priority]]</f>
        <v>Medium</v>
      </c>
      <c r="B397">
        <f>Rfi[[#This Row],[Number]]</f>
        <v>399</v>
      </c>
      <c r="C397" t="str">
        <f>Rfi[[#This Row],[Subject]]</f>
        <v>Plumbing Fixture U-1 support carrier requirements</v>
      </c>
      <c r="D397" s="2">
        <f>Rfi[[#This Row],[Sent]]</f>
        <v>43937</v>
      </c>
      <c r="E397" s="2">
        <f ca="1">TODAY()-Table2[[#This Row],[Date Sent]]</f>
        <v>365</v>
      </c>
      <c r="F397" s="1">
        <f>Rfi[[#This Row],[Ball In Court]]</f>
        <v>0</v>
      </c>
      <c r="G397" t="str">
        <f>Rfi[[#This Row],[State]]</f>
        <v>Closed</v>
      </c>
    </row>
    <row r="398" spans="1:7" hidden="1" x14ac:dyDescent="0.35">
      <c r="A398" t="str">
        <f>Rfi[[#This Row],[Priority]]</f>
        <v>Medium</v>
      </c>
      <c r="B398">
        <f>Rfi[[#This Row],[Number]]</f>
        <v>400</v>
      </c>
      <c r="C398" t="str">
        <f>Rfi[[#This Row],[Subject]]</f>
        <v>Instruction rm 208,209 Drape controls</v>
      </c>
      <c r="D398" s="2">
        <f>Rfi[[#This Row],[Sent]]</f>
        <v>43937</v>
      </c>
      <c r="E398" s="2">
        <f ca="1">TODAY()-Table2[[#This Row],[Date Sent]]</f>
        <v>365</v>
      </c>
      <c r="F398" s="1">
        <f>Rfi[[#This Row],[Ball In Court]]</f>
        <v>0</v>
      </c>
      <c r="G398" t="str">
        <f>Rfi[[#This Row],[State]]</f>
        <v>Closed</v>
      </c>
    </row>
    <row r="399" spans="1:7" hidden="1" x14ac:dyDescent="0.35">
      <c r="A399" t="str">
        <f>Rfi[[#This Row],[Priority]]</f>
        <v>Medium</v>
      </c>
      <c r="B399">
        <f>Rfi[[#This Row],[Number]]</f>
        <v>401</v>
      </c>
      <c r="C399" t="str">
        <f>Rfi[[#This Row],[Subject]]</f>
        <v>CCD 047 Detail Clarification</v>
      </c>
      <c r="D399" s="2">
        <f>Rfi[[#This Row],[Sent]]</f>
        <v>43938</v>
      </c>
      <c r="E399" s="2">
        <f ca="1">TODAY()-Table2[[#This Row],[Date Sent]]</f>
        <v>364</v>
      </c>
      <c r="F399" s="1">
        <f>Rfi[[#This Row],[Ball In Court]]</f>
        <v>0</v>
      </c>
      <c r="G399" t="str">
        <f>Rfi[[#This Row],[State]]</f>
        <v>Closed</v>
      </c>
    </row>
    <row r="400" spans="1:7" hidden="1" x14ac:dyDescent="0.35">
      <c r="A400" t="str">
        <f>Rfi[[#This Row],[Priority]]</f>
        <v>Medium</v>
      </c>
      <c r="B400">
        <f>Rfi[[#This Row],[Number]]</f>
        <v>402</v>
      </c>
      <c r="C400" t="str">
        <f>Rfi[[#This Row],[Subject]]</f>
        <v>Demolition Plan and Floor Plan Discrepancies</v>
      </c>
      <c r="D400" s="2">
        <f>Rfi[[#This Row],[Sent]]</f>
        <v>43941</v>
      </c>
      <c r="E400" s="2">
        <f ca="1">TODAY()-Table2[[#This Row],[Date Sent]]</f>
        <v>361</v>
      </c>
      <c r="F400" s="1">
        <f>Rfi[[#This Row],[Ball In Court]]</f>
        <v>0</v>
      </c>
      <c r="G400" t="str">
        <f>Rfi[[#This Row],[State]]</f>
        <v>Closed</v>
      </c>
    </row>
    <row r="401" spans="1:7" hidden="1" x14ac:dyDescent="0.35">
      <c r="A401" t="str">
        <f>Rfi[[#This Row],[Priority]]</f>
        <v>Medium</v>
      </c>
      <c r="B401">
        <f>Rfi[[#This Row],[Number]]</f>
        <v>403</v>
      </c>
      <c r="C401" t="str">
        <f>Rfi[[#This Row],[Subject]]</f>
        <v>LVL 3: Men/Women Instruction Rooms and Corridor Ceilings</v>
      </c>
      <c r="D401" s="2">
        <f>Rfi[[#This Row],[Sent]]</f>
        <v>43941</v>
      </c>
      <c r="E401" s="2">
        <f ca="1">TODAY()-Table2[[#This Row],[Date Sent]]</f>
        <v>361</v>
      </c>
      <c r="F401" s="1">
        <f>Rfi[[#This Row],[Ball In Court]]</f>
        <v>0</v>
      </c>
      <c r="G401" t="str">
        <f>Rfi[[#This Row],[State]]</f>
        <v>Closed</v>
      </c>
    </row>
    <row r="402" spans="1:7" hidden="1" x14ac:dyDescent="0.35">
      <c r="A402" t="str">
        <f>Rfi[[#This Row],[Priority]]</f>
        <v>Medium</v>
      </c>
      <c r="B402">
        <f>Rfi[[#This Row],[Number]]</f>
        <v>404</v>
      </c>
      <c r="C402" t="str">
        <f>Rfi[[#This Row],[Subject]]</f>
        <v>LVL 5: Instruction Room Ceilings</v>
      </c>
      <c r="D402" s="2">
        <f>Rfi[[#This Row],[Sent]]</f>
        <v>43941</v>
      </c>
      <c r="E402" s="2">
        <f ca="1">TODAY()-Table2[[#This Row],[Date Sent]]</f>
        <v>361</v>
      </c>
      <c r="F402" s="1">
        <f>Rfi[[#This Row],[Ball In Court]]</f>
        <v>0</v>
      </c>
      <c r="G402" t="str">
        <f>Rfi[[#This Row],[State]]</f>
        <v>Closed</v>
      </c>
    </row>
    <row r="403" spans="1:7" hidden="1" x14ac:dyDescent="0.35">
      <c r="A403" t="str">
        <f>Rfi[[#This Row],[Priority]]</f>
        <v>High</v>
      </c>
      <c r="B403">
        <f>Rfi[[#This Row],[Number]]</f>
        <v>405</v>
      </c>
      <c r="C403" t="str">
        <f>Rfi[[#This Row],[Subject]]</f>
        <v>Level 2 Column Wrap</v>
      </c>
      <c r="D403" s="2">
        <f>Rfi[[#This Row],[Sent]]</f>
        <v>43941</v>
      </c>
      <c r="E403" s="2">
        <f ca="1">TODAY()-Table2[[#This Row],[Date Sent]]</f>
        <v>361</v>
      </c>
      <c r="F403" s="1">
        <f>Rfi[[#This Row],[Ball In Court]]</f>
        <v>0</v>
      </c>
      <c r="G403" t="str">
        <f>Rfi[[#This Row],[State]]</f>
        <v>Closed</v>
      </c>
    </row>
    <row r="404" spans="1:7" hidden="1" x14ac:dyDescent="0.35">
      <c r="A404" t="str">
        <f>Rfi[[#This Row],[Priority]]</f>
        <v>Medium</v>
      </c>
      <c r="B404">
        <f>Rfi[[#This Row],[Number]]</f>
        <v>406</v>
      </c>
      <c r="C404" t="str">
        <f>Rfi[[#This Row],[Subject]]</f>
        <v>CCD 047 Detail 11/S246</v>
      </c>
      <c r="D404" s="2">
        <f>Rfi[[#This Row],[Sent]]</f>
        <v>43948</v>
      </c>
      <c r="E404" s="2">
        <f ca="1">TODAY()-Table2[[#This Row],[Date Sent]]</f>
        <v>354</v>
      </c>
      <c r="F404" s="1">
        <f>Rfi[[#This Row],[Ball In Court]]</f>
        <v>0</v>
      </c>
      <c r="G404" t="str">
        <f>Rfi[[#This Row],[State]]</f>
        <v>Closed</v>
      </c>
    </row>
    <row r="405" spans="1:7" hidden="1" x14ac:dyDescent="0.35">
      <c r="A405" t="str">
        <f>Rfi[[#This Row],[Priority]]</f>
        <v>High</v>
      </c>
      <c r="B405">
        <f>Rfi[[#This Row],[Number]]</f>
        <v>407</v>
      </c>
      <c r="C405" t="str">
        <f>Rfi[[#This Row],[Subject]]</f>
        <v>CCD 047 Barrel Ceiling Catwalk</v>
      </c>
      <c r="D405" s="2">
        <f>Rfi[[#This Row],[Sent]]</f>
        <v>43942</v>
      </c>
      <c r="E405" s="2">
        <f ca="1">TODAY()-Table2[[#This Row],[Date Sent]]</f>
        <v>360</v>
      </c>
      <c r="F405" s="1">
        <f>Rfi[[#This Row],[Ball In Court]]</f>
        <v>0</v>
      </c>
      <c r="G405" t="str">
        <f>Rfi[[#This Row],[State]]</f>
        <v>Closed</v>
      </c>
    </row>
    <row r="406" spans="1:7" hidden="1" x14ac:dyDescent="0.35">
      <c r="A406" t="str">
        <f>Rfi[[#This Row],[Priority]]</f>
        <v>High</v>
      </c>
      <c r="B406">
        <f>Rfi[[#This Row],[Number]]</f>
        <v>408</v>
      </c>
      <c r="C406" t="str">
        <f>Rfi[[#This Row],[Subject]]</f>
        <v>Basement Capital Damage</v>
      </c>
      <c r="D406" s="2">
        <f>Rfi[[#This Row],[Sent]]</f>
        <v>43942</v>
      </c>
      <c r="E406" s="2">
        <f ca="1">TODAY()-Table2[[#This Row],[Date Sent]]</f>
        <v>360</v>
      </c>
      <c r="F406" s="1">
        <f>Rfi[[#This Row],[Ball In Court]]</f>
        <v>0</v>
      </c>
      <c r="G406" t="str">
        <f>Rfi[[#This Row],[State]]</f>
        <v>Closed</v>
      </c>
    </row>
    <row r="407" spans="1:7" hidden="1" x14ac:dyDescent="0.35">
      <c r="A407" t="str">
        <f>Rfi[[#This Row],[Priority]]</f>
        <v>High</v>
      </c>
      <c r="B407">
        <f>Rfi[[#This Row],[Number]]</f>
        <v>409</v>
      </c>
      <c r="C407" t="str">
        <f>Rfi[[#This Row],[Subject]]</f>
        <v>Purlin at Level 5 Elevator Infill</v>
      </c>
      <c r="D407" s="2">
        <f>Rfi[[#This Row],[Sent]]</f>
        <v>43943</v>
      </c>
      <c r="E407" s="2">
        <f ca="1">TODAY()-Table2[[#This Row],[Date Sent]]</f>
        <v>359</v>
      </c>
      <c r="F407" s="1">
        <f>Rfi[[#This Row],[Ball In Court]]</f>
        <v>0</v>
      </c>
      <c r="G407" t="str">
        <f>Rfi[[#This Row],[State]]</f>
        <v>Closed</v>
      </c>
    </row>
    <row r="408" spans="1:7" hidden="1" x14ac:dyDescent="0.35">
      <c r="A408" t="str">
        <f>Rfi[[#This Row],[Priority]]</f>
        <v>High</v>
      </c>
      <c r="B408">
        <f>Rfi[[#This Row],[Number]]</f>
        <v>410</v>
      </c>
      <c r="C408" t="str">
        <f>Rfi[[#This Row],[Subject]]</f>
        <v>North-West Baptistery Joists</v>
      </c>
      <c r="D408" s="2">
        <f>Rfi[[#This Row],[Sent]]</f>
        <v>43943</v>
      </c>
      <c r="E408" s="2">
        <f ca="1">TODAY()-Table2[[#This Row],[Date Sent]]</f>
        <v>359</v>
      </c>
      <c r="F408" s="1">
        <f>Rfi[[#This Row],[Ball In Court]]</f>
        <v>0</v>
      </c>
      <c r="G408" t="str">
        <f>Rfi[[#This Row],[State]]</f>
        <v>Closed</v>
      </c>
    </row>
    <row r="409" spans="1:7" hidden="1" x14ac:dyDescent="0.35">
      <c r="A409" t="str">
        <f>Rfi[[#This Row],[Priority]]</f>
        <v>High</v>
      </c>
      <c r="B409">
        <f>Rfi[[#This Row],[Number]]</f>
        <v>411</v>
      </c>
      <c r="C409" t="str">
        <f>Rfi[[#This Row],[Subject]]</f>
        <v>Level 5 Barrel Roof Access Doors</v>
      </c>
      <c r="D409" s="2">
        <f>Rfi[[#This Row],[Sent]]</f>
        <v>43943</v>
      </c>
      <c r="E409" s="2">
        <f ca="1">TODAY()-Table2[[#This Row],[Date Sent]]</f>
        <v>359</v>
      </c>
      <c r="F409" s="1">
        <f>Rfi[[#This Row],[Ball In Court]]</f>
        <v>0</v>
      </c>
      <c r="G409" t="str">
        <f>Rfi[[#This Row],[State]]</f>
        <v>Closed</v>
      </c>
    </row>
    <row r="410" spans="1:7" hidden="1" x14ac:dyDescent="0.35">
      <c r="A410" t="str">
        <f>Rfi[[#This Row],[Priority]]</f>
        <v>Medium</v>
      </c>
      <c r="B410">
        <f>Rfi[[#This Row],[Number]]</f>
        <v>412</v>
      </c>
      <c r="C410" t="str">
        <f>Rfi[[#This Row],[Subject]]</f>
        <v>Recessed Kitchen Floor</v>
      </c>
      <c r="D410" s="2">
        <f>Rfi[[#This Row],[Sent]]</f>
        <v>43943</v>
      </c>
      <c r="E410" s="2">
        <f ca="1">TODAY()-Table2[[#This Row],[Date Sent]]</f>
        <v>359</v>
      </c>
      <c r="F410" s="1">
        <f>Rfi[[#This Row],[Ball In Court]]</f>
        <v>0</v>
      </c>
      <c r="G410" t="str">
        <f>Rfi[[#This Row],[State]]</f>
        <v>Closed</v>
      </c>
    </row>
    <row r="411" spans="1:7" x14ac:dyDescent="0.35">
      <c r="A411" t="str">
        <f>Rfi[[#This Row],[Priority]]</f>
        <v>High</v>
      </c>
      <c r="B411">
        <f>Rfi[[#This Row],[Number]]</f>
        <v>413</v>
      </c>
      <c r="C411" t="str">
        <f>Rfi[[#This Row],[Subject]]</f>
        <v>Existing Waterline Electrolysis</v>
      </c>
      <c r="D411" s="2">
        <f>Rfi[[#This Row],[Sent]]</f>
        <v>44046</v>
      </c>
      <c r="E411" s="9">
        <f ca="1">TODAY()-Table2[[#This Row],[Date Sent]]</f>
        <v>256</v>
      </c>
      <c r="F411" s="1">
        <f>Rfi[[#This Row],[Ball In Court]]</f>
        <v>0</v>
      </c>
      <c r="G411" t="str">
        <f>Rfi[[#This Row],[State]]</f>
        <v>Closed</v>
      </c>
    </row>
    <row r="412" spans="1:7" hidden="1" x14ac:dyDescent="0.35">
      <c r="A412" t="str">
        <f>Rfi[[#This Row],[Priority]]</f>
        <v>Medium</v>
      </c>
      <c r="B412">
        <f>Rfi[[#This Row],[Number]]</f>
        <v>414</v>
      </c>
      <c r="C412" t="str">
        <f>Rfi[[#This Row],[Subject]]</f>
        <v>Finish Floor Elevations - Annex</v>
      </c>
      <c r="D412" s="2">
        <f>Rfi[[#This Row],[Sent]]</f>
        <v>43944</v>
      </c>
      <c r="E412" s="2">
        <f ca="1">TODAY()-Table2[[#This Row],[Date Sent]]</f>
        <v>358</v>
      </c>
      <c r="F412" s="1">
        <f>Rfi[[#This Row],[Ball In Court]]</f>
        <v>0</v>
      </c>
      <c r="G412" t="str">
        <f>Rfi[[#This Row],[State]]</f>
        <v>Closed</v>
      </c>
    </row>
    <row r="413" spans="1:7" hidden="1" x14ac:dyDescent="0.35">
      <c r="A413" t="str">
        <f>Rfi[[#This Row],[Priority]]</f>
        <v>Medium</v>
      </c>
      <c r="B413">
        <f>Rfi[[#This Row],[Number]]</f>
        <v>415</v>
      </c>
      <c r="C413" t="str">
        <f>Rfi[[#This Row],[Subject]]</f>
        <v>Casework Rm 148A off of instruction Rm 2, room 148 A2/AE4125</v>
      </c>
      <c r="D413" s="2">
        <f>Rfi[[#This Row],[Sent]]</f>
        <v>43945</v>
      </c>
      <c r="E413" s="2">
        <f ca="1">TODAY()-Table2[[#This Row],[Date Sent]]</f>
        <v>357</v>
      </c>
      <c r="F413" s="1">
        <f>Rfi[[#This Row],[Ball In Court]]</f>
        <v>0</v>
      </c>
      <c r="G413" t="str">
        <f>Rfi[[#This Row],[State]]</f>
        <v>Closed</v>
      </c>
    </row>
    <row r="414" spans="1:7" hidden="1" x14ac:dyDescent="0.35">
      <c r="A414" t="str">
        <f>Rfi[[#This Row],[Priority]]</f>
        <v>Medium</v>
      </c>
      <c r="B414">
        <f>Rfi[[#This Row],[Number]]</f>
        <v>416</v>
      </c>
      <c r="C414" t="str">
        <f>Rfi[[#This Row],[Subject]]</f>
        <v>Masonry Lift Verification</v>
      </c>
      <c r="D414" s="2">
        <f>Rfi[[#This Row],[Sent]]</f>
        <v>43948</v>
      </c>
      <c r="E414" s="2">
        <f ca="1">TODAY()-Table2[[#This Row],[Date Sent]]</f>
        <v>354</v>
      </c>
      <c r="F414" s="1">
        <f>Rfi[[#This Row],[Ball In Court]]</f>
        <v>0</v>
      </c>
      <c r="G414" t="str">
        <f>Rfi[[#This Row],[State]]</f>
        <v>Closed</v>
      </c>
    </row>
    <row r="415" spans="1:7" hidden="1" x14ac:dyDescent="0.35">
      <c r="A415" t="str">
        <f>Rfi[[#This Row],[Priority]]</f>
        <v>High</v>
      </c>
      <c r="B415">
        <f>Rfi[[#This Row],[Number]]</f>
        <v>417</v>
      </c>
      <c r="C415" t="str">
        <f>Rfi[[#This Row],[Subject]]</f>
        <v>Coordination Study Calculations</v>
      </c>
      <c r="D415" s="2">
        <f>Rfi[[#This Row],[Sent]]</f>
        <v>43948</v>
      </c>
      <c r="E415" s="2">
        <f ca="1">TODAY()-Table2[[#This Row],[Date Sent]]</f>
        <v>354</v>
      </c>
      <c r="F415" s="1">
        <f>Rfi[[#This Row],[Ball In Court]]</f>
        <v>0</v>
      </c>
      <c r="G415" t="str">
        <f>Rfi[[#This Row],[State]]</f>
        <v>Closed</v>
      </c>
    </row>
    <row r="416" spans="1:7" hidden="1" x14ac:dyDescent="0.35">
      <c r="A416" t="str">
        <f>Rfi[[#This Row],[Priority]]</f>
        <v>Medium</v>
      </c>
      <c r="B416">
        <f>Rfi[[#This Row],[Number]]</f>
        <v>418</v>
      </c>
      <c r="C416" t="str">
        <f>Rfi[[#This Row],[Subject]]</f>
        <v>Modified detail 1/S243</v>
      </c>
      <c r="D416" s="2">
        <f>Rfi[[#This Row],[Sent]]</f>
        <v>43948</v>
      </c>
      <c r="E416" s="2">
        <f ca="1">TODAY()-Table2[[#This Row],[Date Sent]]</f>
        <v>354</v>
      </c>
      <c r="F416" s="1">
        <f>Rfi[[#This Row],[Ball In Court]]</f>
        <v>0</v>
      </c>
      <c r="G416" t="str">
        <f>Rfi[[#This Row],[State]]</f>
        <v>Closed</v>
      </c>
    </row>
    <row r="417" spans="1:7" hidden="1" x14ac:dyDescent="0.35">
      <c r="A417" t="str">
        <f>Rfi[[#This Row],[Priority]]</f>
        <v>Medium</v>
      </c>
      <c r="B417">
        <f>Rfi[[#This Row],[Number]]</f>
        <v>420</v>
      </c>
      <c r="C417" t="str">
        <f>Rfi[[#This Row],[Subject]]</f>
        <v>Level 0 Kitchen wall CO</v>
      </c>
      <c r="D417" s="2">
        <f>Rfi[[#This Row],[Sent]]</f>
        <v>43948</v>
      </c>
      <c r="E417" s="2">
        <f ca="1">TODAY()-Table2[[#This Row],[Date Sent]]</f>
        <v>354</v>
      </c>
      <c r="F417" s="1">
        <f>Rfi[[#This Row],[Ball In Court]]</f>
        <v>0</v>
      </c>
      <c r="G417" t="str">
        <f>Rfi[[#This Row],[State]]</f>
        <v>Closed</v>
      </c>
    </row>
    <row r="418" spans="1:7" hidden="1" x14ac:dyDescent="0.35">
      <c r="A418" t="str">
        <f>Rfi[[#This Row],[Priority]]</f>
        <v>Medium</v>
      </c>
      <c r="B418">
        <f>Rfi[[#This Row],[Number]]</f>
        <v>421</v>
      </c>
      <c r="C418" t="str">
        <f>Rfi[[#This Row],[Subject]]</f>
        <v>Control Valves/Piping at Cooling Towers</v>
      </c>
      <c r="D418" s="2">
        <f>Rfi[[#This Row],[Sent]]</f>
        <v>43948</v>
      </c>
      <c r="E418" s="2">
        <f ca="1">TODAY()-Table2[[#This Row],[Date Sent]]</f>
        <v>354</v>
      </c>
      <c r="F418" s="1">
        <f>Rfi[[#This Row],[Ball In Court]]</f>
        <v>0</v>
      </c>
      <c r="G418" t="str">
        <f>Rfi[[#This Row],[State]]</f>
        <v>Closed</v>
      </c>
    </row>
    <row r="419" spans="1:7" hidden="1" x14ac:dyDescent="0.35">
      <c r="A419" t="str">
        <f>Rfi[[#This Row],[Priority]]</f>
        <v>Medium</v>
      </c>
      <c r="B419">
        <f>Rfi[[#This Row],[Number]]</f>
        <v>422</v>
      </c>
      <c r="C419" t="str">
        <f>Rfi[[#This Row],[Subject]]</f>
        <v>4" waste pipe at level 3 Annex</v>
      </c>
      <c r="D419" s="2">
        <f>Rfi[[#This Row],[Sent]]</f>
        <v>43949</v>
      </c>
      <c r="E419" s="2">
        <f ca="1">TODAY()-Table2[[#This Row],[Date Sent]]</f>
        <v>353</v>
      </c>
      <c r="F419" s="1">
        <f>Rfi[[#This Row],[Ball In Court]]</f>
        <v>0</v>
      </c>
      <c r="G419" t="str">
        <f>Rfi[[#This Row],[State]]</f>
        <v>Closed</v>
      </c>
    </row>
    <row r="420" spans="1:7" hidden="1" x14ac:dyDescent="0.35">
      <c r="A420" t="str">
        <f>Rfi[[#This Row],[Priority]]</f>
        <v>Medium</v>
      </c>
      <c r="B420">
        <f>Rfi[[#This Row],[Number]]</f>
        <v>423</v>
      </c>
      <c r="C420" t="str">
        <f>Rfi[[#This Row],[Subject]]</f>
        <v>Missing Soffit Detail for Mechanical Install</v>
      </c>
      <c r="D420" s="2">
        <f>Rfi[[#This Row],[Sent]]</f>
        <v>43949</v>
      </c>
      <c r="E420" s="2">
        <f ca="1">TODAY()-Table2[[#This Row],[Date Sent]]</f>
        <v>353</v>
      </c>
      <c r="F420" s="1">
        <f>Rfi[[#This Row],[Ball In Court]]</f>
        <v>0</v>
      </c>
      <c r="G420" t="str">
        <f>Rfi[[#This Row],[State]]</f>
        <v>Closed</v>
      </c>
    </row>
    <row r="421" spans="1:7" hidden="1" x14ac:dyDescent="0.35">
      <c r="A421" t="str">
        <f>Rfi[[#This Row],[Priority]]</f>
        <v>Medium</v>
      </c>
      <c r="B421">
        <f>Rfi[[#This Row],[Number]]</f>
        <v>424</v>
      </c>
      <c r="C421" t="str">
        <f>Rfi[[#This Row],[Subject]]</f>
        <v>RE: RFI 164 Fountain Tile material</v>
      </c>
      <c r="D421" s="2">
        <f>Rfi[[#This Row],[Sent]]</f>
        <v>43949</v>
      </c>
      <c r="E421" s="2">
        <f ca="1">TODAY()-Table2[[#This Row],[Date Sent]]</f>
        <v>353</v>
      </c>
      <c r="F421" s="1">
        <f>Rfi[[#This Row],[Ball In Court]]</f>
        <v>0</v>
      </c>
      <c r="G421" t="str">
        <f>Rfi[[#This Row],[State]]</f>
        <v>Closed</v>
      </c>
    </row>
    <row r="422" spans="1:7" hidden="1" x14ac:dyDescent="0.35">
      <c r="A422" t="str">
        <f>Rfi[[#This Row],[Priority]]</f>
        <v>Medium</v>
      </c>
      <c r="B422">
        <f>Rfi[[#This Row],[Number]]</f>
        <v>425</v>
      </c>
      <c r="C422" t="str">
        <f>Rfi[[#This Row],[Subject]]</f>
        <v>Structural Sleeves for Mechanical level 3 and 5</v>
      </c>
      <c r="D422" s="2">
        <f>Rfi[[#This Row],[Sent]]</f>
        <v>43949</v>
      </c>
      <c r="E422" s="2">
        <f ca="1">TODAY()-Table2[[#This Row],[Date Sent]]</f>
        <v>353</v>
      </c>
      <c r="F422" s="1">
        <f>Rfi[[#This Row],[Ball In Court]]</f>
        <v>0</v>
      </c>
      <c r="G422" t="str">
        <f>Rfi[[#This Row],[State]]</f>
        <v>Closed</v>
      </c>
    </row>
    <row r="423" spans="1:7" hidden="1" x14ac:dyDescent="0.35">
      <c r="A423" t="str">
        <f>Rfi[[#This Row],[Priority]]</f>
        <v>Medium</v>
      </c>
      <c r="B423">
        <f>Rfi[[#This Row],[Number]]</f>
        <v>426</v>
      </c>
      <c r="C423" t="str">
        <f>Rfi[[#This Row],[Subject]]</f>
        <v>Wall HVAC Thermostat locations</v>
      </c>
      <c r="D423" s="2">
        <f>Rfi[[#This Row],[Sent]]</f>
        <v>43949</v>
      </c>
      <c r="E423" s="2">
        <f ca="1">TODAY()-Table2[[#This Row],[Date Sent]]</f>
        <v>353</v>
      </c>
      <c r="F423" s="1">
        <f>Rfi[[#This Row],[Ball In Court]]</f>
        <v>0</v>
      </c>
      <c r="G423" t="str">
        <f>Rfi[[#This Row],[State]]</f>
        <v>Closed</v>
      </c>
    </row>
    <row r="424" spans="1:7" hidden="1" x14ac:dyDescent="0.35">
      <c r="A424" t="str">
        <f>Rfi[[#This Row],[Priority]]</f>
        <v>Medium</v>
      </c>
      <c r="B424">
        <f>Rfi[[#This Row],[Number]]</f>
        <v>427</v>
      </c>
      <c r="C424" t="str">
        <f>Rfi[[#This Row],[Subject]]</f>
        <v>Missing dowels annex grid AB/A2</v>
      </c>
      <c r="D424" s="2">
        <f>Rfi[[#This Row],[Sent]]</f>
        <v>43950</v>
      </c>
      <c r="E424" s="2">
        <f ca="1">TODAY()-Table2[[#This Row],[Date Sent]]</f>
        <v>352</v>
      </c>
      <c r="F424" s="1">
        <f>Rfi[[#This Row],[Ball In Court]]</f>
        <v>0</v>
      </c>
      <c r="G424" t="str">
        <f>Rfi[[#This Row],[State]]</f>
        <v>Closed</v>
      </c>
    </row>
    <row r="425" spans="1:7" hidden="1" x14ac:dyDescent="0.35">
      <c r="A425" t="str">
        <f>Rfi[[#This Row],[Priority]]</f>
        <v>High</v>
      </c>
      <c r="B425">
        <f>Rfi[[#This Row],[Number]]</f>
        <v>428</v>
      </c>
      <c r="C425" t="str">
        <f>Rfi[[#This Row],[Subject]]</f>
        <v>Ceiling Joist Tie Wire</v>
      </c>
      <c r="D425" s="2">
        <f>Rfi[[#This Row],[Sent]]</f>
        <v>43950</v>
      </c>
      <c r="E425" s="2">
        <f ca="1">TODAY()-Table2[[#This Row],[Date Sent]]</f>
        <v>352</v>
      </c>
      <c r="F425" s="1">
        <f>Rfi[[#This Row],[Ball In Court]]</f>
        <v>0</v>
      </c>
      <c r="G425" t="str">
        <f>Rfi[[#This Row],[State]]</f>
        <v>Closed</v>
      </c>
    </row>
    <row r="426" spans="1:7" hidden="1" x14ac:dyDescent="0.35">
      <c r="A426" t="str">
        <f>Rfi[[#This Row],[Priority]]</f>
        <v>High</v>
      </c>
      <c r="B426">
        <f>Rfi[[#This Row],[Number]]</f>
        <v>429</v>
      </c>
      <c r="C426" t="str">
        <f>Rfi[[#This Row],[Subject]]</f>
        <v>Roof Drain Locations</v>
      </c>
      <c r="D426" s="2">
        <f>Rfi[[#This Row],[Sent]]</f>
        <v>43958</v>
      </c>
      <c r="E426" s="2">
        <f ca="1">TODAY()-Table2[[#This Row],[Date Sent]]</f>
        <v>344</v>
      </c>
      <c r="F426" s="1">
        <f>Rfi[[#This Row],[Ball In Court]]</f>
        <v>0</v>
      </c>
      <c r="G426" t="str">
        <f>Rfi[[#This Row],[State]]</f>
        <v>Closed</v>
      </c>
    </row>
    <row r="427" spans="1:7" hidden="1" x14ac:dyDescent="0.35">
      <c r="A427" t="str">
        <f>Rfi[[#This Row],[Priority]]</f>
        <v>High</v>
      </c>
      <c r="B427">
        <f>Rfi[[#This Row],[Number]]</f>
        <v>430</v>
      </c>
      <c r="C427" t="str">
        <f>Rfi[[#This Row],[Subject]]</f>
        <v>Roof Anchor Points</v>
      </c>
      <c r="D427" s="2">
        <f>Rfi[[#This Row],[Sent]]</f>
        <v>43950</v>
      </c>
      <c r="E427" s="2">
        <f ca="1">TODAY()-Table2[[#This Row],[Date Sent]]</f>
        <v>352</v>
      </c>
      <c r="F427" s="1">
        <f>Rfi[[#This Row],[Ball In Court]]</f>
        <v>0</v>
      </c>
      <c r="G427" t="str">
        <f>Rfi[[#This Row],[State]]</f>
        <v>Closed</v>
      </c>
    </row>
    <row r="428" spans="1:7" hidden="1" x14ac:dyDescent="0.35">
      <c r="A428" t="str">
        <f>Rfi[[#This Row],[Priority]]</f>
        <v>High</v>
      </c>
      <c r="B428">
        <f>Rfi[[#This Row],[Number]]</f>
        <v>431</v>
      </c>
      <c r="C428" t="str">
        <f>Rfi[[#This Row],[Subject]]</f>
        <v>Roof Reinforcement for Lift</v>
      </c>
      <c r="D428" s="2">
        <f>Rfi[[#This Row],[Sent]]</f>
        <v>43950</v>
      </c>
      <c r="E428" s="2">
        <f ca="1">TODAY()-Table2[[#This Row],[Date Sent]]</f>
        <v>352</v>
      </c>
      <c r="F428" s="1">
        <f>Rfi[[#This Row],[Ball In Court]]</f>
        <v>0</v>
      </c>
      <c r="G428" t="str">
        <f>Rfi[[#This Row],[State]]</f>
        <v>Closed</v>
      </c>
    </row>
    <row r="429" spans="1:7" hidden="1" x14ac:dyDescent="0.35">
      <c r="A429" t="str">
        <f>Rfi[[#This Row],[Priority]]</f>
        <v>Medium</v>
      </c>
      <c r="B429">
        <f>Rfi[[#This Row],[Number]]</f>
        <v>432</v>
      </c>
      <c r="C429" t="str">
        <f>Rfi[[#This Row],[Subject]]</f>
        <v>S.O. Cords to Roof Lights</v>
      </c>
      <c r="D429" s="2">
        <f>Rfi[[#This Row],[Sent]]</f>
        <v>43950</v>
      </c>
      <c r="E429" s="2">
        <f ca="1">TODAY()-Table2[[#This Row],[Date Sent]]</f>
        <v>352</v>
      </c>
      <c r="F429" s="1">
        <f>Rfi[[#This Row],[Ball In Court]]</f>
        <v>0</v>
      </c>
      <c r="G429" t="str">
        <f>Rfi[[#This Row],[State]]</f>
        <v>Closed</v>
      </c>
    </row>
    <row r="430" spans="1:7" hidden="1" x14ac:dyDescent="0.35">
      <c r="A430" t="str">
        <f>Rfi[[#This Row],[Priority]]</f>
        <v>High</v>
      </c>
      <c r="B430">
        <f>Rfi[[#This Row],[Number]]</f>
        <v>433</v>
      </c>
      <c r="C430" t="str">
        <f>Rfi[[#This Row],[Subject]]</f>
        <v>Confirm Additional 2nd Floor C Channels</v>
      </c>
      <c r="D430" s="2">
        <f>Rfi[[#This Row],[Sent]]</f>
        <v>43951</v>
      </c>
      <c r="E430" s="2">
        <f ca="1">TODAY()-Table2[[#This Row],[Date Sent]]</f>
        <v>351</v>
      </c>
      <c r="F430" s="1">
        <f>Rfi[[#This Row],[Ball In Court]]</f>
        <v>0</v>
      </c>
      <c r="G430" t="str">
        <f>Rfi[[#This Row],[State]]</f>
        <v>Closed</v>
      </c>
    </row>
    <row r="431" spans="1:7" hidden="1" x14ac:dyDescent="0.35">
      <c r="A431" t="str">
        <f>Rfi[[#This Row],[Priority]]</f>
        <v>Medium</v>
      </c>
      <c r="B431">
        <f>Rfi[[#This Row],[Number]]</f>
        <v>434</v>
      </c>
      <c r="C431" t="str">
        <f>Rfi[[#This Row],[Subject]]</f>
        <v>5th Hall Outlet Mounting Height</v>
      </c>
      <c r="D431" s="2">
        <f>Rfi[[#This Row],[Sent]]</f>
        <v>43951</v>
      </c>
      <c r="E431" s="2">
        <f ca="1">TODAY()-Table2[[#This Row],[Date Sent]]</f>
        <v>351</v>
      </c>
      <c r="F431" s="1">
        <f>Rfi[[#This Row],[Ball In Court]]</f>
        <v>0</v>
      </c>
      <c r="G431" t="str">
        <f>Rfi[[#This Row],[State]]</f>
        <v>Closed</v>
      </c>
    </row>
    <row r="432" spans="1:7" hidden="1" x14ac:dyDescent="0.35">
      <c r="A432" t="str">
        <f>Rfi[[#This Row],[Priority]]</f>
        <v>Medium</v>
      </c>
      <c r="B432">
        <f>Rfi[[#This Row],[Number]]</f>
        <v>435</v>
      </c>
      <c r="C432" t="str">
        <f>Rfi[[#This Row],[Subject]]</f>
        <v>SW5 shear wall concrete reveal clarification</v>
      </c>
      <c r="D432" s="2">
        <f>Rfi[[#This Row],[Sent]]</f>
        <v>43951</v>
      </c>
      <c r="E432" s="2">
        <f ca="1">TODAY()-Table2[[#This Row],[Date Sent]]</f>
        <v>351</v>
      </c>
      <c r="F432" s="1">
        <f>Rfi[[#This Row],[Ball In Court]]</f>
        <v>0</v>
      </c>
      <c r="G432" t="str">
        <f>Rfi[[#This Row],[State]]</f>
        <v>Closed</v>
      </c>
    </row>
    <row r="433" spans="1:7" hidden="1" x14ac:dyDescent="0.35">
      <c r="A433" t="str">
        <f>Rfi[[#This Row],[Priority]]</f>
        <v>Medium</v>
      </c>
      <c r="B433">
        <f>Rfi[[#This Row],[Number]]</f>
        <v>436</v>
      </c>
      <c r="C433" t="str">
        <f>Rfi[[#This Row],[Subject]]</f>
        <v>Plaster crown moldings</v>
      </c>
      <c r="D433" s="2">
        <f>Rfi[[#This Row],[Sent]]</f>
        <v>43951</v>
      </c>
      <c r="E433" s="2">
        <f ca="1">TODAY()-Table2[[#This Row],[Date Sent]]</f>
        <v>351</v>
      </c>
      <c r="F433" s="1">
        <f>Rfi[[#This Row],[Ball In Court]]</f>
        <v>0</v>
      </c>
      <c r="G433" t="str">
        <f>Rfi[[#This Row],[State]]</f>
        <v>Closed</v>
      </c>
    </row>
    <row r="434" spans="1:7" hidden="1" x14ac:dyDescent="0.35">
      <c r="A434" t="str">
        <f>Rfi[[#This Row],[Priority]]</f>
        <v>Medium</v>
      </c>
      <c r="B434">
        <f>Rfi[[#This Row],[Number]]</f>
        <v>437</v>
      </c>
      <c r="C434" t="str">
        <f>Rfi[[#This Row],[Subject]]</f>
        <v>C Channel Height Conflict</v>
      </c>
      <c r="D434" s="2">
        <f>Rfi[[#This Row],[Sent]]</f>
        <v>43985</v>
      </c>
      <c r="E434" s="2">
        <f ca="1">TODAY()-Table2[[#This Row],[Date Sent]]</f>
        <v>317</v>
      </c>
      <c r="F434" s="1">
        <f>Rfi[[#This Row],[Ball In Court]]</f>
        <v>0</v>
      </c>
      <c r="G434" t="str">
        <f>Rfi[[#This Row],[State]]</f>
        <v>Closed</v>
      </c>
    </row>
    <row r="435" spans="1:7" hidden="1" x14ac:dyDescent="0.35">
      <c r="A435" t="str">
        <f>Rfi[[#This Row],[Priority]]</f>
        <v>Medium</v>
      </c>
      <c r="B435">
        <f>Rfi[[#This Row],[Number]]</f>
        <v>438</v>
      </c>
      <c r="C435" t="str">
        <f>Rfi[[#This Row],[Subject]]</f>
        <v>Plaster Medallions</v>
      </c>
      <c r="D435" s="2">
        <f>Rfi[[#This Row],[Sent]]</f>
        <v>43951</v>
      </c>
      <c r="E435" s="2">
        <f ca="1">TODAY()-Table2[[#This Row],[Date Sent]]</f>
        <v>351</v>
      </c>
      <c r="F435" s="1">
        <f>Rfi[[#This Row],[Ball In Court]]</f>
        <v>0</v>
      </c>
      <c r="G435" t="str">
        <f>Rfi[[#This Row],[State]]</f>
        <v>Closed</v>
      </c>
    </row>
    <row r="436" spans="1:7" hidden="1" x14ac:dyDescent="0.35">
      <c r="A436" t="str">
        <f>Rfi[[#This Row],[Priority]]</f>
        <v>Medium</v>
      </c>
      <c r="B436">
        <f>Rfi[[#This Row],[Number]]</f>
        <v>439</v>
      </c>
      <c r="C436" t="str">
        <f>Rfi[[#This Row],[Subject]]</f>
        <v>Stair tower Plaster base board</v>
      </c>
      <c r="D436" s="2">
        <f>Rfi[[#This Row],[Sent]]</f>
        <v>43951</v>
      </c>
      <c r="E436" s="9">
        <f ca="1">TODAY()-Table2[[#This Row],[Date Sent]]</f>
        <v>351</v>
      </c>
      <c r="F436" s="1">
        <f>Rfi[[#This Row],[Ball In Court]]</f>
        <v>0</v>
      </c>
      <c r="G436" t="str">
        <f>Rfi[[#This Row],[State]]</f>
        <v>Closed</v>
      </c>
    </row>
    <row r="437" spans="1:7" hidden="1" x14ac:dyDescent="0.35">
      <c r="A437" t="str">
        <f>Rfi[[#This Row],[Priority]]</f>
        <v>High</v>
      </c>
      <c r="B437">
        <f>Rfi[[#This Row],[Number]]</f>
        <v>440</v>
      </c>
      <c r="C437" t="str">
        <f>Rfi[[#This Row],[Subject]]</f>
        <v>Winding Stair Center Chase</v>
      </c>
      <c r="D437" s="2">
        <f>Rfi[[#This Row],[Sent]]</f>
        <v>43991</v>
      </c>
      <c r="E437" s="2">
        <f ca="1">TODAY()-Table2[[#This Row],[Date Sent]]</f>
        <v>311</v>
      </c>
      <c r="F437" s="1">
        <f>Rfi[[#This Row],[Ball In Court]]</f>
        <v>0</v>
      </c>
      <c r="G437" t="str">
        <f>Rfi[[#This Row],[State]]</f>
        <v>Closed</v>
      </c>
    </row>
    <row r="438" spans="1:7" hidden="1" x14ac:dyDescent="0.35">
      <c r="A438" t="str">
        <f>Rfi[[#This Row],[Priority]]</f>
        <v>Medium</v>
      </c>
      <c r="B438">
        <f>Rfi[[#This Row],[Number]]</f>
        <v>441</v>
      </c>
      <c r="C438" t="str">
        <f>Rfi[[#This Row],[Subject]]</f>
        <v>Chandelier Mounting Brackets</v>
      </c>
      <c r="D438" s="2">
        <f>Rfi[[#This Row],[Sent]]</f>
        <v>43951</v>
      </c>
      <c r="E438" s="2">
        <f ca="1">TODAY()-Table2[[#This Row],[Date Sent]]</f>
        <v>351</v>
      </c>
      <c r="F438" s="1">
        <f>Rfi[[#This Row],[Ball In Court]]</f>
        <v>0</v>
      </c>
      <c r="G438" t="str">
        <f>Rfi[[#This Row],[State]]</f>
        <v>Closed</v>
      </c>
    </row>
    <row r="439" spans="1:7" hidden="1" x14ac:dyDescent="0.35">
      <c r="A439" t="str">
        <f>Rfi[[#This Row],[Priority]]</f>
        <v>Medium</v>
      </c>
      <c r="B439">
        <f>Rfi[[#This Row],[Number]]</f>
        <v>442</v>
      </c>
      <c r="C439" t="str">
        <f>Rfi[[#This Row],[Subject]]</f>
        <v>Column interference at Ramp - Annex</v>
      </c>
      <c r="D439" s="2">
        <f>Rfi[[#This Row],[Sent]]</f>
        <v>43951</v>
      </c>
      <c r="E439" s="2">
        <f ca="1">TODAY()-Table2[[#This Row],[Date Sent]]</f>
        <v>351</v>
      </c>
      <c r="F439" s="1">
        <f>Rfi[[#This Row],[Ball In Court]]</f>
        <v>0</v>
      </c>
      <c r="G439" t="str">
        <f>Rfi[[#This Row],[State]]</f>
        <v>Closed</v>
      </c>
    </row>
    <row r="440" spans="1:7" hidden="1" x14ac:dyDescent="0.35">
      <c r="A440" t="str">
        <f>Rfi[[#This Row],[Priority]]</f>
        <v>Medium</v>
      </c>
      <c r="B440">
        <f>Rfi[[#This Row],[Number]]</f>
        <v>443</v>
      </c>
      <c r="C440" t="str">
        <f>Rfi[[#This Row],[Subject]]</f>
        <v>Annex Elevator Wall Heights</v>
      </c>
      <c r="D440" s="2">
        <f>Rfi[[#This Row],[Sent]]</f>
        <v>43951</v>
      </c>
      <c r="E440" s="2">
        <f ca="1">TODAY()-Table2[[#This Row],[Date Sent]]</f>
        <v>351</v>
      </c>
      <c r="F440" s="1">
        <f>Rfi[[#This Row],[Ball In Court]]</f>
        <v>0</v>
      </c>
      <c r="G440" t="str">
        <f>Rfi[[#This Row],[State]]</f>
        <v>Closed</v>
      </c>
    </row>
    <row r="441" spans="1:7" hidden="1" x14ac:dyDescent="0.35">
      <c r="A441" t="str">
        <f>Rfi[[#This Row],[Priority]]</f>
        <v>Medium</v>
      </c>
      <c r="B441">
        <f>Rfi[[#This Row],[Number]]</f>
        <v>444</v>
      </c>
      <c r="C441" t="str">
        <f>Rfi[[#This Row],[Subject]]</f>
        <v>West Wall Beam Connections</v>
      </c>
      <c r="D441" s="2">
        <f>Rfi[[#This Row],[Sent]]</f>
        <v>43951</v>
      </c>
      <c r="E441" s="2">
        <f ca="1">TODAY()-Table2[[#This Row],[Date Sent]]</f>
        <v>351</v>
      </c>
      <c r="F441" s="1">
        <f>Rfi[[#This Row],[Ball In Court]]</f>
        <v>0</v>
      </c>
      <c r="G441" t="str">
        <f>Rfi[[#This Row],[State]]</f>
        <v>Closed</v>
      </c>
    </row>
    <row r="442" spans="1:7" hidden="1" x14ac:dyDescent="0.35">
      <c r="A442" t="str">
        <f>Rfi[[#This Row],[Priority]]</f>
        <v>High</v>
      </c>
      <c r="B442">
        <f>Rfi[[#This Row],[Number]]</f>
        <v>445</v>
      </c>
      <c r="C442" t="str">
        <f>Rfi[[#This Row],[Subject]]</f>
        <v>Foundation Wall Reinforcement</v>
      </c>
      <c r="D442" s="2">
        <f>Rfi[[#This Row],[Sent]]</f>
        <v>43952</v>
      </c>
      <c r="E442" s="2">
        <f ca="1">TODAY()-Table2[[#This Row],[Date Sent]]</f>
        <v>350</v>
      </c>
      <c r="F442" s="1">
        <f>Rfi[[#This Row],[Ball In Court]]</f>
        <v>0</v>
      </c>
      <c r="G442" t="str">
        <f>Rfi[[#This Row],[State]]</f>
        <v>Closed</v>
      </c>
    </row>
    <row r="443" spans="1:7" hidden="1" x14ac:dyDescent="0.35">
      <c r="A443" t="str">
        <f>Rfi[[#This Row],[Priority]]</f>
        <v>High</v>
      </c>
      <c r="B443">
        <f>Rfi[[#This Row],[Number]]</f>
        <v>446</v>
      </c>
      <c r="C443" t="str">
        <f>Rfi[[#This Row],[Subject]]</f>
        <v>Column Footing</v>
      </c>
      <c r="D443" s="2">
        <f>Rfi[[#This Row],[Sent]]</f>
        <v>43952</v>
      </c>
      <c r="E443" s="2">
        <f ca="1">TODAY()-Table2[[#This Row],[Date Sent]]</f>
        <v>350</v>
      </c>
      <c r="F443" s="1">
        <f>Rfi[[#This Row],[Ball In Court]]</f>
        <v>0</v>
      </c>
      <c r="G443" t="str">
        <f>Rfi[[#This Row],[State]]</f>
        <v>Closed</v>
      </c>
    </row>
    <row r="444" spans="1:7" hidden="1" x14ac:dyDescent="0.35">
      <c r="A444" t="str">
        <f>Rfi[[#This Row],[Priority]]</f>
        <v>Medium</v>
      </c>
      <c r="B444">
        <f>Rfi[[#This Row],[Number]]</f>
        <v>447</v>
      </c>
      <c r="C444" t="str">
        <f>Rfi[[#This Row],[Subject]]</f>
        <v>Catwalk on West of Historic</v>
      </c>
      <c r="D444" s="2">
        <f>Rfi[[#This Row],[Sent]]</f>
        <v>43952</v>
      </c>
      <c r="E444" s="2">
        <f ca="1">TODAY()-Table2[[#This Row],[Date Sent]]</f>
        <v>350</v>
      </c>
      <c r="F444" s="1">
        <f>Rfi[[#This Row],[Ball In Court]]</f>
        <v>0</v>
      </c>
      <c r="G444" t="str">
        <f>Rfi[[#This Row],[State]]</f>
        <v>Closed</v>
      </c>
    </row>
    <row r="445" spans="1:7" hidden="1" x14ac:dyDescent="0.35">
      <c r="A445" t="str">
        <f>Rfi[[#This Row],[Priority]]</f>
        <v>High</v>
      </c>
      <c r="B445">
        <f>Rfi[[#This Row],[Number]]</f>
        <v>448</v>
      </c>
      <c r="C445" t="str">
        <f>Rfi[[#This Row],[Subject]]</f>
        <v>Catwalk Conformations</v>
      </c>
      <c r="D445" s="2">
        <f>Rfi[[#This Row],[Sent]]</f>
        <v>43952</v>
      </c>
      <c r="E445" s="2">
        <f ca="1">TODAY()-Table2[[#This Row],[Date Sent]]</f>
        <v>350</v>
      </c>
      <c r="F445" s="1">
        <f>Rfi[[#This Row],[Ball In Court]]</f>
        <v>0</v>
      </c>
      <c r="G445" t="str">
        <f>Rfi[[#This Row],[State]]</f>
        <v>Closed</v>
      </c>
    </row>
    <row r="446" spans="1:7" hidden="1" x14ac:dyDescent="0.35">
      <c r="A446" t="str">
        <f>Rfi[[#This Row],[Priority]]</f>
        <v>Medium</v>
      </c>
      <c r="B446">
        <f>Rfi[[#This Row],[Number]]</f>
        <v>449</v>
      </c>
      <c r="C446" t="str">
        <f>Rfi[[#This Row],[Subject]]</f>
        <v>Field Report 11</v>
      </c>
      <c r="D446" s="2">
        <f>Rfi[[#This Row],[Sent]]</f>
        <v>43952</v>
      </c>
      <c r="E446" s="2">
        <f ca="1">TODAY()-Table2[[#This Row],[Date Sent]]</f>
        <v>350</v>
      </c>
      <c r="F446" s="1">
        <f>Rfi[[#This Row],[Ball In Court]]</f>
        <v>0</v>
      </c>
      <c r="G446" t="str">
        <f>Rfi[[#This Row],[State]]</f>
        <v>Closed</v>
      </c>
    </row>
    <row r="447" spans="1:7" x14ac:dyDescent="0.35">
      <c r="A447" t="str">
        <f>Rfi[[#This Row],[Priority]]</f>
        <v>Medium</v>
      </c>
      <c r="B447">
        <f>Rfi[[#This Row],[Number]]</f>
        <v>450</v>
      </c>
      <c r="C447" t="str">
        <f>Rfi[[#This Row],[Subject]]</f>
        <v>Door Hardware questions per meeting with architect 4-28-20</v>
      </c>
      <c r="D447" s="2">
        <f>Rfi[[#This Row],[Sent]]</f>
        <v>43953</v>
      </c>
      <c r="E447" s="9">
        <f ca="1">TODAY()-Table2[[#This Row],[Date Sent]]</f>
        <v>349</v>
      </c>
      <c r="F447" s="1">
        <f>Rfi[[#This Row],[Ball In Court]]</f>
        <v>0</v>
      </c>
      <c r="G447" t="str">
        <f>Rfi[[#This Row],[State]]</f>
        <v>Closed</v>
      </c>
    </row>
    <row r="448" spans="1:7" hidden="1" x14ac:dyDescent="0.35">
      <c r="A448" t="str">
        <f>Rfi[[#This Row],[Priority]]</f>
        <v>Medium</v>
      </c>
      <c r="B448">
        <f>Rfi[[#This Row],[Number]]</f>
        <v>451</v>
      </c>
      <c r="C448" t="str">
        <f>Rfi[[#This Row],[Subject]]</f>
        <v>HVAC ceiling conflicts at 219, 220 and 221</v>
      </c>
      <c r="D448" s="2">
        <f>Rfi[[#This Row],[Sent]]</f>
        <v>43955</v>
      </c>
      <c r="E448" s="2">
        <f ca="1">TODAY()-Table2[[#This Row],[Date Sent]]</f>
        <v>347</v>
      </c>
      <c r="F448" s="1">
        <f>Rfi[[#This Row],[Ball In Court]]</f>
        <v>0</v>
      </c>
      <c r="G448" t="str">
        <f>Rfi[[#This Row],[State]]</f>
        <v>Closed</v>
      </c>
    </row>
    <row r="449" spans="1:7" hidden="1" x14ac:dyDescent="0.35">
      <c r="A449" t="str">
        <f>Rfi[[#This Row],[Priority]]</f>
        <v>High</v>
      </c>
      <c r="B449">
        <f>Rfi[[#This Row],[Number]]</f>
        <v>452</v>
      </c>
      <c r="C449" t="str">
        <f>Rfi[[#This Row],[Subject]]</f>
        <v>Existing South West Annex Wall</v>
      </c>
      <c r="D449" s="2">
        <f>Rfi[[#This Row],[Sent]]</f>
        <v>43955</v>
      </c>
      <c r="E449" s="2">
        <f ca="1">TODAY()-Table2[[#This Row],[Date Sent]]</f>
        <v>347</v>
      </c>
      <c r="F449" s="1">
        <f>Rfi[[#This Row],[Ball In Court]]</f>
        <v>0</v>
      </c>
      <c r="G449" t="str">
        <f>Rfi[[#This Row],[State]]</f>
        <v>Closed</v>
      </c>
    </row>
    <row r="450" spans="1:7" hidden="1" x14ac:dyDescent="0.35">
      <c r="A450" t="str">
        <f>Rfi[[#This Row],[Priority]]</f>
        <v>Low</v>
      </c>
      <c r="B450">
        <f>Rfi[[#This Row],[Number]]</f>
        <v>453</v>
      </c>
      <c r="C450" t="str">
        <f>Rfi[[#This Row],[Subject]]</f>
        <v>4" Curb at Elevator &amp; Xypex Waterproofing</v>
      </c>
      <c r="D450" s="2">
        <f>Rfi[[#This Row],[Sent]]</f>
        <v>43955</v>
      </c>
      <c r="E450" s="2">
        <f ca="1">TODAY()-Table2[[#This Row],[Date Sent]]</f>
        <v>347</v>
      </c>
      <c r="F450" s="1">
        <f>Rfi[[#This Row],[Ball In Court]]</f>
        <v>0</v>
      </c>
      <c r="G450" t="str">
        <f>Rfi[[#This Row],[State]]</f>
        <v>Closed</v>
      </c>
    </row>
    <row r="451" spans="1:7" hidden="1" x14ac:dyDescent="0.35">
      <c r="A451" t="str">
        <f>Rfi[[#This Row],[Priority]]</f>
        <v>High</v>
      </c>
      <c r="B451">
        <f>Rfi[[#This Row],[Number]]</f>
        <v>454</v>
      </c>
      <c r="C451" t="str">
        <f>Rfi[[#This Row],[Subject]]</f>
        <v>Level 4 Ceiling Elevation at North and South Sides</v>
      </c>
      <c r="D451" s="2">
        <f>Rfi[[#This Row],[Sent]]</f>
        <v>43998</v>
      </c>
      <c r="E451" s="2">
        <f ca="1">TODAY()-Table2[[#This Row],[Date Sent]]</f>
        <v>304</v>
      </c>
      <c r="F451" s="1">
        <f>Rfi[[#This Row],[Ball In Court]]</f>
        <v>0</v>
      </c>
      <c r="G451" t="str">
        <f>Rfi[[#This Row],[State]]</f>
        <v>Closed</v>
      </c>
    </row>
    <row r="452" spans="1:7" x14ac:dyDescent="0.35">
      <c r="A452" t="str">
        <f>Rfi[[#This Row],[Priority]]</f>
        <v>Medium</v>
      </c>
      <c r="B452">
        <f>Rfi[[#This Row],[Number]]</f>
        <v>455</v>
      </c>
      <c r="C452" t="str">
        <f>Rfi[[#This Row],[Subject]]</f>
        <v>RCP01 Pump to Remain</v>
      </c>
      <c r="D452" s="2">
        <f>Rfi[[#This Row],[Sent]]</f>
        <v>44041</v>
      </c>
      <c r="E452" s="9">
        <f ca="1">TODAY()-Table2[[#This Row],[Date Sent]]</f>
        <v>261</v>
      </c>
      <c r="F452" s="1">
        <f>Rfi[[#This Row],[Ball In Court]]</f>
        <v>0</v>
      </c>
      <c r="G452" t="str">
        <f>Rfi[[#This Row],[State]]</f>
        <v>Closed</v>
      </c>
    </row>
    <row r="453" spans="1:7" hidden="1" x14ac:dyDescent="0.35">
      <c r="A453" t="str">
        <f>Rfi[[#This Row],[Priority]]</f>
        <v>Medium</v>
      </c>
      <c r="B453">
        <f>Rfi[[#This Row],[Number]]</f>
        <v>456</v>
      </c>
      <c r="C453" t="str">
        <f>Rfi[[#This Row],[Subject]]</f>
        <v>Level 5 Chandelier Layout</v>
      </c>
      <c r="D453" s="2">
        <f>Rfi[[#This Row],[Sent]]</f>
        <v>43955</v>
      </c>
      <c r="E453" s="2">
        <f ca="1">TODAY()-Table2[[#This Row],[Date Sent]]</f>
        <v>347</v>
      </c>
      <c r="F453" s="1">
        <f>Rfi[[#This Row],[Ball In Court]]</f>
        <v>0</v>
      </c>
      <c r="G453" t="str">
        <f>Rfi[[#This Row],[State]]</f>
        <v>Closed</v>
      </c>
    </row>
    <row r="454" spans="1:7" hidden="1" x14ac:dyDescent="0.35">
      <c r="A454" t="str">
        <f>Rfi[[#This Row],[Priority]]</f>
        <v>Medium</v>
      </c>
      <c r="B454">
        <f>Rfi[[#This Row],[Number]]</f>
        <v>457</v>
      </c>
      <c r="C454" t="str">
        <f>Rfi[[#This Row],[Subject]]</f>
        <v>Furr out West Wall of Janitor Storage 004</v>
      </c>
      <c r="D454" s="2">
        <f>Rfi[[#This Row],[Sent]]</f>
        <v>43955</v>
      </c>
      <c r="E454" s="2">
        <f ca="1">TODAY()-Table2[[#This Row],[Date Sent]]</f>
        <v>347</v>
      </c>
      <c r="F454" s="1">
        <f>Rfi[[#This Row],[Ball In Court]]</f>
        <v>0</v>
      </c>
      <c r="G454" t="str">
        <f>Rfi[[#This Row],[State]]</f>
        <v>Closed</v>
      </c>
    </row>
    <row r="455" spans="1:7" hidden="1" x14ac:dyDescent="0.35">
      <c r="A455" t="str">
        <f>Rfi[[#This Row],[Priority]]</f>
        <v>Medium</v>
      </c>
      <c r="B455">
        <f>Rfi[[#This Row],[Number]]</f>
        <v>458</v>
      </c>
      <c r="C455" t="str">
        <f>Rfi[[#This Row],[Subject]]</f>
        <v>Levels 3 and 5 Restroom Sizing</v>
      </c>
      <c r="D455" s="2">
        <f>Rfi[[#This Row],[Sent]]</f>
        <v>43955</v>
      </c>
      <c r="E455" s="2">
        <f ca="1">TODAY()-Table2[[#This Row],[Date Sent]]</f>
        <v>347</v>
      </c>
      <c r="F455" s="1">
        <f>Rfi[[#This Row],[Ball In Court]]</f>
        <v>0</v>
      </c>
      <c r="G455" t="str">
        <f>Rfi[[#This Row],[State]]</f>
        <v>Closed</v>
      </c>
    </row>
    <row r="456" spans="1:7" hidden="1" x14ac:dyDescent="0.35">
      <c r="A456" t="str">
        <f>Rfi[[#This Row],[Priority]]</f>
        <v>Medium</v>
      </c>
      <c r="B456">
        <f>Rfi[[#This Row],[Number]]</f>
        <v>459</v>
      </c>
      <c r="C456" t="str">
        <f>Rfi[[#This Row],[Subject]]</f>
        <v>Missing Sheet S204</v>
      </c>
      <c r="D456" s="2">
        <f>Rfi[[#This Row],[Sent]]</f>
        <v>43956</v>
      </c>
      <c r="E456" s="2">
        <f ca="1">TODAY()-Table2[[#This Row],[Date Sent]]</f>
        <v>346</v>
      </c>
      <c r="F456" s="1">
        <f>Rfi[[#This Row],[Ball In Court]]</f>
        <v>0</v>
      </c>
      <c r="G456" t="str">
        <f>Rfi[[#This Row],[State]]</f>
        <v>Closed</v>
      </c>
    </row>
    <row r="457" spans="1:7" hidden="1" x14ac:dyDescent="0.35">
      <c r="A457" t="str">
        <f>Rfi[[#This Row],[Priority]]</f>
        <v>Medium</v>
      </c>
      <c r="B457">
        <f>Rfi[[#This Row],[Number]]</f>
        <v>460</v>
      </c>
      <c r="C457" t="str">
        <f>Rfi[[#This Row],[Subject]]</f>
        <v>Beam to Column Connection - Level 2 Historic</v>
      </c>
      <c r="D457" s="2">
        <f>Rfi[[#This Row],[Sent]]</f>
        <v>43956</v>
      </c>
      <c r="E457" s="2">
        <f ca="1">TODAY()-Table2[[#This Row],[Date Sent]]</f>
        <v>346</v>
      </c>
      <c r="F457" s="1">
        <f>Rfi[[#This Row],[Ball In Court]]</f>
        <v>0</v>
      </c>
      <c r="G457" t="str">
        <f>Rfi[[#This Row],[State]]</f>
        <v>Closed</v>
      </c>
    </row>
    <row r="458" spans="1:7" hidden="1" x14ac:dyDescent="0.35">
      <c r="A458" t="str">
        <f>Rfi[[#This Row],[Priority]]</f>
        <v>High</v>
      </c>
      <c r="B458">
        <f>Rfi[[#This Row],[Number]]</f>
        <v>461</v>
      </c>
      <c r="C458" t="str">
        <f>Rfi[[#This Row],[Subject]]</f>
        <v>LVL Floor Joist Header Fix</v>
      </c>
      <c r="D458" s="2">
        <f>Rfi[[#This Row],[Sent]]</f>
        <v>43956</v>
      </c>
      <c r="E458" s="2">
        <f ca="1">TODAY()-Table2[[#This Row],[Date Sent]]</f>
        <v>346</v>
      </c>
      <c r="F458" s="1">
        <f>Rfi[[#This Row],[Ball In Court]]</f>
        <v>0</v>
      </c>
      <c r="G458" t="str">
        <f>Rfi[[#This Row],[State]]</f>
        <v>Closed</v>
      </c>
    </row>
    <row r="459" spans="1:7" hidden="1" x14ac:dyDescent="0.35">
      <c r="A459" t="str">
        <f>Rfi[[#This Row],[Priority]]</f>
        <v>Medium</v>
      </c>
      <c r="B459">
        <f>Rfi[[#This Row],[Number]]</f>
        <v>462</v>
      </c>
      <c r="C459" t="str">
        <f>Rfi[[#This Row],[Subject]]</f>
        <v>SA dampers serving projector rooms</v>
      </c>
      <c r="D459" s="2">
        <f>Rfi[[#This Row],[Sent]]</f>
        <v>43956</v>
      </c>
      <c r="E459" s="2">
        <f ca="1">TODAY()-Table2[[#This Row],[Date Sent]]</f>
        <v>346</v>
      </c>
      <c r="F459" s="1">
        <f>Rfi[[#This Row],[Ball In Court]]</f>
        <v>0</v>
      </c>
      <c r="G459" t="str">
        <f>Rfi[[#This Row],[State]]</f>
        <v>Closed</v>
      </c>
    </row>
    <row r="460" spans="1:7" hidden="1" x14ac:dyDescent="0.35">
      <c r="A460" t="str">
        <f>Rfi[[#This Row],[Priority]]</f>
        <v>High</v>
      </c>
      <c r="B460">
        <f>Rfi[[#This Row],[Number]]</f>
        <v>463</v>
      </c>
      <c r="C460" t="str">
        <f>Rfi[[#This Row],[Subject]]</f>
        <v>Framing Support for Exhaust Fans</v>
      </c>
      <c r="D460" s="2">
        <f>Rfi[[#This Row],[Sent]]</f>
        <v>43957</v>
      </c>
      <c r="E460" s="2">
        <f ca="1">TODAY()-Table2[[#This Row],[Date Sent]]</f>
        <v>345</v>
      </c>
      <c r="F460" s="1">
        <f>Rfi[[#This Row],[Ball In Court]]</f>
        <v>0</v>
      </c>
      <c r="G460" t="str">
        <f>Rfi[[#This Row],[State]]</f>
        <v>Closed</v>
      </c>
    </row>
    <row r="461" spans="1:7" hidden="1" x14ac:dyDescent="0.35">
      <c r="A461" t="str">
        <f>Rfi[[#This Row],[Priority]]</f>
        <v>Medium</v>
      </c>
      <c r="B461">
        <f>Rfi[[#This Row],[Number]]</f>
        <v>464</v>
      </c>
      <c r="C461" t="str">
        <f>Rfi[[#This Row],[Subject]]</f>
        <v>Confirming RFI following Scott Hardy site visit 04/30</v>
      </c>
      <c r="D461" s="2">
        <f>Rfi[[#This Row],[Sent]]</f>
        <v>43964</v>
      </c>
      <c r="E461" s="2">
        <f ca="1">TODAY()-Table2[[#This Row],[Date Sent]]</f>
        <v>338</v>
      </c>
      <c r="F461" s="1">
        <f>Rfi[[#This Row],[Ball In Court]]</f>
        <v>0</v>
      </c>
      <c r="G461" t="str">
        <f>Rfi[[#This Row],[State]]</f>
        <v>Closed</v>
      </c>
    </row>
    <row r="462" spans="1:7" hidden="1" x14ac:dyDescent="0.35">
      <c r="A462" t="str">
        <f>Rfi[[#This Row],[Priority]]</f>
        <v>Medium</v>
      </c>
      <c r="B462">
        <f>Rfi[[#This Row],[Number]]</f>
        <v>465</v>
      </c>
      <c r="C462" t="str">
        <f>Rfi[[#This Row],[Subject]]</f>
        <v>Ground lights at stairs</v>
      </c>
      <c r="D462" s="2">
        <f>Rfi[[#This Row],[Sent]]</f>
        <v>43957</v>
      </c>
      <c r="E462" s="2">
        <f ca="1">TODAY()-Table2[[#This Row],[Date Sent]]</f>
        <v>345</v>
      </c>
      <c r="F462" s="1">
        <f>Rfi[[#This Row],[Ball In Court]]</f>
        <v>0</v>
      </c>
      <c r="G462" t="str">
        <f>Rfi[[#This Row],[State]]</f>
        <v>Closed</v>
      </c>
    </row>
    <row r="463" spans="1:7" hidden="1" x14ac:dyDescent="0.35">
      <c r="A463" t="str">
        <f>Rfi[[#This Row],[Priority]]</f>
        <v>Medium</v>
      </c>
      <c r="B463">
        <f>Rfi[[#This Row],[Number]]</f>
        <v>466</v>
      </c>
      <c r="C463" t="str">
        <f>Rfi[[#This Row],[Subject]]</f>
        <v>Existing parking lot lights</v>
      </c>
      <c r="D463" s="2">
        <f>Rfi[[#This Row],[Sent]]</f>
        <v>44007</v>
      </c>
      <c r="E463" s="2">
        <f ca="1">TODAY()-Table2[[#This Row],[Date Sent]]</f>
        <v>295</v>
      </c>
      <c r="F463" s="1">
        <f>Rfi[[#This Row],[Ball In Court]]</f>
        <v>0</v>
      </c>
      <c r="G463" t="str">
        <f>Rfi[[#This Row],[State]]</f>
        <v>Closed</v>
      </c>
    </row>
    <row r="464" spans="1:7" hidden="1" x14ac:dyDescent="0.35">
      <c r="A464" t="str">
        <f>Rfi[[#This Row],[Priority]]</f>
        <v>Medium</v>
      </c>
      <c r="B464">
        <f>Rfi[[#This Row],[Number]]</f>
        <v>467</v>
      </c>
      <c r="C464" t="str">
        <f>Rfi[[#This Row],[Subject]]</f>
        <v>Superplasticizer dosage</v>
      </c>
      <c r="D464" s="2">
        <f>Rfi[[#This Row],[Sent]]</f>
        <v>43958</v>
      </c>
      <c r="E464" s="2">
        <f ca="1">TODAY()-Table2[[#This Row],[Date Sent]]</f>
        <v>344</v>
      </c>
      <c r="F464" s="1">
        <f>Rfi[[#This Row],[Ball In Court]]</f>
        <v>0</v>
      </c>
      <c r="G464" t="str">
        <f>Rfi[[#This Row],[State]]</f>
        <v>Closed</v>
      </c>
    </row>
    <row r="465" spans="1:7" hidden="1" x14ac:dyDescent="0.35">
      <c r="A465" t="str">
        <f>Rfi[[#This Row],[Priority]]</f>
        <v>Medium</v>
      </c>
      <c r="B465">
        <f>Rfi[[#This Row],[Number]]</f>
        <v>468</v>
      </c>
      <c r="C465" t="str">
        <f>Rfi[[#This Row],[Subject]]</f>
        <v>EIFS Shapes</v>
      </c>
      <c r="D465" s="2">
        <f>Rfi[[#This Row],[Sent]]</f>
        <v>43958</v>
      </c>
      <c r="E465" s="2">
        <f ca="1">TODAY()-Table2[[#This Row],[Date Sent]]</f>
        <v>344</v>
      </c>
      <c r="F465" s="1">
        <f>Rfi[[#This Row],[Ball In Court]]</f>
        <v>0</v>
      </c>
      <c r="G465" t="str">
        <f>Rfi[[#This Row],[State]]</f>
        <v>Closed</v>
      </c>
    </row>
    <row r="466" spans="1:7" hidden="1" x14ac:dyDescent="0.35">
      <c r="A466" t="str">
        <f>Rfi[[#This Row],[Priority]]</f>
        <v>Medium</v>
      </c>
      <c r="B466">
        <f>Rfi[[#This Row],[Number]]</f>
        <v>469</v>
      </c>
      <c r="C466" t="str">
        <f>Rfi[[#This Row],[Subject]]</f>
        <v>Transom Windows above doors Lvl's 3 and 5</v>
      </c>
      <c r="D466" s="2">
        <f>Rfi[[#This Row],[Sent]]</f>
        <v>43959</v>
      </c>
      <c r="E466" s="2">
        <f ca="1">TODAY()-Table2[[#This Row],[Date Sent]]</f>
        <v>343</v>
      </c>
      <c r="F466" s="1">
        <f>Rfi[[#This Row],[Ball In Court]]</f>
        <v>0</v>
      </c>
      <c r="G466" t="str">
        <f>Rfi[[#This Row],[State]]</f>
        <v>Closed</v>
      </c>
    </row>
    <row r="467" spans="1:7" hidden="1" x14ac:dyDescent="0.35">
      <c r="A467" t="str">
        <f>Rfi[[#This Row],[Priority]]</f>
        <v>High</v>
      </c>
      <c r="B467">
        <f>Rfi[[#This Row],[Number]]</f>
        <v>470</v>
      </c>
      <c r="C467" t="str">
        <f>Rfi[[#This Row],[Subject]]</f>
        <v>Fountain Piping into Mechanical Rooms</v>
      </c>
      <c r="D467" s="2">
        <f>Rfi[[#This Row],[Sent]]</f>
        <v>43959</v>
      </c>
      <c r="E467" s="2">
        <f ca="1">TODAY()-Table2[[#This Row],[Date Sent]]</f>
        <v>343</v>
      </c>
      <c r="F467" s="1">
        <f>Rfi[[#This Row],[Ball In Court]]</f>
        <v>0</v>
      </c>
      <c r="G467" t="str">
        <f>Rfi[[#This Row],[State]]</f>
        <v>Closed</v>
      </c>
    </row>
    <row r="468" spans="1:7" hidden="1" x14ac:dyDescent="0.35">
      <c r="A468" t="str">
        <f>Rfi[[#This Row],[Priority]]</f>
        <v>Medium</v>
      </c>
      <c r="B468">
        <f>Rfi[[#This Row],[Number]]</f>
        <v>471</v>
      </c>
      <c r="C468" t="str">
        <f>Rfi[[#This Row],[Subject]]</f>
        <v>Elevator rough opening west tower room 053</v>
      </c>
      <c r="D468" s="2">
        <f>Rfi[[#This Row],[Sent]]</f>
        <v>43962</v>
      </c>
      <c r="E468" s="2">
        <f ca="1">TODAY()-Table2[[#This Row],[Date Sent]]</f>
        <v>340</v>
      </c>
      <c r="F468" s="1">
        <f>Rfi[[#This Row],[Ball In Court]]</f>
        <v>0</v>
      </c>
      <c r="G468" t="str">
        <f>Rfi[[#This Row],[State]]</f>
        <v>Closed</v>
      </c>
    </row>
    <row r="469" spans="1:7" hidden="1" x14ac:dyDescent="0.35">
      <c r="A469" t="str">
        <f>Rfi[[#This Row],[Priority]]</f>
        <v>Medium</v>
      </c>
      <c r="B469">
        <f>Rfi[[#This Row],[Number]]</f>
        <v>472</v>
      </c>
      <c r="C469" t="str">
        <f>Rfi[[#This Row],[Subject]]</f>
        <v>Dimension clarification grid A1 shearwall</v>
      </c>
      <c r="D469" s="2">
        <f>Rfi[[#This Row],[Sent]]</f>
        <v>43963</v>
      </c>
      <c r="E469" s="2">
        <f ca="1">TODAY()-Table2[[#This Row],[Date Sent]]</f>
        <v>339</v>
      </c>
      <c r="F469" s="1">
        <f>Rfi[[#This Row],[Ball In Court]]</f>
        <v>0</v>
      </c>
      <c r="G469" t="str">
        <f>Rfi[[#This Row],[State]]</f>
        <v>Closed</v>
      </c>
    </row>
    <row r="470" spans="1:7" hidden="1" x14ac:dyDescent="0.35">
      <c r="A470" t="str">
        <f>Rfi[[#This Row],[Priority]]</f>
        <v>Medium</v>
      </c>
      <c r="B470">
        <f>Rfi[[#This Row],[Number]]</f>
        <v>473</v>
      </c>
      <c r="C470" t="str">
        <f>Rfi[[#This Row],[Subject]]</f>
        <v>Leak Detector at Chiller Room</v>
      </c>
      <c r="D470" s="2">
        <f>Rfi[[#This Row],[Sent]]</f>
        <v>43964</v>
      </c>
      <c r="E470" s="2">
        <f ca="1">TODAY()-Table2[[#This Row],[Date Sent]]</f>
        <v>338</v>
      </c>
      <c r="F470" s="1">
        <f>Rfi[[#This Row],[Ball In Court]]</f>
        <v>0</v>
      </c>
      <c r="G470" t="str">
        <f>Rfi[[#This Row],[State]]</f>
        <v>Closed</v>
      </c>
    </row>
    <row r="471" spans="1:7" hidden="1" x14ac:dyDescent="0.35">
      <c r="A471" t="str">
        <f>Rfi[[#This Row],[Priority]]</f>
        <v>Medium</v>
      </c>
      <c r="B471">
        <f>Rfi[[#This Row],[Number]]</f>
        <v>474</v>
      </c>
      <c r="C471" t="str">
        <f>Rfi[[#This Row],[Subject]]</f>
        <v>Annex Stair Materials / Configuration</v>
      </c>
      <c r="D471" s="2">
        <f>Rfi[[#This Row],[Sent]]</f>
        <v>43964</v>
      </c>
      <c r="E471" s="2">
        <f ca="1">TODAY()-Table2[[#This Row],[Date Sent]]</f>
        <v>338</v>
      </c>
      <c r="F471" s="1">
        <f>Rfi[[#This Row],[Ball In Court]]</f>
        <v>0</v>
      </c>
      <c r="G471" t="str">
        <f>Rfi[[#This Row],[State]]</f>
        <v>Closed</v>
      </c>
    </row>
    <row r="472" spans="1:7" hidden="1" x14ac:dyDescent="0.35">
      <c r="A472" t="str">
        <f>Rfi[[#This Row],[Priority]]</f>
        <v>Medium</v>
      </c>
      <c r="B472">
        <f>Rfi[[#This Row],[Number]]</f>
        <v>475</v>
      </c>
      <c r="C472" t="str">
        <f>Rfi[[#This Row],[Subject]]</f>
        <v>All M.E.P. Layout</v>
      </c>
      <c r="D472" s="2">
        <f>Rfi[[#This Row],[Sent]]</f>
        <v>44085</v>
      </c>
      <c r="E472" s="2">
        <f ca="1">TODAY()-Table2[[#This Row],[Date Sent]]</f>
        <v>217</v>
      </c>
      <c r="F472" s="1">
        <f>Rfi[[#This Row],[Ball In Court]]</f>
        <v>0</v>
      </c>
      <c r="G472" t="str">
        <f>Rfi[[#This Row],[State]]</f>
        <v>Closed</v>
      </c>
    </row>
    <row r="473" spans="1:7" hidden="1" x14ac:dyDescent="0.35">
      <c r="A473" t="str">
        <f>Rfi[[#This Row],[Priority]]</f>
        <v>Medium</v>
      </c>
      <c r="B473">
        <f>Rfi[[#This Row],[Number]]</f>
        <v>476</v>
      </c>
      <c r="C473" t="str">
        <f>Rfi[[#This Row],[Subject]]</f>
        <v>Exception for MC cable</v>
      </c>
      <c r="D473" s="2">
        <f>Rfi[[#This Row],[Sent]]</f>
        <v>43965</v>
      </c>
      <c r="E473" s="2">
        <f ca="1">TODAY()-Table2[[#This Row],[Date Sent]]</f>
        <v>337</v>
      </c>
      <c r="F473" s="1">
        <f>Rfi[[#This Row],[Ball In Court]]</f>
        <v>0</v>
      </c>
      <c r="G473" t="str">
        <f>Rfi[[#This Row],[State]]</f>
        <v>Closed</v>
      </c>
    </row>
    <row r="474" spans="1:7" hidden="1" x14ac:dyDescent="0.35">
      <c r="A474" t="str">
        <f>Rfi[[#This Row],[Priority]]</f>
        <v>Medium</v>
      </c>
      <c r="B474">
        <f>Rfi[[#This Row],[Number]]</f>
        <v>477</v>
      </c>
      <c r="C474" t="str">
        <f>Rfi[[#This Row],[Subject]]</f>
        <v>Waterproofing on West &amp; North Existing Annex Walls</v>
      </c>
      <c r="D474" s="2">
        <f>Rfi[[#This Row],[Sent]]</f>
        <v>43965</v>
      </c>
      <c r="E474" s="2">
        <f ca="1">TODAY()-Table2[[#This Row],[Date Sent]]</f>
        <v>337</v>
      </c>
      <c r="F474" s="1">
        <f>Rfi[[#This Row],[Ball In Court]]</f>
        <v>0</v>
      </c>
      <c r="G474" t="str">
        <f>Rfi[[#This Row],[State]]</f>
        <v>Closed</v>
      </c>
    </row>
    <row r="475" spans="1:7" hidden="1" x14ac:dyDescent="0.35">
      <c r="A475" t="str">
        <f>Rfi[[#This Row],[Priority]]</f>
        <v>Medium</v>
      </c>
      <c r="B475">
        <f>Rfi[[#This Row],[Number]]</f>
        <v>478</v>
      </c>
      <c r="C475" t="str">
        <f>Rfi[[#This Row],[Subject]]</f>
        <v>Wood Truss Coordination - Steel</v>
      </c>
      <c r="D475" s="2">
        <f>Rfi[[#This Row],[Sent]]</f>
        <v>43965</v>
      </c>
      <c r="E475" s="2">
        <f ca="1">TODAY()-Table2[[#This Row],[Date Sent]]</f>
        <v>337</v>
      </c>
      <c r="F475" s="1">
        <f>Rfi[[#This Row],[Ball In Court]]</f>
        <v>0</v>
      </c>
      <c r="G475" t="str">
        <f>Rfi[[#This Row],[State]]</f>
        <v>Closed</v>
      </c>
    </row>
    <row r="476" spans="1:7" hidden="1" x14ac:dyDescent="0.35">
      <c r="A476" t="str">
        <f>Rfi[[#This Row],[Priority]]</f>
        <v>Medium</v>
      </c>
      <c r="B476">
        <f>Rfi[[#This Row],[Number]]</f>
        <v>479</v>
      </c>
      <c r="C476" t="str">
        <f>Rfi[[#This Row],[Subject]]</f>
        <v>relocate Data conduits historic roof</v>
      </c>
      <c r="D476" s="2">
        <f>Rfi[[#This Row],[Sent]]</f>
        <v>43966</v>
      </c>
      <c r="E476" s="2">
        <f ca="1">TODAY()-Table2[[#This Row],[Date Sent]]</f>
        <v>336</v>
      </c>
      <c r="F476" s="1">
        <f>Rfi[[#This Row],[Ball In Court]]</f>
        <v>0</v>
      </c>
      <c r="G476" t="str">
        <f>Rfi[[#This Row],[State]]</f>
        <v>Closed</v>
      </c>
    </row>
    <row r="477" spans="1:7" hidden="1" x14ac:dyDescent="0.35">
      <c r="A477" t="str">
        <f>Rfi[[#This Row],[Priority]]</f>
        <v>Medium</v>
      </c>
      <c r="B477">
        <f>Rfi[[#This Row],[Number]]</f>
        <v>480</v>
      </c>
      <c r="C477" t="str">
        <f>Rfi[[#This Row],[Subject]]</f>
        <v>Exterior tower lights at historic roof</v>
      </c>
      <c r="D477" s="2">
        <f>Rfi[[#This Row],[Sent]]</f>
        <v>43979</v>
      </c>
      <c r="E477" s="2">
        <f ca="1">TODAY()-Table2[[#This Row],[Date Sent]]</f>
        <v>323</v>
      </c>
      <c r="F477" s="1">
        <f>Rfi[[#This Row],[Ball In Court]]</f>
        <v>0</v>
      </c>
      <c r="G477" t="str">
        <f>Rfi[[#This Row],[State]]</f>
        <v>Closed</v>
      </c>
    </row>
    <row r="478" spans="1:7" hidden="1" x14ac:dyDescent="0.35">
      <c r="A478" t="str">
        <f>Rfi[[#This Row],[Priority]]</f>
        <v>Medium</v>
      </c>
      <c r="B478">
        <f>Rfi[[#This Row],[Number]]</f>
        <v>481</v>
      </c>
      <c r="C478" t="str">
        <f>Rfi[[#This Row],[Subject]]</f>
        <v>CCD 54.1 Dimensions</v>
      </c>
      <c r="D478" s="2">
        <f>Rfi[[#This Row],[Sent]]</f>
        <v>43970</v>
      </c>
      <c r="E478" s="2">
        <f ca="1">TODAY()-Table2[[#This Row],[Date Sent]]</f>
        <v>332</v>
      </c>
      <c r="F478" s="1">
        <f>Rfi[[#This Row],[Ball In Court]]</f>
        <v>0</v>
      </c>
      <c r="G478" t="str">
        <f>Rfi[[#This Row],[State]]</f>
        <v>Closed</v>
      </c>
    </row>
    <row r="479" spans="1:7" hidden="1" x14ac:dyDescent="0.35">
      <c r="A479" t="str">
        <f>Rfi[[#This Row],[Priority]]</f>
        <v>Medium</v>
      </c>
      <c r="B479">
        <f>Rfi[[#This Row],[Number]]</f>
        <v>482</v>
      </c>
      <c r="C479" t="str">
        <f>Rfi[[#This Row],[Subject]]</f>
        <v>CCD 54.1 Connections</v>
      </c>
      <c r="D479" s="2">
        <f>Rfi[[#This Row],[Sent]]</f>
        <v>43971</v>
      </c>
      <c r="E479" s="2">
        <f ca="1">TODAY()-Table2[[#This Row],[Date Sent]]</f>
        <v>331</v>
      </c>
      <c r="F479" s="1">
        <f>Rfi[[#This Row],[Ball In Court]]</f>
        <v>0</v>
      </c>
      <c r="G479" t="str">
        <f>Rfi[[#This Row],[State]]</f>
        <v>Closed</v>
      </c>
    </row>
    <row r="480" spans="1:7" hidden="1" x14ac:dyDescent="0.35">
      <c r="A480" t="str">
        <f>Rfi[[#This Row],[Priority]]</f>
        <v>Medium</v>
      </c>
      <c r="B480">
        <f>Rfi[[#This Row],[Number]]</f>
        <v>483</v>
      </c>
      <c r="C480" t="str">
        <f>Rfi[[#This Row],[Subject]]</f>
        <v>Foundation Break Near A1</v>
      </c>
      <c r="D480" s="2">
        <f>Rfi[[#This Row],[Sent]]</f>
        <v>43971</v>
      </c>
      <c r="E480" s="2">
        <f ca="1">TODAY()-Table2[[#This Row],[Date Sent]]</f>
        <v>331</v>
      </c>
      <c r="F480" s="1">
        <f>Rfi[[#This Row],[Ball In Court]]</f>
        <v>0</v>
      </c>
      <c r="G480" t="str">
        <f>Rfi[[#This Row],[State]]</f>
        <v>Closed</v>
      </c>
    </row>
    <row r="481" spans="1:7" hidden="1" x14ac:dyDescent="0.35">
      <c r="A481" t="str">
        <f>Rfi[[#This Row],[Priority]]</f>
        <v>Medium</v>
      </c>
      <c r="B481">
        <f>Rfi[[#This Row],[Number]]</f>
        <v>484</v>
      </c>
      <c r="C481" t="str">
        <f>Rfi[[#This Row],[Subject]]</f>
        <v>CC1 columns and intake well dimensions at grid A2</v>
      </c>
      <c r="D481" s="2">
        <f>Rfi[[#This Row],[Sent]]</f>
        <v>43971</v>
      </c>
      <c r="E481" s="2">
        <f ca="1">TODAY()-Table2[[#This Row],[Date Sent]]</f>
        <v>331</v>
      </c>
      <c r="F481" s="1">
        <f>Rfi[[#This Row],[Ball In Court]]</f>
        <v>0</v>
      </c>
      <c r="G481" t="str">
        <f>Rfi[[#This Row],[State]]</f>
        <v>Closed</v>
      </c>
    </row>
    <row r="482" spans="1:7" hidden="1" x14ac:dyDescent="0.35">
      <c r="A482" t="str">
        <f>Rfi[[#This Row],[Priority]]</f>
        <v>Medium</v>
      </c>
      <c r="B482">
        <f>Rfi[[#This Row],[Number]]</f>
        <v>485</v>
      </c>
      <c r="C482" t="str">
        <f>Rfi[[#This Row],[Subject]]</f>
        <v>Roof Stucco Repair</v>
      </c>
      <c r="D482" s="2">
        <f>Rfi[[#This Row],[Sent]]</f>
        <v>43971</v>
      </c>
      <c r="E482" s="2">
        <f ca="1">TODAY()-Table2[[#This Row],[Date Sent]]</f>
        <v>331</v>
      </c>
      <c r="F482" s="1">
        <f>Rfi[[#This Row],[Ball In Court]]</f>
        <v>0</v>
      </c>
      <c r="G482" t="str">
        <f>Rfi[[#This Row],[State]]</f>
        <v>Closed</v>
      </c>
    </row>
    <row r="483" spans="1:7" hidden="1" x14ac:dyDescent="0.35">
      <c r="A483" t="str">
        <f>Rfi[[#This Row],[Priority]]</f>
        <v>Medium</v>
      </c>
      <c r="B483">
        <f>Rfi[[#This Row],[Number]]</f>
        <v>486</v>
      </c>
      <c r="C483" t="str">
        <f>Rfi[[#This Row],[Subject]]</f>
        <v>Roof Kicker Stone Wall Interference</v>
      </c>
      <c r="D483" s="2">
        <f>Rfi[[#This Row],[Sent]]</f>
        <v>43971</v>
      </c>
      <c r="E483" s="2">
        <f ca="1">TODAY()-Table2[[#This Row],[Date Sent]]</f>
        <v>331</v>
      </c>
      <c r="F483" s="1">
        <f>Rfi[[#This Row],[Ball In Court]]</f>
        <v>0</v>
      </c>
      <c r="G483" t="str">
        <f>Rfi[[#This Row],[State]]</f>
        <v>Closed</v>
      </c>
    </row>
    <row r="484" spans="1:7" hidden="1" x14ac:dyDescent="0.35">
      <c r="A484" t="str">
        <f>Rfi[[#This Row],[Priority]]</f>
        <v>Medium</v>
      </c>
      <c r="B484">
        <f>Rfi[[#This Row],[Number]]</f>
        <v>487</v>
      </c>
      <c r="C484" t="str">
        <f>Rfi[[#This Row],[Subject]]</f>
        <v>Site sidewalk/paving sealer spec</v>
      </c>
      <c r="D484" s="2">
        <f>Rfi[[#This Row],[Sent]]</f>
        <v>43971</v>
      </c>
      <c r="E484" s="2">
        <f ca="1">TODAY()-Table2[[#This Row],[Date Sent]]</f>
        <v>331</v>
      </c>
      <c r="F484" s="1">
        <f>Rfi[[#This Row],[Ball In Court]]</f>
        <v>0</v>
      </c>
      <c r="G484" t="str">
        <f>Rfi[[#This Row],[State]]</f>
        <v>Closed</v>
      </c>
    </row>
    <row r="485" spans="1:7" hidden="1" x14ac:dyDescent="0.35">
      <c r="A485" t="str">
        <f>Rfi[[#This Row],[Priority]]</f>
        <v>Medium</v>
      </c>
      <c r="B485">
        <f>Rfi[[#This Row],[Number]]</f>
        <v>488</v>
      </c>
      <c r="C485" t="str">
        <f>Rfi[[#This Row],[Subject]]</f>
        <v>Confirm Roof Termination</v>
      </c>
      <c r="D485" s="2">
        <f>Rfi[[#This Row],[Sent]]</f>
        <v>43971</v>
      </c>
      <c r="E485" s="2">
        <f ca="1">TODAY()-Table2[[#This Row],[Date Sent]]</f>
        <v>331</v>
      </c>
      <c r="F485" s="1">
        <f>Rfi[[#This Row],[Ball In Court]]</f>
        <v>0</v>
      </c>
      <c r="G485" t="str">
        <f>Rfi[[#This Row],[State]]</f>
        <v>Closed</v>
      </c>
    </row>
    <row r="486" spans="1:7" hidden="1" x14ac:dyDescent="0.35">
      <c r="A486" t="str">
        <f>Rfi[[#This Row],[Priority]]</f>
        <v>Medium</v>
      </c>
      <c r="B486">
        <f>Rfi[[#This Row],[Number]]</f>
        <v>489</v>
      </c>
      <c r="C486" t="str">
        <f>Rfi[[#This Row],[Subject]]</f>
        <v>5th Floor Ceilings</v>
      </c>
      <c r="D486" s="2">
        <f>Rfi[[#This Row],[Sent]]</f>
        <v>43972</v>
      </c>
      <c r="E486" s="2">
        <f ca="1">TODAY()-Table2[[#This Row],[Date Sent]]</f>
        <v>330</v>
      </c>
      <c r="F486" s="1">
        <f>Rfi[[#This Row],[Ball In Court]]</f>
        <v>0</v>
      </c>
      <c r="G486" t="str">
        <f>Rfi[[#This Row],[State]]</f>
        <v>Closed</v>
      </c>
    </row>
    <row r="487" spans="1:7" hidden="1" x14ac:dyDescent="0.35">
      <c r="A487" t="str">
        <f>Rfi[[#This Row],[Priority]]</f>
        <v>Medium</v>
      </c>
      <c r="B487">
        <f>Rfi[[#This Row],[Number]]</f>
        <v>490</v>
      </c>
      <c r="C487" t="str">
        <f>Rfi[[#This Row],[Subject]]</f>
        <v>glass at transom doors 208, 209, 210</v>
      </c>
      <c r="D487" s="2">
        <f>Rfi[[#This Row],[Sent]]</f>
        <v>43972</v>
      </c>
      <c r="E487" s="2">
        <f ca="1">TODAY()-Table2[[#This Row],[Date Sent]]</f>
        <v>330</v>
      </c>
      <c r="F487" s="1">
        <f>Rfi[[#This Row],[Ball In Court]]</f>
        <v>0</v>
      </c>
      <c r="G487" t="str">
        <f>Rfi[[#This Row],[State]]</f>
        <v>Closed</v>
      </c>
    </row>
    <row r="488" spans="1:7" hidden="1" x14ac:dyDescent="0.35">
      <c r="A488" t="str">
        <f>Rfi[[#This Row],[Priority]]</f>
        <v>Medium</v>
      </c>
      <c r="B488">
        <f>Rfi[[#This Row],[Number]]</f>
        <v>491</v>
      </c>
      <c r="C488" t="str">
        <f>Rfi[[#This Row],[Subject]]</f>
        <v>Addition Basement wall Demensions</v>
      </c>
      <c r="D488" s="2">
        <f>Rfi[[#This Row],[Sent]]</f>
        <v>43977</v>
      </c>
      <c r="E488" s="2">
        <f ca="1">TODAY()-Table2[[#This Row],[Date Sent]]</f>
        <v>325</v>
      </c>
      <c r="F488" s="1">
        <f>Rfi[[#This Row],[Ball In Court]]</f>
        <v>0</v>
      </c>
      <c r="G488" t="str">
        <f>Rfi[[#This Row],[State]]</f>
        <v>Closed</v>
      </c>
    </row>
    <row r="489" spans="1:7" hidden="1" x14ac:dyDescent="0.35">
      <c r="A489" t="str">
        <f>Rfi[[#This Row],[Priority]]</f>
        <v>Medium</v>
      </c>
      <c r="B489">
        <f>Rfi[[#This Row],[Number]]</f>
        <v>492</v>
      </c>
      <c r="C489" t="str">
        <f>Rfi[[#This Row],[Subject]]</f>
        <v>Priesthood room speakers</v>
      </c>
      <c r="D489" s="2">
        <f>Rfi[[#This Row],[Sent]]</f>
        <v>44041</v>
      </c>
      <c r="E489" s="9">
        <f ca="1">TODAY()-Table2[[#This Row],[Date Sent]]</f>
        <v>261</v>
      </c>
      <c r="F489" s="1">
        <f>Rfi[[#This Row],[Ball In Court]]</f>
        <v>0</v>
      </c>
      <c r="G489" t="str">
        <f>Rfi[[#This Row],[State]]</f>
        <v>Closed</v>
      </c>
    </row>
    <row r="490" spans="1:7" hidden="1" x14ac:dyDescent="0.35">
      <c r="A490" t="str">
        <f>Rfi[[#This Row],[Priority]]</f>
        <v>Medium</v>
      </c>
      <c r="B490">
        <f>Rfi[[#This Row],[Number]]</f>
        <v>493</v>
      </c>
      <c r="C490" t="str">
        <f>Rfi[[#This Row],[Subject]]</f>
        <v>Historic bottom of jacket wall clarification</v>
      </c>
      <c r="D490" s="2">
        <f>Rfi[[#This Row],[Sent]]</f>
        <v>43978</v>
      </c>
      <c r="E490" s="2">
        <f ca="1">TODAY()-Table2[[#This Row],[Date Sent]]</f>
        <v>324</v>
      </c>
      <c r="F490" s="1">
        <f>Rfi[[#This Row],[Ball In Court]]</f>
        <v>0</v>
      </c>
      <c r="G490" t="str">
        <f>Rfi[[#This Row],[State]]</f>
        <v>Closed</v>
      </c>
    </row>
    <row r="491" spans="1:7" hidden="1" x14ac:dyDescent="0.35">
      <c r="A491" t="str">
        <f>Rfi[[#This Row],[Priority]]</f>
        <v>High</v>
      </c>
      <c r="B491">
        <f>Rfi[[#This Row],[Number]]</f>
        <v>494</v>
      </c>
      <c r="C491" t="str">
        <f>Rfi[[#This Row],[Subject]]</f>
        <v>Embed Depth into Addition Mat Slab</v>
      </c>
      <c r="D491" s="2">
        <f>Rfi[[#This Row],[Sent]]</f>
        <v>43978</v>
      </c>
      <c r="E491" s="2">
        <f ca="1">TODAY()-Table2[[#This Row],[Date Sent]]</f>
        <v>324</v>
      </c>
      <c r="F491" s="1">
        <f>Rfi[[#This Row],[Ball In Court]]</f>
        <v>0</v>
      </c>
      <c r="G491" t="str">
        <f>Rfi[[#This Row],[State]]</f>
        <v>Closed</v>
      </c>
    </row>
    <row r="492" spans="1:7" hidden="1" x14ac:dyDescent="0.35">
      <c r="A492" t="str">
        <f>Rfi[[#This Row],[Priority]]</f>
        <v>Medium</v>
      </c>
      <c r="B492">
        <f>Rfi[[#This Row],[Number]]</f>
        <v>495</v>
      </c>
      <c r="C492" t="str">
        <f>Rfi[[#This Row],[Subject]]</f>
        <v>3rd Floor Instruction Room, Restroom, and Corridor Ceilings</v>
      </c>
      <c r="D492" s="2">
        <f>Rfi[[#This Row],[Sent]]</f>
        <v>43979</v>
      </c>
      <c r="E492" s="2">
        <f ca="1">TODAY()-Table2[[#This Row],[Date Sent]]</f>
        <v>323</v>
      </c>
      <c r="F492" s="1">
        <f>Rfi[[#This Row],[Ball In Court]]</f>
        <v>0</v>
      </c>
      <c r="G492" t="str">
        <f>Rfi[[#This Row],[State]]</f>
        <v>Closed</v>
      </c>
    </row>
    <row r="493" spans="1:7" hidden="1" x14ac:dyDescent="0.35">
      <c r="A493" t="str">
        <f>Rfi[[#This Row],[Priority]]</f>
        <v>Medium</v>
      </c>
      <c r="B493">
        <f>Rfi[[#This Row],[Number]]</f>
        <v>496</v>
      </c>
      <c r="C493" t="str">
        <f>Rfi[[#This Row],[Subject]]</f>
        <v>Pipe and Equipment Locations</v>
      </c>
      <c r="D493" s="2">
        <f>Rfi[[#This Row],[Sent]]</f>
        <v>43998</v>
      </c>
      <c r="E493" s="2">
        <f ca="1">TODAY()-Table2[[#This Row],[Date Sent]]</f>
        <v>304</v>
      </c>
      <c r="F493" s="1">
        <f>Rfi[[#This Row],[Ball In Court]]</f>
        <v>0</v>
      </c>
      <c r="G493" t="str">
        <f>Rfi[[#This Row],[State]]</f>
        <v>Closed</v>
      </c>
    </row>
    <row r="494" spans="1:7" hidden="1" x14ac:dyDescent="0.35">
      <c r="A494" t="str">
        <f>Rfi[[#This Row],[Priority]]</f>
        <v>Medium</v>
      </c>
      <c r="B494">
        <f>Rfi[[#This Row],[Number]]</f>
        <v>497</v>
      </c>
      <c r="C494" t="str">
        <f>Rfi[[#This Row],[Subject]]</f>
        <v>Cypress Tress around the visitor center</v>
      </c>
      <c r="D494" s="2">
        <f>Rfi[[#This Row],[Sent]]</f>
        <v>43979</v>
      </c>
      <c r="E494" s="2">
        <f ca="1">TODAY()-Table2[[#This Row],[Date Sent]]</f>
        <v>323</v>
      </c>
      <c r="F494" s="1">
        <f>Rfi[[#This Row],[Ball In Court]]</f>
        <v>0</v>
      </c>
      <c r="G494" t="str">
        <f>Rfi[[#This Row],[State]]</f>
        <v>Closed</v>
      </c>
    </row>
    <row r="495" spans="1:7" hidden="1" x14ac:dyDescent="0.35">
      <c r="A495" t="str">
        <f>Rfi[[#This Row],[Priority]]</f>
        <v>High</v>
      </c>
      <c r="B495">
        <f>Rfi[[#This Row],[Number]]</f>
        <v>498</v>
      </c>
      <c r="C495" t="str">
        <f>Rfi[[#This Row],[Subject]]</f>
        <v>FSD requirements at level 2 instruction room A-3</v>
      </c>
      <c r="D495" s="2">
        <f>Rfi[[#This Row],[Sent]]</f>
        <v>43983</v>
      </c>
      <c r="E495" s="9">
        <f ca="1">TODAY()-Table2[[#This Row],[Date Sent]]</f>
        <v>319</v>
      </c>
      <c r="F495" s="1">
        <f>Rfi[[#This Row],[Ball In Court]]</f>
        <v>0</v>
      </c>
      <c r="G495" t="str">
        <f>Rfi[[#This Row],[State]]</f>
        <v>Closed</v>
      </c>
    </row>
    <row r="496" spans="1:7" hidden="1" x14ac:dyDescent="0.35">
      <c r="A496" t="str">
        <f>Rfi[[#This Row],[Priority]]</f>
        <v>Medium</v>
      </c>
      <c r="B496">
        <f>Rfi[[#This Row],[Number]]</f>
        <v>499</v>
      </c>
      <c r="C496" t="str">
        <f>Rfi[[#This Row],[Subject]]</f>
        <v>Annex level 1, RR 182</v>
      </c>
      <c r="D496" s="2">
        <f>Rfi[[#This Row],[Sent]]</f>
        <v>43983</v>
      </c>
      <c r="E496" s="2">
        <f ca="1">TODAY()-Table2[[#This Row],[Date Sent]]</f>
        <v>319</v>
      </c>
      <c r="F496" s="1">
        <f>Rfi[[#This Row],[Ball In Court]]</f>
        <v>0</v>
      </c>
      <c r="G496" t="str">
        <f>Rfi[[#This Row],[State]]</f>
        <v>Closed</v>
      </c>
    </row>
    <row r="497" spans="1:7" hidden="1" x14ac:dyDescent="0.35">
      <c r="A497" t="str">
        <f>Rfi[[#This Row],[Priority]]</f>
        <v>Medium</v>
      </c>
      <c r="B497">
        <f>Rfi[[#This Row],[Number]]</f>
        <v>500</v>
      </c>
      <c r="C497" t="str">
        <f>Rfi[[#This Row],[Subject]]</f>
        <v>Session Clocks</v>
      </c>
      <c r="D497" s="2">
        <f>Rfi[[#This Row],[Sent]]</f>
        <v>43983</v>
      </c>
      <c r="E497" s="2">
        <f ca="1">TODAY()-Table2[[#This Row],[Date Sent]]</f>
        <v>319</v>
      </c>
      <c r="F497" s="1">
        <f>Rfi[[#This Row],[Ball In Court]]</f>
        <v>0</v>
      </c>
      <c r="G497" t="str">
        <f>Rfi[[#This Row],[State]]</f>
        <v>Closed</v>
      </c>
    </row>
    <row r="498" spans="1:7" hidden="1" x14ac:dyDescent="0.35">
      <c r="A498" t="str">
        <f>Rfi[[#This Row],[Priority]]</f>
        <v>Medium</v>
      </c>
      <c r="B498">
        <f>Rfi[[#This Row],[Number]]</f>
        <v>501</v>
      </c>
      <c r="C498" t="str">
        <f>Rfi[[#This Row],[Subject]]</f>
        <v>Generator Pad</v>
      </c>
      <c r="D498" s="2">
        <f>Rfi[[#This Row],[Sent]]</f>
        <v>43983</v>
      </c>
      <c r="E498" s="2">
        <f ca="1">TODAY()-Table2[[#This Row],[Date Sent]]</f>
        <v>319</v>
      </c>
      <c r="F498" s="1">
        <f>Rfi[[#This Row],[Ball In Court]]</f>
        <v>0</v>
      </c>
      <c r="G498" t="str">
        <f>Rfi[[#This Row],[State]]</f>
        <v>Closed</v>
      </c>
    </row>
    <row r="499" spans="1:7" hidden="1" x14ac:dyDescent="0.35">
      <c r="A499" t="str">
        <f>Rfi[[#This Row],[Priority]]</f>
        <v>High</v>
      </c>
      <c r="B499">
        <f>Rfi[[#This Row],[Number]]</f>
        <v>502</v>
      </c>
      <c r="C499" t="str">
        <f>Rfi[[#This Row],[Subject]]</f>
        <v>Ceiling Layout CCD 19 vs ASI 10</v>
      </c>
      <c r="D499" s="2">
        <f>Rfi[[#This Row],[Sent]]</f>
        <v>43984</v>
      </c>
      <c r="E499" s="2">
        <f ca="1">TODAY()-Table2[[#This Row],[Date Sent]]</f>
        <v>318</v>
      </c>
      <c r="F499" s="1">
        <f>Rfi[[#This Row],[Ball In Court]]</f>
        <v>0</v>
      </c>
      <c r="G499" t="str">
        <f>Rfi[[#This Row],[State]]</f>
        <v>Closed</v>
      </c>
    </row>
    <row r="500" spans="1:7" hidden="1" x14ac:dyDescent="0.35">
      <c r="A500" t="str">
        <f>Rfi[[#This Row],[Priority]]</f>
        <v>High</v>
      </c>
      <c r="B500">
        <f>Rfi[[#This Row],[Number]]</f>
        <v>503</v>
      </c>
      <c r="C500" t="str">
        <f>Rfi[[#This Row],[Subject]]</f>
        <v>East Center Rooms Beam Locations</v>
      </c>
      <c r="D500" s="2">
        <f>Rfi[[#This Row],[Sent]]</f>
        <v>43991</v>
      </c>
      <c r="E500" s="2">
        <f ca="1">TODAY()-Table2[[#This Row],[Date Sent]]</f>
        <v>311</v>
      </c>
      <c r="F500" s="1">
        <f>Rfi[[#This Row],[Ball In Court]]</f>
        <v>0</v>
      </c>
      <c r="G500" t="str">
        <f>Rfi[[#This Row],[State]]</f>
        <v>Closed</v>
      </c>
    </row>
    <row r="501" spans="1:7" hidden="1" x14ac:dyDescent="0.35">
      <c r="A501" t="str">
        <f>Rfi[[#This Row],[Priority]]</f>
        <v>Medium</v>
      </c>
      <c r="B501">
        <f>Rfi[[#This Row],[Number]]</f>
        <v>504</v>
      </c>
      <c r="C501" t="str">
        <f>Rfi[[#This Row],[Subject]]</f>
        <v>Epoxy for Detail 4/S244</v>
      </c>
      <c r="D501" s="2">
        <f>Rfi[[#This Row],[Sent]]</f>
        <v>43984</v>
      </c>
      <c r="E501" s="2">
        <f ca="1">TODAY()-Table2[[#This Row],[Date Sent]]</f>
        <v>318</v>
      </c>
      <c r="F501" s="1">
        <f>Rfi[[#This Row],[Ball In Court]]</f>
        <v>0</v>
      </c>
      <c r="G501" t="str">
        <f>Rfi[[#This Row],[State]]</f>
        <v>Closed</v>
      </c>
    </row>
    <row r="502" spans="1:7" hidden="1" x14ac:dyDescent="0.35">
      <c r="A502" t="str">
        <f>Rfi[[#This Row],[Priority]]</f>
        <v>Medium</v>
      </c>
      <c r="B502">
        <f>Rfi[[#This Row],[Number]]</f>
        <v>505</v>
      </c>
      <c r="C502" t="str">
        <f>Rfi[[#This Row],[Subject]]</f>
        <v>Level 4 Base Replacement</v>
      </c>
      <c r="D502" s="2">
        <f>Rfi[[#This Row],[Sent]]</f>
        <v>43998</v>
      </c>
      <c r="E502" s="2">
        <f ca="1">TODAY()-Table2[[#This Row],[Date Sent]]</f>
        <v>304</v>
      </c>
      <c r="F502" s="1">
        <f>Rfi[[#This Row],[Ball In Court]]</f>
        <v>0</v>
      </c>
      <c r="G502" t="str">
        <f>Rfi[[#This Row],[State]]</f>
        <v>Closed</v>
      </c>
    </row>
    <row r="503" spans="1:7" hidden="1" x14ac:dyDescent="0.35">
      <c r="A503" t="str">
        <f>Rfi[[#This Row],[Priority]]</f>
        <v>Medium</v>
      </c>
      <c r="B503">
        <f>Rfi[[#This Row],[Number]]</f>
        <v>506</v>
      </c>
      <c r="C503" t="str">
        <f>Rfi[[#This Row],[Subject]]</f>
        <v>Joist Support at Stairs to Tower</v>
      </c>
      <c r="D503" s="2">
        <f>Rfi[[#This Row],[Sent]]</f>
        <v>43984</v>
      </c>
      <c r="E503" s="2">
        <f ca="1">TODAY()-Table2[[#This Row],[Date Sent]]</f>
        <v>318</v>
      </c>
      <c r="F503" s="1">
        <f>Rfi[[#This Row],[Ball In Court]]</f>
        <v>0</v>
      </c>
      <c r="G503" t="str">
        <f>Rfi[[#This Row],[State]]</f>
        <v>Closed</v>
      </c>
    </row>
    <row r="504" spans="1:7" hidden="1" x14ac:dyDescent="0.35">
      <c r="A504" t="str">
        <f>Rfi[[#This Row],[Priority]]</f>
        <v>Medium</v>
      </c>
      <c r="B504">
        <f>Rfi[[#This Row],[Number]]</f>
        <v>507</v>
      </c>
      <c r="C504" t="str">
        <f>Rfi[[#This Row],[Subject]]</f>
        <v>Infill West Side on HF.2</v>
      </c>
      <c r="D504" s="2">
        <f>Rfi[[#This Row],[Sent]]</f>
        <v>43984</v>
      </c>
      <c r="E504" s="2">
        <f ca="1">TODAY()-Table2[[#This Row],[Date Sent]]</f>
        <v>318</v>
      </c>
      <c r="F504" s="1">
        <f>Rfi[[#This Row],[Ball In Court]]</f>
        <v>0</v>
      </c>
      <c r="G504" t="str">
        <f>Rfi[[#This Row],[State]]</f>
        <v>Closed</v>
      </c>
    </row>
    <row r="505" spans="1:7" hidden="1" x14ac:dyDescent="0.35">
      <c r="A505" t="str">
        <f>Rfi[[#This Row],[Priority]]</f>
        <v>Medium</v>
      </c>
      <c r="B505">
        <f>Rfi[[#This Row],[Number]]</f>
        <v>508</v>
      </c>
      <c r="C505" t="str">
        <f>Rfi[[#This Row],[Subject]]</f>
        <v>Anchoring Audience Seating</v>
      </c>
      <c r="D505" s="2">
        <f>Rfi[[#This Row],[Sent]]</f>
        <v>43984</v>
      </c>
      <c r="E505" s="2">
        <f ca="1">TODAY()-Table2[[#This Row],[Date Sent]]</f>
        <v>318</v>
      </c>
      <c r="F505" s="1">
        <f>Rfi[[#This Row],[Ball In Court]]</f>
        <v>0</v>
      </c>
      <c r="G505" t="str">
        <f>Rfi[[#This Row],[State]]</f>
        <v>Closed</v>
      </c>
    </row>
    <row r="506" spans="1:7" hidden="1" x14ac:dyDescent="0.35">
      <c r="A506" t="str">
        <f>Rfi[[#This Row],[Priority]]</f>
        <v>Medium</v>
      </c>
      <c r="B506">
        <f>Rfi[[#This Row],[Number]]</f>
        <v>509</v>
      </c>
      <c r="C506" t="str">
        <f>Rfi[[#This Row],[Subject]]</f>
        <v>Center Room East-side I-beam Install</v>
      </c>
      <c r="D506" s="2">
        <f>Rfi[[#This Row],[Sent]]</f>
        <v>43985</v>
      </c>
      <c r="E506" s="2">
        <f ca="1">TODAY()-Table2[[#This Row],[Date Sent]]</f>
        <v>317</v>
      </c>
      <c r="F506" s="1">
        <f>Rfi[[#This Row],[Ball In Court]]</f>
        <v>0</v>
      </c>
      <c r="G506" t="str">
        <f>Rfi[[#This Row],[State]]</f>
        <v>Closed</v>
      </c>
    </row>
    <row r="507" spans="1:7" hidden="1" x14ac:dyDescent="0.35">
      <c r="A507" t="str">
        <f>Rfi[[#This Row],[Priority]]</f>
        <v>Medium</v>
      </c>
      <c r="B507">
        <f>Rfi[[#This Row],[Number]]</f>
        <v>510</v>
      </c>
      <c r="C507" t="str">
        <f>Rfi[[#This Row],[Subject]]</f>
        <v>conduit and Floor boxes recessed in pan deck concert slab</v>
      </c>
      <c r="D507" s="2">
        <f>Rfi[[#This Row],[Sent]]</f>
        <v>43985</v>
      </c>
      <c r="E507" s="2">
        <f ca="1">TODAY()-Table2[[#This Row],[Date Sent]]</f>
        <v>317</v>
      </c>
      <c r="F507" s="1">
        <f>Rfi[[#This Row],[Ball In Court]]</f>
        <v>0</v>
      </c>
      <c r="G507" t="str">
        <f>Rfi[[#This Row],[State]]</f>
        <v>Closed</v>
      </c>
    </row>
    <row r="508" spans="1:7" hidden="1" x14ac:dyDescent="0.35">
      <c r="A508" t="str">
        <f>Rfi[[#This Row],[Priority]]</f>
        <v>Medium</v>
      </c>
      <c r="B508">
        <f>Rfi[[#This Row],[Number]]</f>
        <v>511</v>
      </c>
      <c r="C508" t="str">
        <f>Rfi[[#This Row],[Subject]]</f>
        <v>Chandelier supports at LVL'S</v>
      </c>
      <c r="D508" s="2">
        <f>Rfi[[#This Row],[Sent]]</f>
        <v>43985</v>
      </c>
      <c r="E508" s="2">
        <f ca="1">TODAY()-Table2[[#This Row],[Date Sent]]</f>
        <v>317</v>
      </c>
      <c r="F508" s="1">
        <f>Rfi[[#This Row],[Ball In Court]]</f>
        <v>0</v>
      </c>
      <c r="G508" t="str">
        <f>Rfi[[#This Row],[State]]</f>
        <v>Closed</v>
      </c>
    </row>
    <row r="509" spans="1:7" hidden="1" x14ac:dyDescent="0.35">
      <c r="A509" t="str">
        <f>Rfi[[#This Row],[Priority]]</f>
        <v>Medium</v>
      </c>
      <c r="B509">
        <f>Rfi[[#This Row],[Number]]</f>
        <v>512</v>
      </c>
      <c r="C509" t="str">
        <f>Rfi[[#This Row],[Subject]]</f>
        <v>Poke-Thru's and Floor Boxes</v>
      </c>
      <c r="D509" s="2">
        <f>Rfi[[#This Row],[Sent]]</f>
        <v>43985</v>
      </c>
      <c r="E509" s="2">
        <f ca="1">TODAY()-Table2[[#This Row],[Date Sent]]</f>
        <v>317</v>
      </c>
      <c r="F509" s="1">
        <f>Rfi[[#This Row],[Ball In Court]]</f>
        <v>0</v>
      </c>
      <c r="G509" t="str">
        <f>Rfi[[#This Row],[State]]</f>
        <v>Closed</v>
      </c>
    </row>
    <row r="510" spans="1:7" hidden="1" x14ac:dyDescent="0.35">
      <c r="A510" t="str">
        <f>Rfi[[#This Row],[Priority]]</f>
        <v>High</v>
      </c>
      <c r="B510">
        <f>Rfi[[#This Row],[Number]]</f>
        <v>513</v>
      </c>
      <c r="C510" t="str">
        <f>Rfi[[#This Row],[Subject]]</f>
        <v>Historic column dowel embedment detail 1/S248</v>
      </c>
      <c r="D510" s="2">
        <f>Rfi[[#This Row],[Sent]]</f>
        <v>43985</v>
      </c>
      <c r="E510" s="2">
        <f ca="1">TODAY()-Table2[[#This Row],[Date Sent]]</f>
        <v>317</v>
      </c>
      <c r="F510" s="1">
        <f>Rfi[[#This Row],[Ball In Court]]</f>
        <v>0</v>
      </c>
      <c r="G510" t="str">
        <f>Rfi[[#This Row],[State]]</f>
        <v>Closed</v>
      </c>
    </row>
    <row r="511" spans="1:7" hidden="1" x14ac:dyDescent="0.35">
      <c r="A511" t="str">
        <f>Rfi[[#This Row],[Priority]]</f>
        <v>High</v>
      </c>
      <c r="B511">
        <f>Rfi[[#This Row],[Number]]</f>
        <v>514</v>
      </c>
      <c r="C511" t="str">
        <f>Rfi[[#This Row],[Subject]]</f>
        <v>5th Floor Chandelier Supports</v>
      </c>
      <c r="D511" s="2">
        <f>Rfi[[#This Row],[Sent]]</f>
        <v>43985</v>
      </c>
      <c r="E511" s="2">
        <f ca="1">TODAY()-Table2[[#This Row],[Date Sent]]</f>
        <v>317</v>
      </c>
      <c r="F511" s="1">
        <f>Rfi[[#This Row],[Ball In Court]]</f>
        <v>0</v>
      </c>
      <c r="G511" t="str">
        <f>Rfi[[#This Row],[State]]</f>
        <v>Closed</v>
      </c>
    </row>
    <row r="512" spans="1:7" hidden="1" x14ac:dyDescent="0.35">
      <c r="A512" t="str">
        <f>Rfi[[#This Row],[Priority]]</f>
        <v>Medium</v>
      </c>
      <c r="B512">
        <f>Rfi[[#This Row],[Number]]</f>
        <v>515</v>
      </c>
      <c r="C512" t="str">
        <f>Rfi[[#This Row],[Subject]]</f>
        <v>Non-Square Rooms Level 5</v>
      </c>
      <c r="D512" s="2">
        <f>Rfi[[#This Row],[Sent]]</f>
        <v>43986</v>
      </c>
      <c r="E512" s="2">
        <f ca="1">TODAY()-Table2[[#This Row],[Date Sent]]</f>
        <v>316</v>
      </c>
      <c r="F512" s="1">
        <f>Rfi[[#This Row],[Ball In Court]]</f>
        <v>0</v>
      </c>
      <c r="G512" t="str">
        <f>Rfi[[#This Row],[State]]</f>
        <v>Closed</v>
      </c>
    </row>
    <row r="513" spans="1:7" hidden="1" x14ac:dyDescent="0.35">
      <c r="A513" t="str">
        <f>Rfi[[#This Row],[Priority]]</f>
        <v>Medium</v>
      </c>
      <c r="B513">
        <f>Rfi[[#This Row],[Number]]</f>
        <v>516</v>
      </c>
      <c r="C513" t="str">
        <f>Rfi[[#This Row],[Subject]]</f>
        <v>Communication conduit from Main MDF to Visitor Center</v>
      </c>
      <c r="D513" s="2">
        <f>Rfi[[#This Row],[Sent]]</f>
        <v>43987</v>
      </c>
      <c r="E513" s="2">
        <f ca="1">TODAY()-Table2[[#This Row],[Date Sent]]</f>
        <v>315</v>
      </c>
      <c r="F513" s="1">
        <f>Rfi[[#This Row],[Ball In Court]]</f>
        <v>0</v>
      </c>
      <c r="G513" t="str">
        <f>Rfi[[#This Row],[State]]</f>
        <v>Closed</v>
      </c>
    </row>
    <row r="514" spans="1:7" hidden="1" x14ac:dyDescent="0.35">
      <c r="A514" t="str">
        <f>Rfi[[#This Row],[Priority]]</f>
        <v>Medium</v>
      </c>
      <c r="B514">
        <f>Rfi[[#This Row],[Number]]</f>
        <v>517</v>
      </c>
      <c r="C514" t="str">
        <f>Rfi[[#This Row],[Subject]]</f>
        <v>Wood Stairs</v>
      </c>
      <c r="D514" s="2">
        <f>Rfi[[#This Row],[Sent]]</f>
        <v>43987</v>
      </c>
      <c r="E514" s="2">
        <f ca="1">TODAY()-Table2[[#This Row],[Date Sent]]</f>
        <v>315</v>
      </c>
      <c r="F514" s="1">
        <f>Rfi[[#This Row],[Ball In Court]]</f>
        <v>0</v>
      </c>
      <c r="G514" t="str">
        <f>Rfi[[#This Row],[State]]</f>
        <v>Closed</v>
      </c>
    </row>
    <row r="515" spans="1:7" hidden="1" x14ac:dyDescent="0.35">
      <c r="A515" t="str">
        <f>Rfi[[#This Row],[Priority]]</f>
        <v>Medium</v>
      </c>
      <c r="B515">
        <f>Rfi[[#This Row],[Number]]</f>
        <v>518</v>
      </c>
      <c r="C515" t="str">
        <f>Rfi[[#This Row],[Subject]]</f>
        <v>Wood Stairs</v>
      </c>
      <c r="D515" s="2">
        <f>Rfi[[#This Row],[Sent]]</f>
        <v>43987</v>
      </c>
      <c r="E515" s="2">
        <f ca="1">TODAY()-Table2[[#This Row],[Date Sent]]</f>
        <v>315</v>
      </c>
      <c r="F515" s="1">
        <f>Rfi[[#This Row],[Ball In Court]]</f>
        <v>0</v>
      </c>
      <c r="G515" t="str">
        <f>Rfi[[#This Row],[State]]</f>
        <v>Closed</v>
      </c>
    </row>
    <row r="516" spans="1:7" hidden="1" x14ac:dyDescent="0.35">
      <c r="A516" t="str">
        <f>Rfi[[#This Row],[Priority]]</f>
        <v>High</v>
      </c>
      <c r="B516">
        <f>Rfi[[#This Row],[Number]]</f>
        <v>519</v>
      </c>
      <c r="C516" t="str">
        <f>Rfi[[#This Row],[Subject]]</f>
        <v>Wood Stairs Sample</v>
      </c>
      <c r="D516" s="2">
        <f>Rfi[[#This Row],[Sent]]</f>
        <v>44168</v>
      </c>
      <c r="E516" s="9">
        <f ca="1">TODAY()-Table2[[#This Row],[Date Sent]]</f>
        <v>134</v>
      </c>
      <c r="F516" s="1">
        <f>Rfi[[#This Row],[Ball In Court]]</f>
        <v>0</v>
      </c>
      <c r="G516" t="str">
        <f>Rfi[[#This Row],[State]]</f>
        <v>Closed</v>
      </c>
    </row>
    <row r="517" spans="1:7" hidden="1" x14ac:dyDescent="0.35">
      <c r="A517" t="str">
        <f>Rfi[[#This Row],[Priority]]</f>
        <v>Medium</v>
      </c>
      <c r="B517">
        <f>Rfi[[#This Row],[Number]]</f>
        <v>520</v>
      </c>
      <c r="C517" t="str">
        <f>Rfi[[#This Row],[Subject]]</f>
        <v>Wood Stairs</v>
      </c>
      <c r="D517" s="2">
        <f>Rfi[[#This Row],[Sent]]</f>
        <v>43987</v>
      </c>
      <c r="E517" s="2">
        <f ca="1">TODAY()-Table2[[#This Row],[Date Sent]]</f>
        <v>315</v>
      </c>
      <c r="F517" s="1">
        <f>Rfi[[#This Row],[Ball In Court]]</f>
        <v>0</v>
      </c>
      <c r="G517" t="str">
        <f>Rfi[[#This Row],[State]]</f>
        <v>Closed</v>
      </c>
    </row>
    <row r="518" spans="1:7" hidden="1" x14ac:dyDescent="0.35">
      <c r="A518" t="str">
        <f>Rfi[[#This Row],[Priority]]</f>
        <v>Medium</v>
      </c>
      <c r="B518">
        <f>Rfi[[#This Row],[Number]]</f>
        <v>521</v>
      </c>
      <c r="C518" t="str">
        <f>Rfi[[#This Row],[Subject]]</f>
        <v>Wood Stairs</v>
      </c>
      <c r="D518" s="2">
        <f>Rfi[[#This Row],[Sent]]</f>
        <v>43987</v>
      </c>
      <c r="E518" s="2">
        <f ca="1">TODAY()-Table2[[#This Row],[Date Sent]]</f>
        <v>315</v>
      </c>
      <c r="F518" s="1">
        <f>Rfi[[#This Row],[Ball In Court]]</f>
        <v>0</v>
      </c>
      <c r="G518" t="str">
        <f>Rfi[[#This Row],[State]]</f>
        <v>Closed</v>
      </c>
    </row>
    <row r="519" spans="1:7" hidden="1" x14ac:dyDescent="0.35">
      <c r="A519" t="str">
        <f>Rfi[[#This Row],[Priority]]</f>
        <v>Medium</v>
      </c>
      <c r="B519">
        <f>Rfi[[#This Row],[Number]]</f>
        <v>522</v>
      </c>
      <c r="C519" t="str">
        <f>Rfi[[#This Row],[Subject]]</f>
        <v>VAV sizing concerns</v>
      </c>
      <c r="D519" s="2">
        <f>Rfi[[#This Row],[Sent]]</f>
        <v>43987</v>
      </c>
      <c r="E519" s="2">
        <f ca="1">TODAY()-Table2[[#This Row],[Date Sent]]</f>
        <v>315</v>
      </c>
      <c r="F519" s="1">
        <f>Rfi[[#This Row],[Ball In Court]]</f>
        <v>0</v>
      </c>
      <c r="G519" t="str">
        <f>Rfi[[#This Row],[State]]</f>
        <v>Closed</v>
      </c>
    </row>
    <row r="520" spans="1:7" hidden="1" x14ac:dyDescent="0.35">
      <c r="A520" t="str">
        <f>Rfi[[#This Row],[Priority]]</f>
        <v>Medium</v>
      </c>
      <c r="B520">
        <f>Rfi[[#This Row],[Number]]</f>
        <v>523</v>
      </c>
      <c r="C520" t="str">
        <f>Rfi[[#This Row],[Subject]]</f>
        <v>Wood Stairs</v>
      </c>
      <c r="D520" s="2">
        <f>Rfi[[#This Row],[Sent]]</f>
        <v>43987</v>
      </c>
      <c r="E520" s="2">
        <f ca="1">TODAY()-Table2[[#This Row],[Date Sent]]</f>
        <v>315</v>
      </c>
      <c r="F520" s="1">
        <f>Rfi[[#This Row],[Ball In Court]]</f>
        <v>0</v>
      </c>
      <c r="G520" t="str">
        <f>Rfi[[#This Row],[State]]</f>
        <v>Closed</v>
      </c>
    </row>
    <row r="521" spans="1:7" hidden="1" x14ac:dyDescent="0.35">
      <c r="A521" t="str">
        <f>Rfi[[#This Row],[Priority]]</f>
        <v>High</v>
      </c>
      <c r="B521">
        <f>Rfi[[#This Row],[Number]]</f>
        <v>524</v>
      </c>
      <c r="C521" t="str">
        <f>Rfi[[#This Row],[Subject]]</f>
        <v>Missing FSD's at Level 0.5</v>
      </c>
      <c r="D521" s="2">
        <f>Rfi[[#This Row],[Sent]]</f>
        <v>44103</v>
      </c>
      <c r="E521" s="9">
        <f ca="1">TODAY()-Table2[[#This Row],[Date Sent]]</f>
        <v>199</v>
      </c>
      <c r="F521" s="1">
        <f>Rfi[[#This Row],[Ball In Court]]</f>
        <v>0</v>
      </c>
      <c r="G521" t="str">
        <f>Rfi[[#This Row],[State]]</f>
        <v>Closed</v>
      </c>
    </row>
    <row r="522" spans="1:7" hidden="1" x14ac:dyDescent="0.35">
      <c r="A522" t="str">
        <f>Rfi[[#This Row],[Priority]]</f>
        <v>Medium</v>
      </c>
      <c r="B522">
        <f>Rfi[[#This Row],[Number]]</f>
        <v>525</v>
      </c>
      <c r="C522" t="str">
        <f>Rfi[[#This Row],[Subject]]</f>
        <v>CCD 35's Impacts on Ceilings</v>
      </c>
      <c r="D522" s="2">
        <f>Rfi[[#This Row],[Sent]]</f>
        <v>43987</v>
      </c>
      <c r="E522" s="2">
        <f ca="1">TODAY()-Table2[[#This Row],[Date Sent]]</f>
        <v>315</v>
      </c>
      <c r="F522" s="1">
        <f>Rfi[[#This Row],[Ball In Court]]</f>
        <v>0</v>
      </c>
      <c r="G522" t="str">
        <f>Rfi[[#This Row],[State]]</f>
        <v>Closed</v>
      </c>
    </row>
    <row r="523" spans="1:7" hidden="1" x14ac:dyDescent="0.35">
      <c r="A523" t="str">
        <f>Rfi[[#This Row],[Priority]]</f>
        <v>Medium</v>
      </c>
      <c r="B523">
        <f>Rfi[[#This Row],[Number]]</f>
        <v>526</v>
      </c>
      <c r="C523" t="str">
        <f>Rfi[[#This Row],[Subject]]</f>
        <v>400 South Site Fence</v>
      </c>
      <c r="D523" s="2">
        <f>Rfi[[#This Row],[Sent]]</f>
        <v>44096</v>
      </c>
      <c r="E523" s="2">
        <f ca="1">TODAY()-Table2[[#This Row],[Date Sent]]</f>
        <v>206</v>
      </c>
      <c r="F523" s="1">
        <f>Rfi[[#This Row],[Ball In Court]]</f>
        <v>0</v>
      </c>
      <c r="G523" t="str">
        <f>Rfi[[#This Row],[State]]</f>
        <v>Closed</v>
      </c>
    </row>
    <row r="524" spans="1:7" hidden="1" x14ac:dyDescent="0.35">
      <c r="A524" t="str">
        <f>Rfi[[#This Row],[Priority]]</f>
        <v>High</v>
      </c>
      <c r="B524">
        <f>Rfi[[#This Row],[Number]]</f>
        <v>528</v>
      </c>
      <c r="C524" t="str">
        <f>Rfi[[#This Row],[Subject]]</f>
        <v>500 South and 200 East Site Fence/Gates</v>
      </c>
      <c r="D524" s="2">
        <f>Rfi[[#This Row],[Sent]]</f>
        <v>44112</v>
      </c>
      <c r="E524" s="2">
        <f ca="1">TODAY()-Table2[[#This Row],[Date Sent]]</f>
        <v>190</v>
      </c>
      <c r="F524" s="1">
        <f>Rfi[[#This Row],[Ball In Court]]</f>
        <v>0</v>
      </c>
      <c r="G524" t="str">
        <f>Rfi[[#This Row],[State]]</f>
        <v>Closed</v>
      </c>
    </row>
    <row r="525" spans="1:7" hidden="1" x14ac:dyDescent="0.35">
      <c r="A525" t="str">
        <f>Rfi[[#This Row],[Priority]]</f>
        <v>High</v>
      </c>
      <c r="B525">
        <f>Rfi[[#This Row],[Number]]</f>
        <v>529</v>
      </c>
      <c r="C525" t="str">
        <f>Rfi[[#This Row],[Subject]]</f>
        <v>Embed and Through Bolt Clash</v>
      </c>
      <c r="D525" s="2">
        <f>Rfi[[#This Row],[Sent]]</f>
        <v>43990</v>
      </c>
      <c r="E525" s="2">
        <f ca="1">TODAY()-Table2[[#This Row],[Date Sent]]</f>
        <v>312</v>
      </c>
      <c r="F525" s="1">
        <f>Rfi[[#This Row],[Ball In Court]]</f>
        <v>0</v>
      </c>
      <c r="G525" t="str">
        <f>Rfi[[#This Row],[State]]</f>
        <v>Closed</v>
      </c>
    </row>
    <row r="526" spans="1:7" hidden="1" x14ac:dyDescent="0.35">
      <c r="A526" t="str">
        <f>Rfi[[#This Row],[Priority]]</f>
        <v>High</v>
      </c>
      <c r="B526">
        <f>Rfi[[#This Row],[Number]]</f>
        <v>530</v>
      </c>
      <c r="C526" t="str">
        <f>Rfi[[#This Row],[Subject]]</f>
        <v>Chandlers Center Lever 4</v>
      </c>
      <c r="D526" s="2">
        <f>Rfi[[#This Row],[Sent]]</f>
        <v>43990</v>
      </c>
      <c r="E526" s="2">
        <f ca="1">TODAY()-Table2[[#This Row],[Date Sent]]</f>
        <v>312</v>
      </c>
      <c r="F526" s="1">
        <f>Rfi[[#This Row],[Ball In Court]]</f>
        <v>0</v>
      </c>
      <c r="G526" t="str">
        <f>Rfi[[#This Row],[State]]</f>
        <v>Closed</v>
      </c>
    </row>
    <row r="527" spans="1:7" hidden="1" x14ac:dyDescent="0.35">
      <c r="A527" t="str">
        <f>Rfi[[#This Row],[Priority]]</f>
        <v>Medium</v>
      </c>
      <c r="B527">
        <f>Rfi[[#This Row],[Number]]</f>
        <v>531</v>
      </c>
      <c r="C527" t="str">
        <f>Rfi[[#This Row],[Subject]]</f>
        <v>Roof Trusses New Construction vs Existing</v>
      </c>
      <c r="D527" s="2">
        <f>Rfi[[#This Row],[Sent]]</f>
        <v>43990</v>
      </c>
      <c r="E527" s="2">
        <f ca="1">TODAY()-Table2[[#This Row],[Date Sent]]</f>
        <v>312</v>
      </c>
      <c r="F527" s="1">
        <f>Rfi[[#This Row],[Ball In Court]]</f>
        <v>0</v>
      </c>
      <c r="G527" t="str">
        <f>Rfi[[#This Row],[State]]</f>
        <v>Closed</v>
      </c>
    </row>
    <row r="528" spans="1:7" hidden="1" x14ac:dyDescent="0.35">
      <c r="A528" t="str">
        <f>Rfi[[#This Row],[Priority]]</f>
        <v>Medium</v>
      </c>
      <c r="B528">
        <f>Rfi[[#This Row],[Number]]</f>
        <v>532</v>
      </c>
      <c r="C528" t="str">
        <f>Rfi[[#This Row],[Subject]]</f>
        <v>Concrete encased duct</v>
      </c>
      <c r="D528" s="2">
        <f>Rfi[[#This Row],[Sent]]</f>
        <v>43990</v>
      </c>
      <c r="E528" s="2">
        <f ca="1">TODAY()-Table2[[#This Row],[Date Sent]]</f>
        <v>312</v>
      </c>
      <c r="F528" s="1">
        <f>Rfi[[#This Row],[Ball In Court]]</f>
        <v>0</v>
      </c>
      <c r="G528" t="str">
        <f>Rfi[[#This Row],[State]]</f>
        <v>Closed</v>
      </c>
    </row>
    <row r="529" spans="1:7" hidden="1" x14ac:dyDescent="0.35">
      <c r="A529" t="str">
        <f>Rfi[[#This Row],[Priority]]</f>
        <v>Medium</v>
      </c>
      <c r="B529">
        <f>Rfi[[#This Row],[Number]]</f>
        <v>533</v>
      </c>
      <c r="C529" t="str">
        <f>Rfi[[#This Row],[Subject]]</f>
        <v>Joist Removed for HSS Level 2</v>
      </c>
      <c r="D529" s="2">
        <f>Rfi[[#This Row],[Sent]]</f>
        <v>43990</v>
      </c>
      <c r="E529" s="2">
        <f ca="1">TODAY()-Table2[[#This Row],[Date Sent]]</f>
        <v>312</v>
      </c>
      <c r="F529" s="1">
        <f>Rfi[[#This Row],[Ball In Court]]</f>
        <v>0</v>
      </c>
      <c r="G529" t="str">
        <f>Rfi[[#This Row],[State]]</f>
        <v>Closed</v>
      </c>
    </row>
    <row r="530" spans="1:7" hidden="1" x14ac:dyDescent="0.35">
      <c r="A530" t="str">
        <f>Rfi[[#This Row],[Priority]]</f>
        <v>Medium</v>
      </c>
      <c r="B530">
        <f>Rfi[[#This Row],[Number]]</f>
        <v>534</v>
      </c>
      <c r="C530" t="str">
        <f>Rfi[[#This Row],[Subject]]</f>
        <v>Room 309-Low wall HVAC return</v>
      </c>
      <c r="D530" s="2">
        <f>Rfi[[#This Row],[Sent]]</f>
        <v>43990</v>
      </c>
      <c r="E530" s="2">
        <f ca="1">TODAY()-Table2[[#This Row],[Date Sent]]</f>
        <v>312</v>
      </c>
      <c r="F530" s="1">
        <f>Rfi[[#This Row],[Ball In Court]]</f>
        <v>0</v>
      </c>
      <c r="G530" t="str">
        <f>Rfi[[#This Row],[State]]</f>
        <v>Closed</v>
      </c>
    </row>
    <row r="531" spans="1:7" hidden="1" x14ac:dyDescent="0.35">
      <c r="A531" t="str">
        <f>Rfi[[#This Row],[Priority]]</f>
        <v>Medium</v>
      </c>
      <c r="B531">
        <f>Rfi[[#This Row],[Number]]</f>
        <v>535</v>
      </c>
      <c r="C531" t="str">
        <f>Rfi[[#This Row],[Subject]]</f>
        <v>Duct and Ceiling Elevation Conflict at Electrical Room 315</v>
      </c>
      <c r="D531" s="2">
        <f>Rfi[[#This Row],[Sent]]</f>
        <v>43991</v>
      </c>
      <c r="E531" s="2">
        <f ca="1">TODAY()-Table2[[#This Row],[Date Sent]]</f>
        <v>311</v>
      </c>
      <c r="F531" s="1">
        <f>Rfi[[#This Row],[Ball In Court]]</f>
        <v>0</v>
      </c>
      <c r="G531" t="str">
        <f>Rfi[[#This Row],[State]]</f>
        <v>Closed</v>
      </c>
    </row>
    <row r="532" spans="1:7" hidden="1" x14ac:dyDescent="0.35">
      <c r="A532" t="str">
        <f>Rfi[[#This Row],[Priority]]</f>
        <v>Medium</v>
      </c>
      <c r="B532">
        <f>Rfi[[#This Row],[Number]]</f>
        <v>536</v>
      </c>
      <c r="C532" t="str">
        <f>Rfi[[#This Row],[Subject]]</f>
        <v>7-8” of Gravel Under Historical Mat Slab</v>
      </c>
      <c r="D532" s="2">
        <f>Rfi[[#This Row],[Sent]]</f>
        <v>43991</v>
      </c>
      <c r="E532" s="2">
        <f ca="1">TODAY()-Table2[[#This Row],[Date Sent]]</f>
        <v>311</v>
      </c>
      <c r="F532" s="1">
        <f>Rfi[[#This Row],[Ball In Court]]</f>
        <v>0</v>
      </c>
      <c r="G532" t="str">
        <f>Rfi[[#This Row],[State]]</f>
        <v>Closed</v>
      </c>
    </row>
    <row r="533" spans="1:7" hidden="1" x14ac:dyDescent="0.35">
      <c r="A533" t="str">
        <f>Rfi[[#This Row],[Priority]]</f>
        <v>Medium</v>
      </c>
      <c r="B533">
        <f>Rfi[[#This Row],[Number]]</f>
        <v>537</v>
      </c>
      <c r="C533" t="str">
        <f>Rfi[[#This Row],[Subject]]</f>
        <v>Attic Catwalk East End</v>
      </c>
      <c r="D533" s="2">
        <f>Rfi[[#This Row],[Sent]]</f>
        <v>43991</v>
      </c>
      <c r="E533" s="2">
        <f ca="1">TODAY()-Table2[[#This Row],[Date Sent]]</f>
        <v>311</v>
      </c>
      <c r="F533" s="1">
        <f>Rfi[[#This Row],[Ball In Court]]</f>
        <v>0</v>
      </c>
      <c r="G533" t="str">
        <f>Rfi[[#This Row],[State]]</f>
        <v>Closed</v>
      </c>
    </row>
    <row r="534" spans="1:7" hidden="1" x14ac:dyDescent="0.35">
      <c r="A534" t="str">
        <f>Rfi[[#This Row],[Priority]]</f>
        <v>High</v>
      </c>
      <c r="B534">
        <f>Rfi[[#This Row],[Number]]</f>
        <v>538</v>
      </c>
      <c r="C534" t="str">
        <f>Rfi[[#This Row],[Subject]]</f>
        <v>HSS Under Wide Flange Gridline HC</v>
      </c>
      <c r="D534" s="2">
        <f>Rfi[[#This Row],[Sent]]</f>
        <v>43992</v>
      </c>
      <c r="E534" s="2">
        <f ca="1">TODAY()-Table2[[#This Row],[Date Sent]]</f>
        <v>310</v>
      </c>
      <c r="F534" s="1">
        <f>Rfi[[#This Row],[Ball In Court]]</f>
        <v>0</v>
      </c>
      <c r="G534" t="str">
        <f>Rfi[[#This Row],[State]]</f>
        <v>Closed</v>
      </c>
    </row>
    <row r="535" spans="1:7" hidden="1" x14ac:dyDescent="0.35">
      <c r="A535" t="str">
        <f>Rfi[[#This Row],[Priority]]</f>
        <v>Medium</v>
      </c>
      <c r="B535">
        <f>Rfi[[#This Row],[Number]]</f>
        <v>539</v>
      </c>
      <c r="C535" t="str">
        <f>Rfi[[#This Row],[Subject]]</f>
        <v>Font Witness Platform Stone Deck</v>
      </c>
      <c r="D535" s="2">
        <f>Rfi[[#This Row],[Sent]]</f>
        <v>43992</v>
      </c>
      <c r="E535" s="2">
        <f ca="1">TODAY()-Table2[[#This Row],[Date Sent]]</f>
        <v>310</v>
      </c>
      <c r="F535" s="1">
        <f>Rfi[[#This Row],[Ball In Court]]</f>
        <v>0</v>
      </c>
      <c r="G535" t="str">
        <f>Rfi[[#This Row],[State]]</f>
        <v>Closed</v>
      </c>
    </row>
    <row r="536" spans="1:7" hidden="1" x14ac:dyDescent="0.35">
      <c r="A536" t="str">
        <f>Rfi[[#This Row],[Priority]]</f>
        <v>Medium</v>
      </c>
      <c r="B536">
        <f>Rfi[[#This Row],[Number]]</f>
        <v>540</v>
      </c>
      <c r="C536" t="str">
        <f>Rfi[[#This Row],[Subject]]</f>
        <v>Font Witness Desk Electrical Box and Conduits</v>
      </c>
      <c r="D536" s="2">
        <f>Rfi[[#This Row],[Sent]]</f>
        <v>43992</v>
      </c>
      <c r="E536" s="9">
        <f ca="1">TODAY()-Table2[[#This Row],[Date Sent]]</f>
        <v>310</v>
      </c>
      <c r="F536" s="1">
        <f>Rfi[[#This Row],[Ball In Court]]</f>
        <v>0</v>
      </c>
      <c r="G536" t="str">
        <f>Rfi[[#This Row],[State]]</f>
        <v>Closed</v>
      </c>
    </row>
    <row r="537" spans="1:7" hidden="1" x14ac:dyDescent="0.35">
      <c r="A537" t="str">
        <f>Rfi[[#This Row],[Priority]]</f>
        <v>Medium</v>
      </c>
      <c r="B537">
        <f>Rfi[[#This Row],[Number]]</f>
        <v>541</v>
      </c>
      <c r="C537" t="str">
        <f>Rfi[[#This Row],[Subject]]</f>
        <v>5th floor lighting in sealing rooms</v>
      </c>
      <c r="D537" s="2">
        <f>Rfi[[#This Row],[Sent]]</f>
        <v>43992</v>
      </c>
      <c r="E537" s="2">
        <f ca="1">TODAY()-Table2[[#This Row],[Date Sent]]</f>
        <v>310</v>
      </c>
      <c r="F537" s="1">
        <f>Rfi[[#This Row],[Ball In Court]]</f>
        <v>0</v>
      </c>
      <c r="G537" t="str">
        <f>Rfi[[#This Row],[State]]</f>
        <v>Closed</v>
      </c>
    </row>
    <row r="538" spans="1:7" hidden="1" x14ac:dyDescent="0.35">
      <c r="A538" t="str">
        <f>Rfi[[#This Row],[Priority]]</f>
        <v>High</v>
      </c>
      <c r="B538">
        <f>Rfi[[#This Row],[Number]]</f>
        <v>542</v>
      </c>
      <c r="C538" t="str">
        <f>Rfi[[#This Row],[Subject]]</f>
        <v>Patron Housing Communication J Box</v>
      </c>
      <c r="D538" s="2">
        <f>Rfi[[#This Row],[Sent]]</f>
        <v>43993</v>
      </c>
      <c r="E538" s="2">
        <f ca="1">TODAY()-Table2[[#This Row],[Date Sent]]</f>
        <v>309</v>
      </c>
      <c r="F538" s="1">
        <f>Rfi[[#This Row],[Ball In Court]]</f>
        <v>0</v>
      </c>
      <c r="G538" t="str">
        <f>Rfi[[#This Row],[State]]</f>
        <v>Closed</v>
      </c>
    </row>
    <row r="539" spans="1:7" hidden="1" x14ac:dyDescent="0.35">
      <c r="A539" t="str">
        <f>Rfi[[#This Row],[Priority]]</f>
        <v>Medium</v>
      </c>
      <c r="B539">
        <f>Rfi[[#This Row],[Number]]</f>
        <v>543</v>
      </c>
      <c r="C539" t="str">
        <f>Rfi[[#This Row],[Subject]]</f>
        <v>Annex north mat footing epoxy dowels</v>
      </c>
      <c r="D539" s="2">
        <f>Rfi[[#This Row],[Sent]]</f>
        <v>43993</v>
      </c>
      <c r="E539" s="2">
        <f ca="1">TODAY()-Table2[[#This Row],[Date Sent]]</f>
        <v>309</v>
      </c>
      <c r="F539" s="1">
        <f>Rfi[[#This Row],[Ball In Court]]</f>
        <v>0</v>
      </c>
      <c r="G539" t="str">
        <f>Rfi[[#This Row],[State]]</f>
        <v>Closed</v>
      </c>
    </row>
    <row r="540" spans="1:7" hidden="1" x14ac:dyDescent="0.35">
      <c r="A540" t="str">
        <f>Rfi[[#This Row],[Priority]]</f>
        <v>Medium</v>
      </c>
      <c r="B540">
        <f>Rfi[[#This Row],[Number]]</f>
        <v>544</v>
      </c>
      <c r="C540" t="str">
        <f>Rfi[[#This Row],[Subject]]</f>
        <v>Elevator Cab Lights</v>
      </c>
      <c r="D540" s="2">
        <f>Rfi[[#This Row],[Sent]]</f>
        <v>43994</v>
      </c>
      <c r="E540" s="2">
        <f ca="1">TODAY()-Table2[[#This Row],[Date Sent]]</f>
        <v>308</v>
      </c>
      <c r="F540" s="1">
        <f>Rfi[[#This Row],[Ball In Court]]</f>
        <v>0</v>
      </c>
      <c r="G540" t="str">
        <f>Rfi[[#This Row],[State]]</f>
        <v>Closed</v>
      </c>
    </row>
    <row r="541" spans="1:7" hidden="1" x14ac:dyDescent="0.35">
      <c r="A541" t="str">
        <f>Rfi[[#This Row],[Priority]]</f>
        <v>High</v>
      </c>
      <c r="B541">
        <f>Rfi[[#This Row],[Number]]</f>
        <v>545</v>
      </c>
      <c r="C541" t="str">
        <f>Rfi[[#This Row],[Subject]]</f>
        <v>Structural Coordination West Wall Penetrations</v>
      </c>
      <c r="D541" s="2">
        <f>Rfi[[#This Row],[Sent]]</f>
        <v>43994</v>
      </c>
      <c r="E541" s="2">
        <f ca="1">TODAY()-Table2[[#This Row],[Date Sent]]</f>
        <v>308</v>
      </c>
      <c r="F541" s="1">
        <f>Rfi[[#This Row],[Ball In Court]]</f>
        <v>0</v>
      </c>
      <c r="G541" t="str">
        <f>Rfi[[#This Row],[State]]</f>
        <v>Closed</v>
      </c>
    </row>
    <row r="542" spans="1:7" hidden="1" x14ac:dyDescent="0.35">
      <c r="A542" t="str">
        <f>Rfi[[#This Row],[Priority]]</f>
        <v>Medium</v>
      </c>
      <c r="B542">
        <f>Rfi[[#This Row],[Number]]</f>
        <v>546</v>
      </c>
      <c r="C542" t="str">
        <f>Rfi[[#This Row],[Subject]]</f>
        <v>Area Well Depth - South Side Historic Building</v>
      </c>
      <c r="D542" s="2">
        <f>Rfi[[#This Row],[Sent]]</f>
        <v>43997</v>
      </c>
      <c r="E542" s="2">
        <f ca="1">TODAY()-Table2[[#This Row],[Date Sent]]</f>
        <v>305</v>
      </c>
      <c r="F542" s="1">
        <f>Rfi[[#This Row],[Ball In Court]]</f>
        <v>0</v>
      </c>
      <c r="G542" t="str">
        <f>Rfi[[#This Row],[State]]</f>
        <v>Closed</v>
      </c>
    </row>
    <row r="543" spans="1:7" hidden="1" x14ac:dyDescent="0.35">
      <c r="A543" t="str">
        <f>Rfi[[#This Row],[Priority]]</f>
        <v>High</v>
      </c>
      <c r="B543">
        <f>Rfi[[#This Row],[Number]]</f>
        <v>547</v>
      </c>
      <c r="C543" t="str">
        <f>Rfi[[#This Row],[Subject]]</f>
        <v>Civil Drawing Discrepancies - Sheet C.11 on CCD_59</v>
      </c>
      <c r="D543" s="2">
        <f>Rfi[[#This Row],[Sent]]</f>
        <v>43997</v>
      </c>
      <c r="E543" s="2">
        <f ca="1">TODAY()-Table2[[#This Row],[Date Sent]]</f>
        <v>305</v>
      </c>
      <c r="F543" s="1">
        <f>Rfi[[#This Row],[Ball In Court]]</f>
        <v>0</v>
      </c>
      <c r="G543" t="str">
        <f>Rfi[[#This Row],[State]]</f>
        <v>Closed</v>
      </c>
    </row>
    <row r="544" spans="1:7" x14ac:dyDescent="0.35">
      <c r="A544" t="str">
        <f>Rfi[[#This Row],[Priority]]</f>
        <v>Medium</v>
      </c>
      <c r="B544">
        <f>Rfi[[#This Row],[Number]]</f>
        <v>548</v>
      </c>
      <c r="C544" t="str">
        <f>Rfi[[#This Row],[Subject]]</f>
        <v>FDC Location on South Fire Lane</v>
      </c>
      <c r="D544" s="2">
        <f>Rfi[[#This Row],[Sent]]</f>
        <v>44063</v>
      </c>
      <c r="E544" s="9">
        <f ca="1">TODAY()-Table2[[#This Row],[Date Sent]]</f>
        <v>239</v>
      </c>
      <c r="F544" s="1">
        <f>Rfi[[#This Row],[Ball In Court]]</f>
        <v>0</v>
      </c>
      <c r="G544" t="str">
        <f>Rfi[[#This Row],[State]]</f>
        <v>Closed</v>
      </c>
    </row>
    <row r="545" spans="1:7" hidden="1" x14ac:dyDescent="0.35">
      <c r="A545" t="str">
        <f>Rfi[[#This Row],[Priority]]</f>
        <v>Medium</v>
      </c>
      <c r="B545">
        <f>Rfi[[#This Row],[Number]]</f>
        <v>549</v>
      </c>
      <c r="C545" t="str">
        <f>Rfi[[#This Row],[Subject]]</f>
        <v>Top of Steel Elevation</v>
      </c>
      <c r="D545" s="2">
        <f>Rfi[[#This Row],[Sent]]</f>
        <v>43998</v>
      </c>
      <c r="E545" s="2">
        <f ca="1">TODAY()-Table2[[#This Row],[Date Sent]]</f>
        <v>304</v>
      </c>
      <c r="F545" s="1">
        <f>Rfi[[#This Row],[Ball In Court]]</f>
        <v>0</v>
      </c>
      <c r="G545" t="str">
        <f>Rfi[[#This Row],[State]]</f>
        <v>Closed</v>
      </c>
    </row>
    <row r="546" spans="1:7" hidden="1" x14ac:dyDescent="0.35">
      <c r="A546" t="str">
        <f>Rfi[[#This Row],[Priority]]</f>
        <v>Medium</v>
      </c>
      <c r="B546">
        <f>Rfi[[#This Row],[Number]]</f>
        <v>550</v>
      </c>
      <c r="C546" t="str">
        <f>Rfi[[#This Row],[Subject]]</f>
        <v>Blindside Waterproofing between Hist. and Annex.</v>
      </c>
      <c r="D546" s="2">
        <f>Rfi[[#This Row],[Sent]]</f>
        <v>43998</v>
      </c>
      <c r="E546" s="2">
        <f ca="1">TODAY()-Table2[[#This Row],[Date Sent]]</f>
        <v>304</v>
      </c>
      <c r="F546" s="1">
        <f>Rfi[[#This Row],[Ball In Court]]</f>
        <v>0</v>
      </c>
      <c r="G546" t="str">
        <f>Rfi[[#This Row],[State]]</f>
        <v>Closed</v>
      </c>
    </row>
    <row r="547" spans="1:7" hidden="1" x14ac:dyDescent="0.35">
      <c r="A547" t="str">
        <f>Rfi[[#This Row],[Priority]]</f>
        <v>High</v>
      </c>
      <c r="B547">
        <f>Rfi[[#This Row],[Number]]</f>
        <v>551</v>
      </c>
      <c r="C547" t="str">
        <f>Rfi[[#This Row],[Subject]]</f>
        <v>Visitor Center Existing Main Irrigation Line</v>
      </c>
      <c r="D547" s="2">
        <f>Rfi[[#This Row],[Sent]]</f>
        <v>44043</v>
      </c>
      <c r="E547" s="9">
        <f ca="1">TODAY()-Table2[[#This Row],[Date Sent]]</f>
        <v>259</v>
      </c>
      <c r="F547" s="1">
        <f>Rfi[[#This Row],[Ball In Court]]</f>
        <v>0</v>
      </c>
      <c r="G547" t="str">
        <f>Rfi[[#This Row],[State]]</f>
        <v>Closed</v>
      </c>
    </row>
    <row r="548" spans="1:7" hidden="1" x14ac:dyDescent="0.35">
      <c r="A548" t="str">
        <f>Rfi[[#This Row],[Priority]]</f>
        <v>High</v>
      </c>
      <c r="B548">
        <f>Rfi[[#This Row],[Number]]</f>
        <v>552</v>
      </c>
      <c r="C548" t="str">
        <f>Rfi[[#This Row],[Subject]]</f>
        <v>Door Dimensions Grid A1</v>
      </c>
      <c r="D548" s="2">
        <f>Rfi[[#This Row],[Sent]]</f>
        <v>43999</v>
      </c>
      <c r="E548" s="2">
        <f ca="1">TODAY()-Table2[[#This Row],[Date Sent]]</f>
        <v>303</v>
      </c>
      <c r="F548" s="1">
        <f>Rfi[[#This Row],[Ball In Court]]</f>
        <v>0</v>
      </c>
      <c r="G548" t="str">
        <f>Rfi[[#This Row],[State]]</f>
        <v>Closed</v>
      </c>
    </row>
    <row r="549" spans="1:7" hidden="1" x14ac:dyDescent="0.35">
      <c r="A549" t="str">
        <f>Rfi[[#This Row],[Priority]]</f>
        <v>High</v>
      </c>
      <c r="B549">
        <f>Rfi[[#This Row],[Number]]</f>
        <v>553</v>
      </c>
      <c r="C549" t="str">
        <f>Rfi[[#This Row],[Subject]]</f>
        <v>North Addition - Cored Hole Locations</v>
      </c>
      <c r="D549" s="2">
        <f>Rfi[[#This Row],[Sent]]</f>
        <v>43999</v>
      </c>
      <c r="E549" s="2">
        <f ca="1">TODAY()-Table2[[#This Row],[Date Sent]]</f>
        <v>303</v>
      </c>
      <c r="F549" s="1">
        <f>Rfi[[#This Row],[Ball In Court]]</f>
        <v>0</v>
      </c>
      <c r="G549" t="str">
        <f>Rfi[[#This Row],[State]]</f>
        <v>Closed</v>
      </c>
    </row>
    <row r="550" spans="1:7" hidden="1" x14ac:dyDescent="0.35">
      <c r="A550" t="str">
        <f>Rfi[[#This Row],[Priority]]</f>
        <v>Medium</v>
      </c>
      <c r="B550">
        <f>Rfi[[#This Row],[Number]]</f>
        <v>554</v>
      </c>
      <c r="C550" t="str">
        <f>Rfi[[#This Row],[Subject]]</f>
        <v>Door Types drw AE611</v>
      </c>
      <c r="D550" s="2">
        <f>Rfi[[#This Row],[Sent]]</f>
        <v>44000</v>
      </c>
      <c r="E550" s="2">
        <f ca="1">TODAY()-Table2[[#This Row],[Date Sent]]</f>
        <v>302</v>
      </c>
      <c r="F550" s="1">
        <f>Rfi[[#This Row],[Ball In Court]]</f>
        <v>0</v>
      </c>
      <c r="G550" t="str">
        <f>Rfi[[#This Row],[State]]</f>
        <v>Closed</v>
      </c>
    </row>
    <row r="551" spans="1:7" hidden="1" x14ac:dyDescent="0.35">
      <c r="A551" t="str">
        <f>Rfi[[#This Row],[Priority]]</f>
        <v>Medium</v>
      </c>
      <c r="B551">
        <f>Rfi[[#This Row],[Number]]</f>
        <v>555</v>
      </c>
      <c r="C551" t="str">
        <f>Rfi[[#This Row],[Subject]]</f>
        <v>Door  101A and 101B door thickness</v>
      </c>
      <c r="D551" s="2">
        <f>Rfi[[#This Row],[Sent]]</f>
        <v>44000</v>
      </c>
      <c r="E551" s="2">
        <f ca="1">TODAY()-Table2[[#This Row],[Date Sent]]</f>
        <v>302</v>
      </c>
      <c r="F551" s="1">
        <f>Rfi[[#This Row],[Ball In Court]]</f>
        <v>0</v>
      </c>
      <c r="G551" t="str">
        <f>Rfi[[#This Row],[State]]</f>
        <v>Closed</v>
      </c>
    </row>
    <row r="552" spans="1:7" hidden="1" x14ac:dyDescent="0.35">
      <c r="A552" t="str">
        <f>Rfi[[#This Row],[Priority]]</f>
        <v>Medium</v>
      </c>
      <c r="B552">
        <f>Rfi[[#This Row],[Number]]</f>
        <v>556</v>
      </c>
      <c r="C552" t="str">
        <f>Rfi[[#This Row],[Subject]]</f>
        <v>Dutch door # 082 type 17</v>
      </c>
      <c r="D552" s="2">
        <f>Rfi[[#This Row],[Sent]]</f>
        <v>44000</v>
      </c>
      <c r="E552" s="2">
        <f ca="1">TODAY()-Table2[[#This Row],[Date Sent]]</f>
        <v>302</v>
      </c>
      <c r="F552" s="1">
        <f>Rfi[[#This Row],[Ball In Court]]</f>
        <v>0</v>
      </c>
      <c r="G552" t="str">
        <f>Rfi[[#This Row],[State]]</f>
        <v>Closed</v>
      </c>
    </row>
    <row r="553" spans="1:7" x14ac:dyDescent="0.35">
      <c r="A553" t="str">
        <f>Rfi[[#This Row],[Priority]]</f>
        <v>Medium</v>
      </c>
      <c r="B553">
        <f>Rfi[[#This Row],[Number]]</f>
        <v>557</v>
      </c>
      <c r="C553" t="str">
        <f>Rfi[[#This Row],[Subject]]</f>
        <v>Door handle height</v>
      </c>
      <c r="D553" s="2">
        <f>Rfi[[#This Row],[Sent]]</f>
        <v>44000</v>
      </c>
      <c r="E553" s="9">
        <f ca="1">TODAY()-Table2[[#This Row],[Date Sent]]</f>
        <v>302</v>
      </c>
      <c r="F553" s="1">
        <f>Rfi[[#This Row],[Ball In Court]]</f>
        <v>0</v>
      </c>
      <c r="G553" t="str">
        <f>Rfi[[#This Row],[State]]</f>
        <v>Closed</v>
      </c>
    </row>
    <row r="554" spans="1:7" hidden="1" x14ac:dyDescent="0.35">
      <c r="A554" t="str">
        <f>Rfi[[#This Row],[Priority]]</f>
        <v>Medium</v>
      </c>
      <c r="B554">
        <f>Rfi[[#This Row],[Number]]</f>
        <v>558</v>
      </c>
      <c r="C554" t="str">
        <f>Rfi[[#This Row],[Subject]]</f>
        <v>HVAC finish opening locations</v>
      </c>
      <c r="D554" s="2">
        <f>Rfi[[#This Row],[Sent]]</f>
        <v>44019</v>
      </c>
      <c r="E554" s="2">
        <f ca="1">TODAY()-Table2[[#This Row],[Date Sent]]</f>
        <v>283</v>
      </c>
      <c r="F554" s="1">
        <f>Rfi[[#This Row],[Ball In Court]]</f>
        <v>0</v>
      </c>
      <c r="G554" t="str">
        <f>Rfi[[#This Row],[State]]</f>
        <v>Closed</v>
      </c>
    </row>
    <row r="555" spans="1:7" hidden="1" x14ac:dyDescent="0.35">
      <c r="A555" t="str">
        <f>Rfi[[#This Row],[Priority]]</f>
        <v>High</v>
      </c>
      <c r="B555">
        <f>Rfi[[#This Row],[Number]]</f>
        <v>559</v>
      </c>
      <c r="C555" t="str">
        <f>Rfi[[#This Row],[Subject]]</f>
        <v>Hist. Basement Column Jackets</v>
      </c>
      <c r="D555" s="2">
        <f>Rfi[[#This Row],[Sent]]</f>
        <v>44005</v>
      </c>
      <c r="E555" s="2">
        <f ca="1">TODAY()-Table2[[#This Row],[Date Sent]]</f>
        <v>297</v>
      </c>
      <c r="F555" s="1">
        <f>Rfi[[#This Row],[Ball In Court]]</f>
        <v>0</v>
      </c>
      <c r="G555" t="str">
        <f>Rfi[[#This Row],[State]]</f>
        <v>Closed</v>
      </c>
    </row>
    <row r="556" spans="1:7" hidden="1" x14ac:dyDescent="0.35">
      <c r="A556" t="str">
        <f>Rfi[[#This Row],[Priority]]</f>
        <v>Medium</v>
      </c>
      <c r="B556">
        <f>Rfi[[#This Row],[Number]]</f>
        <v>560</v>
      </c>
      <c r="C556" t="str">
        <f>Rfi[[#This Row],[Subject]]</f>
        <v>4th floor recessed can locations</v>
      </c>
      <c r="D556" s="2">
        <f>Rfi[[#This Row],[Sent]]</f>
        <v>44005</v>
      </c>
      <c r="E556" s="2">
        <f ca="1">TODAY()-Table2[[#This Row],[Date Sent]]</f>
        <v>297</v>
      </c>
      <c r="F556" s="1">
        <f>Rfi[[#This Row],[Ball In Court]]</f>
        <v>0</v>
      </c>
      <c r="G556" t="str">
        <f>Rfi[[#This Row],[State]]</f>
        <v>Closed</v>
      </c>
    </row>
    <row r="557" spans="1:7" hidden="1" x14ac:dyDescent="0.35">
      <c r="A557" t="str">
        <f>Rfi[[#This Row],[Priority]]</f>
        <v>High</v>
      </c>
      <c r="B557">
        <f>Rfi[[#This Row],[Number]]</f>
        <v>561</v>
      </c>
      <c r="C557" t="str">
        <f>Rfi[[#This Row],[Subject]]</f>
        <v>Ducts Passing Through Corr. Walls</v>
      </c>
      <c r="D557" s="2">
        <f>Rfi[[#This Row],[Sent]]</f>
        <v>44005</v>
      </c>
      <c r="E557" s="2">
        <f ca="1">TODAY()-Table2[[#This Row],[Date Sent]]</f>
        <v>297</v>
      </c>
      <c r="F557" s="1">
        <f>Rfi[[#This Row],[Ball In Court]]</f>
        <v>0</v>
      </c>
      <c r="G557" t="str">
        <f>Rfi[[#This Row],[State]]</f>
        <v>Closed</v>
      </c>
    </row>
    <row r="558" spans="1:7" hidden="1" x14ac:dyDescent="0.35">
      <c r="A558" t="str">
        <f>Rfi[[#This Row],[Priority]]</f>
        <v>Medium</v>
      </c>
      <c r="B558">
        <f>Rfi[[#This Row],[Number]]</f>
        <v>562</v>
      </c>
      <c r="C558" t="str">
        <f>Rfi[[#This Row],[Subject]]</f>
        <v>New Roof Drain Cleanouts / Stormdrains</v>
      </c>
      <c r="D558" s="2">
        <f>Rfi[[#This Row],[Sent]]</f>
        <v>44005</v>
      </c>
      <c r="E558" s="2">
        <f ca="1">TODAY()-Table2[[#This Row],[Date Sent]]</f>
        <v>297</v>
      </c>
      <c r="F558" s="1">
        <f>Rfi[[#This Row],[Ball In Court]]</f>
        <v>0</v>
      </c>
      <c r="G558" t="str">
        <f>Rfi[[#This Row],[State]]</f>
        <v>Closed</v>
      </c>
    </row>
    <row r="559" spans="1:7" hidden="1" x14ac:dyDescent="0.35">
      <c r="A559" t="str">
        <f>Rfi[[#This Row],[Priority]]</f>
        <v>High</v>
      </c>
      <c r="B559">
        <f>Rfi[[#This Row],[Number]]</f>
        <v>563</v>
      </c>
      <c r="C559" t="str">
        <f>Rfi[[#This Row],[Subject]]</f>
        <v>METAL-FRAMED SKYLIGHTS COLOR SELECTION</v>
      </c>
      <c r="D559" s="2">
        <f>Rfi[[#This Row],[Sent]]</f>
        <v>44006</v>
      </c>
      <c r="E559" s="9">
        <f ca="1">TODAY()-Table2[[#This Row],[Date Sent]]</f>
        <v>296</v>
      </c>
      <c r="F559" s="1">
        <f>Rfi[[#This Row],[Ball In Court]]</f>
        <v>0</v>
      </c>
      <c r="G559" t="str">
        <f>Rfi[[#This Row],[State]]</f>
        <v>Closed</v>
      </c>
    </row>
    <row r="560" spans="1:7" hidden="1" x14ac:dyDescent="0.35">
      <c r="A560" t="str">
        <f>Rfi[[#This Row],[Priority]]</f>
        <v>Medium</v>
      </c>
      <c r="B560">
        <f>Rfi[[#This Row],[Number]]</f>
        <v>564</v>
      </c>
      <c r="C560" t="str">
        <f>Rfi[[#This Row],[Subject]]</f>
        <v>Fire alarm tie-in to mag hold opens</v>
      </c>
      <c r="D560" s="2">
        <f>Rfi[[#This Row],[Sent]]</f>
        <v>44007</v>
      </c>
      <c r="E560" s="2">
        <f ca="1">TODAY()-Table2[[#This Row],[Date Sent]]</f>
        <v>295</v>
      </c>
      <c r="F560" s="1">
        <f>Rfi[[#This Row],[Ball In Court]]</f>
        <v>0</v>
      </c>
      <c r="G560" t="str">
        <f>Rfi[[#This Row],[State]]</f>
        <v>Closed</v>
      </c>
    </row>
    <row r="561" spans="1:7" hidden="1" x14ac:dyDescent="0.35">
      <c r="A561" t="str">
        <f>Rfi[[#This Row],[Priority]]</f>
        <v>Medium</v>
      </c>
      <c r="B561">
        <f>Rfi[[#This Row],[Number]]</f>
        <v>565</v>
      </c>
      <c r="C561" t="str">
        <f>Rfi[[#This Row],[Subject]]</f>
        <v>Remove the Level 4 Vestibule Ceilings</v>
      </c>
      <c r="D561" s="2">
        <f>Rfi[[#This Row],[Sent]]</f>
        <v>44007</v>
      </c>
      <c r="E561" s="2">
        <f ca="1">TODAY()-Table2[[#This Row],[Date Sent]]</f>
        <v>295</v>
      </c>
      <c r="F561" s="1">
        <f>Rfi[[#This Row],[Ball In Court]]</f>
        <v>0</v>
      </c>
      <c r="G561" t="str">
        <f>Rfi[[#This Row],[State]]</f>
        <v>Closed</v>
      </c>
    </row>
    <row r="562" spans="1:7" hidden="1" x14ac:dyDescent="0.35">
      <c r="A562" t="str">
        <f>Rfi[[#This Row],[Priority]]</f>
        <v>High</v>
      </c>
      <c r="B562">
        <f>Rfi[[#This Row],[Number]]</f>
        <v>566</v>
      </c>
      <c r="C562" t="str">
        <f>Rfi[[#This Row],[Subject]]</f>
        <v>Levels 3 and 5 Existing Door Frames</v>
      </c>
      <c r="D562" s="2">
        <f>Rfi[[#This Row],[Sent]]</f>
        <v>44007</v>
      </c>
      <c r="E562" s="2">
        <f ca="1">TODAY()-Table2[[#This Row],[Date Sent]]</f>
        <v>295</v>
      </c>
      <c r="F562" s="1">
        <f>Rfi[[#This Row],[Ball In Court]]</f>
        <v>0</v>
      </c>
      <c r="G562" t="str">
        <f>Rfi[[#This Row],[State]]</f>
        <v>Closed</v>
      </c>
    </row>
    <row r="563" spans="1:7" hidden="1" x14ac:dyDescent="0.35">
      <c r="A563" t="str">
        <f>Rfi[[#This Row],[Priority]]</f>
        <v>High</v>
      </c>
      <c r="B563">
        <f>Rfi[[#This Row],[Number]]</f>
        <v>567</v>
      </c>
      <c r="C563" t="str">
        <f>Rfi[[#This Row],[Subject]]</f>
        <v>East Tower Elevation</v>
      </c>
      <c r="D563" s="2">
        <f>Rfi[[#This Row],[Sent]]</f>
        <v>44008</v>
      </c>
      <c r="E563" s="2">
        <f ca="1">TODAY()-Table2[[#This Row],[Date Sent]]</f>
        <v>294</v>
      </c>
      <c r="F563" s="1">
        <f>Rfi[[#This Row],[Ball In Court]]</f>
        <v>0</v>
      </c>
      <c r="G563" t="str">
        <f>Rfi[[#This Row],[State]]</f>
        <v>Closed</v>
      </c>
    </row>
    <row r="564" spans="1:7" hidden="1" x14ac:dyDescent="0.35">
      <c r="A564" t="str">
        <f>Rfi[[#This Row],[Priority]]</f>
        <v>Medium</v>
      </c>
      <c r="B564">
        <f>Rfi[[#This Row],[Number]]</f>
        <v>568</v>
      </c>
      <c r="C564" t="str">
        <f>Rfi[[#This Row],[Subject]]</f>
        <v>Preload 2nd and 4th Floors I-Beams</v>
      </c>
      <c r="D564" s="2">
        <f>Rfi[[#This Row],[Sent]]</f>
        <v>44008</v>
      </c>
      <c r="E564" s="2">
        <f ca="1">TODAY()-Table2[[#This Row],[Date Sent]]</f>
        <v>294</v>
      </c>
      <c r="F564" s="1">
        <f>Rfi[[#This Row],[Ball In Court]]</f>
        <v>0</v>
      </c>
      <c r="G564" t="str">
        <f>Rfi[[#This Row],[State]]</f>
        <v>Closed</v>
      </c>
    </row>
    <row r="565" spans="1:7" hidden="1" x14ac:dyDescent="0.35">
      <c r="A565" t="str">
        <f>Rfi[[#This Row],[Priority]]</f>
        <v>High</v>
      </c>
      <c r="B565">
        <f>Rfi[[#This Row],[Number]]</f>
        <v>569</v>
      </c>
      <c r="C565" t="str">
        <f>Rfi[[#This Row],[Subject]]</f>
        <v>East Center Room Crown Removal</v>
      </c>
      <c r="D565" s="2">
        <f>Rfi[[#This Row],[Sent]]</f>
        <v>44008</v>
      </c>
      <c r="E565" s="2">
        <f ca="1">TODAY()-Table2[[#This Row],[Date Sent]]</f>
        <v>294</v>
      </c>
      <c r="F565" s="1">
        <f>Rfi[[#This Row],[Ball In Court]]</f>
        <v>0</v>
      </c>
      <c r="G565" t="str">
        <f>Rfi[[#This Row],[State]]</f>
        <v>Closed</v>
      </c>
    </row>
    <row r="566" spans="1:7" hidden="1" x14ac:dyDescent="0.35">
      <c r="A566" t="str">
        <f>Rfi[[#This Row],[Priority]]</f>
        <v>Medium</v>
      </c>
      <c r="B566">
        <f>Rfi[[#This Row],[Number]]</f>
        <v>570</v>
      </c>
      <c r="C566" t="str">
        <f>Rfi[[#This Row],[Subject]]</f>
        <v>Larger frame breakers with LI trip units per study review</v>
      </c>
      <c r="D566" s="2">
        <f>Rfi[[#This Row],[Sent]]</f>
        <v>44011</v>
      </c>
      <c r="E566" s="2">
        <f ca="1">TODAY()-Table2[[#This Row],[Date Sent]]</f>
        <v>291</v>
      </c>
      <c r="F566" s="1">
        <f>Rfi[[#This Row],[Ball In Court]]</f>
        <v>0</v>
      </c>
      <c r="G566" t="str">
        <f>Rfi[[#This Row],[State]]</f>
        <v>Closed</v>
      </c>
    </row>
    <row r="567" spans="1:7" x14ac:dyDescent="0.35">
      <c r="A567" t="str">
        <f>Rfi[[#This Row],[Priority]]</f>
        <v>Medium</v>
      </c>
      <c r="B567">
        <f>Rfi[[#This Row],[Number]]</f>
        <v>571</v>
      </c>
      <c r="C567" t="str">
        <f>Rfi[[#This Row],[Subject]]</f>
        <v>Precast Concrete Unit Paving Response</v>
      </c>
      <c r="D567" s="2">
        <f>Rfi[[#This Row],[Sent]]</f>
        <v>44131</v>
      </c>
      <c r="E567" s="9">
        <f ca="1">TODAY()-Table2[[#This Row],[Date Sent]]</f>
        <v>171</v>
      </c>
      <c r="F567" s="1">
        <f>Rfi[[#This Row],[Ball In Court]]</f>
        <v>0</v>
      </c>
      <c r="G567" t="str">
        <f>Rfi[[#This Row],[State]]</f>
        <v>Closed</v>
      </c>
    </row>
    <row r="568" spans="1:7" hidden="1" x14ac:dyDescent="0.35">
      <c r="A568" t="str">
        <f>Rfi[[#This Row],[Priority]]</f>
        <v>Medium</v>
      </c>
      <c r="B568">
        <f>Rfi[[#This Row],[Number]]</f>
        <v>572</v>
      </c>
      <c r="C568" t="str">
        <f>Rfi[[#This Row],[Subject]]</f>
        <v>CW4 connection at temple grid AA.5</v>
      </c>
      <c r="D568" s="2">
        <f>Rfi[[#This Row],[Sent]]</f>
        <v>44012</v>
      </c>
      <c r="E568" s="2">
        <f ca="1">TODAY()-Table2[[#This Row],[Date Sent]]</f>
        <v>290</v>
      </c>
      <c r="F568" s="1">
        <f>Rfi[[#This Row],[Ball In Court]]</f>
        <v>0</v>
      </c>
      <c r="G568" t="str">
        <f>Rfi[[#This Row],[State]]</f>
        <v>Closed</v>
      </c>
    </row>
    <row r="569" spans="1:7" hidden="1" x14ac:dyDescent="0.35">
      <c r="A569" t="str">
        <f>Rfi[[#This Row],[Priority]]</f>
        <v>High</v>
      </c>
      <c r="B569">
        <f>Rfi[[#This Row],[Number]]</f>
        <v>573</v>
      </c>
      <c r="C569" t="str">
        <f>Rfi[[#This Row],[Subject]]</f>
        <v>Room 518 Ceiling Elevation</v>
      </c>
      <c r="D569" s="2">
        <f>Rfi[[#This Row],[Sent]]</f>
        <v>44012</v>
      </c>
      <c r="E569" s="2">
        <f ca="1">TODAY()-Table2[[#This Row],[Date Sent]]</f>
        <v>290</v>
      </c>
      <c r="F569" s="1">
        <f>Rfi[[#This Row],[Ball In Court]]</f>
        <v>0</v>
      </c>
      <c r="G569" t="str">
        <f>Rfi[[#This Row],[State]]</f>
        <v>Closed</v>
      </c>
    </row>
    <row r="570" spans="1:7" hidden="1" x14ac:dyDescent="0.35">
      <c r="A570" t="str">
        <f>Rfi[[#This Row],[Priority]]</f>
        <v>Medium</v>
      </c>
      <c r="B570">
        <f>Rfi[[#This Row],[Number]]</f>
        <v>574</v>
      </c>
      <c r="C570" t="str">
        <f>Rfi[[#This Row],[Subject]]</f>
        <v>Pneumatic Door Operators</v>
      </c>
      <c r="D570" s="2">
        <f>Rfi[[#This Row],[Sent]]</f>
        <v>44013</v>
      </c>
      <c r="E570" s="2">
        <f ca="1">TODAY()-Table2[[#This Row],[Date Sent]]</f>
        <v>289</v>
      </c>
      <c r="F570" s="1">
        <f>Rfi[[#This Row],[Ball In Court]]</f>
        <v>0</v>
      </c>
      <c r="G570" t="str">
        <f>Rfi[[#This Row],[State]]</f>
        <v>Closed</v>
      </c>
    </row>
    <row r="571" spans="1:7" hidden="1" x14ac:dyDescent="0.35">
      <c r="A571" t="str">
        <f>Rfi[[#This Row],[Priority]]</f>
        <v>High</v>
      </c>
      <c r="B571">
        <f>Rfi[[#This Row],[Number]]</f>
        <v>575</v>
      </c>
      <c r="C571" t="str">
        <f>Rfi[[#This Row],[Subject]]</f>
        <v>Additional Joist Hangers</v>
      </c>
      <c r="D571" s="2">
        <f>Rfi[[#This Row],[Sent]]</f>
        <v>44013</v>
      </c>
      <c r="E571" s="2">
        <f ca="1">TODAY()-Table2[[#This Row],[Date Sent]]</f>
        <v>289</v>
      </c>
      <c r="F571" s="1">
        <f>Rfi[[#This Row],[Ball In Court]]</f>
        <v>0</v>
      </c>
      <c r="G571" t="str">
        <f>Rfi[[#This Row],[State]]</f>
        <v>Closed</v>
      </c>
    </row>
    <row r="572" spans="1:7" hidden="1" x14ac:dyDescent="0.35">
      <c r="A572" t="str">
        <f>Rfi[[#This Row],[Priority]]</f>
        <v>High</v>
      </c>
      <c r="B572">
        <f>Rfi[[#This Row],[Number]]</f>
        <v>576</v>
      </c>
      <c r="C572" t="str">
        <f>Rfi[[#This Row],[Subject]]</f>
        <v>Basement Column Strong Pipe Core</v>
      </c>
      <c r="D572" s="2">
        <f>Rfi[[#This Row],[Sent]]</f>
        <v>44013</v>
      </c>
      <c r="E572" s="2">
        <f ca="1">TODAY()-Table2[[#This Row],[Date Sent]]</f>
        <v>289</v>
      </c>
      <c r="F572" s="1">
        <f>Rfi[[#This Row],[Ball In Court]]</f>
        <v>0</v>
      </c>
      <c r="G572" t="str">
        <f>Rfi[[#This Row],[State]]</f>
        <v>Closed</v>
      </c>
    </row>
    <row r="573" spans="1:7" hidden="1" x14ac:dyDescent="0.35">
      <c r="A573" t="str">
        <f>Rfi[[#This Row],[Priority]]</f>
        <v>Medium</v>
      </c>
      <c r="B573">
        <f>Rfi[[#This Row],[Number]]</f>
        <v>577</v>
      </c>
      <c r="C573" t="str">
        <f>Rfi[[#This Row],[Subject]]</f>
        <v>Stair Treads/4” Stone Under the Feature</v>
      </c>
      <c r="D573" s="2">
        <f>Rfi[[#This Row],[Sent]]</f>
        <v>44013</v>
      </c>
      <c r="E573" s="2">
        <f ca="1">TODAY()-Table2[[#This Row],[Date Sent]]</f>
        <v>289</v>
      </c>
      <c r="F573" s="1">
        <f>Rfi[[#This Row],[Ball In Court]]</f>
        <v>0</v>
      </c>
      <c r="G573" t="str">
        <f>Rfi[[#This Row],[State]]</f>
        <v>Closed</v>
      </c>
    </row>
    <row r="574" spans="1:7" hidden="1" x14ac:dyDescent="0.35">
      <c r="A574" t="str">
        <f>Rfi[[#This Row],[Priority]]</f>
        <v>Medium</v>
      </c>
      <c r="B574">
        <f>Rfi[[#This Row],[Number]]</f>
        <v>578</v>
      </c>
      <c r="C574" t="str">
        <f>Rfi[[#This Row],[Subject]]</f>
        <v>Alternative Fix for Short CMU Wall in Area 2</v>
      </c>
      <c r="D574" s="2">
        <f>Rfi[[#This Row],[Sent]]</f>
        <v>44013</v>
      </c>
      <c r="E574" s="2">
        <f ca="1">TODAY()-Table2[[#This Row],[Date Sent]]</f>
        <v>289</v>
      </c>
      <c r="F574" s="1">
        <f>Rfi[[#This Row],[Ball In Court]]</f>
        <v>0</v>
      </c>
      <c r="G574" t="str">
        <f>Rfi[[#This Row],[State]]</f>
        <v>Closed</v>
      </c>
    </row>
    <row r="575" spans="1:7" hidden="1" x14ac:dyDescent="0.35">
      <c r="A575" t="str">
        <f>Rfi[[#This Row],[Priority]]</f>
        <v>Medium</v>
      </c>
      <c r="B575">
        <f>Rfi[[#This Row],[Number]]</f>
        <v>579</v>
      </c>
      <c r="C575" t="str">
        <f>Rfi[[#This Row],[Subject]]</f>
        <v>3rd Floor Lighting in Initiatory Rooms</v>
      </c>
      <c r="D575" s="2">
        <f>Rfi[[#This Row],[Sent]]</f>
        <v>44014</v>
      </c>
      <c r="E575" s="2">
        <f ca="1">TODAY()-Table2[[#This Row],[Date Sent]]</f>
        <v>288</v>
      </c>
      <c r="F575" s="1">
        <f>Rfi[[#This Row],[Ball In Court]]</f>
        <v>0</v>
      </c>
      <c r="G575" t="str">
        <f>Rfi[[#This Row],[State]]</f>
        <v>Closed</v>
      </c>
    </row>
    <row r="576" spans="1:7" hidden="1" x14ac:dyDescent="0.35">
      <c r="A576" t="str">
        <f>Rfi[[#This Row],[Priority]]</f>
        <v>Medium</v>
      </c>
      <c r="B576">
        <f>Rfi[[#This Row],[Number]]</f>
        <v>580</v>
      </c>
      <c r="C576" t="str">
        <f>Rfi[[#This Row],[Subject]]</f>
        <v>Sevice outlets in elevator shafts</v>
      </c>
      <c r="D576" s="2">
        <f>Rfi[[#This Row],[Sent]]</f>
        <v>44014</v>
      </c>
      <c r="E576" s="2">
        <f ca="1">TODAY()-Table2[[#This Row],[Date Sent]]</f>
        <v>288</v>
      </c>
      <c r="F576" s="1">
        <f>Rfi[[#This Row],[Ball In Court]]</f>
        <v>0</v>
      </c>
      <c r="G576" t="str">
        <f>Rfi[[#This Row],[State]]</f>
        <v>Closed</v>
      </c>
    </row>
    <row r="577" spans="1:7" hidden="1" x14ac:dyDescent="0.35">
      <c r="A577" t="str">
        <f>Rfi[[#This Row],[Priority]]</f>
        <v>High</v>
      </c>
      <c r="B577">
        <f>Rfi[[#This Row],[Number]]</f>
        <v>581</v>
      </c>
      <c r="C577" t="str">
        <f>Rfi[[#This Row],[Subject]]</f>
        <v>West Steel Stair Layout</v>
      </c>
      <c r="D577" s="2">
        <f>Rfi[[#This Row],[Sent]]</f>
        <v>44014</v>
      </c>
      <c r="E577" s="2">
        <f ca="1">TODAY()-Table2[[#This Row],[Date Sent]]</f>
        <v>288</v>
      </c>
      <c r="F577" s="1">
        <f>Rfi[[#This Row],[Ball In Court]]</f>
        <v>0</v>
      </c>
      <c r="G577" t="str">
        <f>Rfi[[#This Row],[State]]</f>
        <v>Closed</v>
      </c>
    </row>
    <row r="578" spans="1:7" hidden="1" x14ac:dyDescent="0.35">
      <c r="A578" t="str">
        <f>Rfi[[#This Row],[Priority]]</f>
        <v>Medium</v>
      </c>
      <c r="B578">
        <f>Rfi[[#This Row],[Number]]</f>
        <v>582</v>
      </c>
      <c r="C578" t="str">
        <f>Rfi[[#This Row],[Subject]]</f>
        <v>Instruction Room Sink IS-1 at Room 136</v>
      </c>
      <c r="D578" s="2">
        <f>Rfi[[#This Row],[Sent]]</f>
        <v>44014</v>
      </c>
      <c r="E578" s="2">
        <f ca="1">TODAY()-Table2[[#This Row],[Date Sent]]</f>
        <v>288</v>
      </c>
      <c r="F578" s="1">
        <f>Rfi[[#This Row],[Ball In Court]]</f>
        <v>0</v>
      </c>
      <c r="G578" t="str">
        <f>Rfi[[#This Row],[State]]</f>
        <v>Closed</v>
      </c>
    </row>
    <row r="579" spans="1:7" hidden="1" x14ac:dyDescent="0.35">
      <c r="A579" t="str">
        <f>Rfi[[#This Row],[Priority]]</f>
        <v>Medium</v>
      </c>
      <c r="B579">
        <f>Rfi[[#This Row],[Number]]</f>
        <v>583</v>
      </c>
      <c r="C579" t="str">
        <f>Rfi[[#This Row],[Subject]]</f>
        <v>PR3 option C Plaster over stone</v>
      </c>
      <c r="D579" s="2">
        <f>Rfi[[#This Row],[Sent]]</f>
        <v>44014</v>
      </c>
      <c r="E579" s="2">
        <f ca="1">TODAY()-Table2[[#This Row],[Date Sent]]</f>
        <v>288</v>
      </c>
      <c r="F579" s="1">
        <f>Rfi[[#This Row],[Ball In Court]]</f>
        <v>0</v>
      </c>
      <c r="G579" t="str">
        <f>Rfi[[#This Row],[State]]</f>
        <v>Closed</v>
      </c>
    </row>
    <row r="580" spans="1:7" hidden="1" x14ac:dyDescent="0.35">
      <c r="A580" t="str">
        <f>Rfi[[#This Row],[Priority]]</f>
        <v>Medium</v>
      </c>
      <c r="B580">
        <f>Rfi[[#This Row],[Number]]</f>
        <v>584</v>
      </c>
      <c r="C580" t="str">
        <f>Rfi[[#This Row],[Subject]]</f>
        <v>Updated Lighting Layout RE: ASI_12 &amp; RFI_535</v>
      </c>
      <c r="D580" s="2">
        <f>Rfi[[#This Row],[Sent]]</f>
        <v>44014</v>
      </c>
      <c r="E580" s="9">
        <f ca="1">TODAY()-Table2[[#This Row],[Date Sent]]</f>
        <v>288</v>
      </c>
      <c r="F580" s="1">
        <f>Rfi[[#This Row],[Ball In Court]]</f>
        <v>0</v>
      </c>
      <c r="G580" t="str">
        <f>Rfi[[#This Row],[State]]</f>
        <v>Closed</v>
      </c>
    </row>
    <row r="581" spans="1:7" hidden="1" x14ac:dyDescent="0.35">
      <c r="A581" t="str">
        <f>Rfi[[#This Row],[Priority]]</f>
        <v>Medium</v>
      </c>
      <c r="B581">
        <f>Rfi[[#This Row],[Number]]</f>
        <v>585</v>
      </c>
      <c r="C581" t="str">
        <f>Rfi[[#This Row],[Subject]]</f>
        <v>Level 3 west tower-Electric Water Cooler-Chiller Accessory</v>
      </c>
      <c r="D581" s="2">
        <f>Rfi[[#This Row],[Sent]]</f>
        <v>44014</v>
      </c>
      <c r="E581" s="2">
        <f ca="1">TODAY()-Table2[[#This Row],[Date Sent]]</f>
        <v>288</v>
      </c>
      <c r="F581" s="1">
        <f>Rfi[[#This Row],[Ball In Court]]</f>
        <v>0</v>
      </c>
      <c r="G581" t="str">
        <f>Rfi[[#This Row],[State]]</f>
        <v>Closed</v>
      </c>
    </row>
    <row r="582" spans="1:7" hidden="1" x14ac:dyDescent="0.35">
      <c r="A582" t="str">
        <f>Rfi[[#This Row],[Priority]]</f>
        <v>Medium</v>
      </c>
      <c r="B582">
        <f>Rfi[[#This Row],[Number]]</f>
        <v>586</v>
      </c>
      <c r="C582" t="str">
        <f>Rfi[[#This Row],[Subject]]</f>
        <v>Waste piping serving restroom 120a</v>
      </c>
      <c r="D582" s="2">
        <f>Rfi[[#This Row],[Sent]]</f>
        <v>44014</v>
      </c>
      <c r="E582" s="2">
        <f ca="1">TODAY()-Table2[[#This Row],[Date Sent]]</f>
        <v>288</v>
      </c>
      <c r="F582" s="1">
        <f>Rfi[[#This Row],[Ball In Court]]</f>
        <v>0</v>
      </c>
      <c r="G582" t="str">
        <f>Rfi[[#This Row],[State]]</f>
        <v>Closed</v>
      </c>
    </row>
    <row r="583" spans="1:7" hidden="1" x14ac:dyDescent="0.35">
      <c r="A583" t="str">
        <f>Rfi[[#This Row],[Priority]]</f>
        <v>High</v>
      </c>
      <c r="B583">
        <f>Rfi[[#This Row],[Number]]</f>
        <v>587</v>
      </c>
      <c r="C583" t="str">
        <f>Rfi[[#This Row],[Subject]]</f>
        <v>Cooler-Freezer Slab RE: ASI_16 &amp; CCD_54.4</v>
      </c>
      <c r="D583" s="2">
        <f>Rfi[[#This Row],[Sent]]</f>
        <v>44018</v>
      </c>
      <c r="E583" s="2">
        <f ca="1">TODAY()-Table2[[#This Row],[Date Sent]]</f>
        <v>284</v>
      </c>
      <c r="F583" s="1">
        <f>Rfi[[#This Row],[Ball In Court]]</f>
        <v>0</v>
      </c>
      <c r="G583" t="str">
        <f>Rfi[[#This Row],[State]]</f>
        <v>Closed</v>
      </c>
    </row>
    <row r="584" spans="1:7" hidden="1" x14ac:dyDescent="0.35">
      <c r="A584" t="str">
        <f>Rfi[[#This Row],[Priority]]</f>
        <v>Medium</v>
      </c>
      <c r="B584">
        <f>Rfi[[#This Row],[Number]]</f>
        <v>588</v>
      </c>
      <c r="C584" t="str">
        <f>Rfi[[#This Row],[Subject]]</f>
        <v>4th Floor Lighting Layout Conflict</v>
      </c>
      <c r="D584" s="2">
        <f>Rfi[[#This Row],[Sent]]</f>
        <v>44018</v>
      </c>
      <c r="E584" s="2">
        <f ca="1">TODAY()-Table2[[#This Row],[Date Sent]]</f>
        <v>284</v>
      </c>
      <c r="F584" s="1">
        <f>Rfi[[#This Row],[Ball In Court]]</f>
        <v>0</v>
      </c>
      <c r="G584" t="str">
        <f>Rfi[[#This Row],[State]]</f>
        <v>Closed</v>
      </c>
    </row>
    <row r="585" spans="1:7" hidden="1" x14ac:dyDescent="0.35">
      <c r="A585" t="str">
        <f>Rfi[[#This Row],[Priority]]</f>
        <v>Medium</v>
      </c>
      <c r="B585">
        <f>Rfi[[#This Row],[Number]]</f>
        <v>589</v>
      </c>
      <c r="C585" t="str">
        <f>Rfi[[#This Row],[Subject]]</f>
        <v>Waste and Vent piping Annex gridline AC and A5 at beam</v>
      </c>
      <c r="D585" s="2">
        <f>Rfi[[#This Row],[Sent]]</f>
        <v>44018</v>
      </c>
      <c r="E585" s="2">
        <f ca="1">TODAY()-Table2[[#This Row],[Date Sent]]</f>
        <v>284</v>
      </c>
      <c r="F585" s="1">
        <f>Rfi[[#This Row],[Ball In Court]]</f>
        <v>0</v>
      </c>
      <c r="G585" t="str">
        <f>Rfi[[#This Row],[State]]</f>
        <v>Closed</v>
      </c>
    </row>
    <row r="586" spans="1:7" hidden="1" x14ac:dyDescent="0.35">
      <c r="A586" t="str">
        <f>Rfi[[#This Row],[Priority]]</f>
        <v>Medium</v>
      </c>
      <c r="B586">
        <f>Rfi[[#This Row],[Number]]</f>
        <v>590</v>
      </c>
      <c r="C586" t="str">
        <f>Rfi[[#This Row],[Subject]]</f>
        <v>RFI 460 Beam Seat</v>
      </c>
      <c r="D586" s="2">
        <f>Rfi[[#This Row],[Sent]]</f>
        <v>44019</v>
      </c>
      <c r="E586" s="2">
        <f ca="1">TODAY()-Table2[[#This Row],[Date Sent]]</f>
        <v>283</v>
      </c>
      <c r="F586" s="1">
        <f>Rfi[[#This Row],[Ball In Court]]</f>
        <v>0</v>
      </c>
      <c r="G586" t="str">
        <f>Rfi[[#This Row],[State]]</f>
        <v>Closed</v>
      </c>
    </row>
    <row r="587" spans="1:7" hidden="1" x14ac:dyDescent="0.35">
      <c r="A587" t="str">
        <f>Rfi[[#This Row],[Priority]]</f>
        <v>Medium</v>
      </c>
      <c r="B587">
        <f>Rfi[[#This Row],[Number]]</f>
        <v>591</v>
      </c>
      <c r="C587" t="str">
        <f>Rfi[[#This Row],[Subject]]</f>
        <v>Structural Pipe Penetrations Detail</v>
      </c>
      <c r="D587" s="2">
        <f>Rfi[[#This Row],[Sent]]</f>
        <v>44019</v>
      </c>
      <c r="E587" s="2">
        <f ca="1">TODAY()-Table2[[#This Row],[Date Sent]]</f>
        <v>283</v>
      </c>
      <c r="F587" s="1">
        <f>Rfi[[#This Row],[Ball In Court]]</f>
        <v>0</v>
      </c>
      <c r="G587" t="str">
        <f>Rfi[[#This Row],[State]]</f>
        <v>Closed</v>
      </c>
    </row>
    <row r="588" spans="1:7" hidden="1" x14ac:dyDescent="0.35">
      <c r="A588" t="str">
        <f>Rfi[[#This Row],[Priority]]</f>
        <v>Medium</v>
      </c>
      <c r="B588">
        <f>Rfi[[#This Row],[Number]]</f>
        <v>592</v>
      </c>
      <c r="C588" t="str">
        <f>Rfi[[#This Row],[Subject]]</f>
        <v>Annex Loading Dock Roof Drains</v>
      </c>
      <c r="D588" s="2">
        <f>Rfi[[#This Row],[Sent]]</f>
        <v>44019</v>
      </c>
      <c r="E588" s="2">
        <f ca="1">TODAY()-Table2[[#This Row],[Date Sent]]</f>
        <v>283</v>
      </c>
      <c r="F588" s="1">
        <f>Rfi[[#This Row],[Ball In Court]]</f>
        <v>0</v>
      </c>
      <c r="G588" t="str">
        <f>Rfi[[#This Row],[State]]</f>
        <v>Closed</v>
      </c>
    </row>
    <row r="589" spans="1:7" hidden="1" x14ac:dyDescent="0.35">
      <c r="A589" t="str">
        <f>Rfi[[#This Row],[Priority]]</f>
        <v>Medium</v>
      </c>
      <c r="B589">
        <f>Rfi[[#This Row],[Number]]</f>
        <v>593</v>
      </c>
      <c r="C589" t="str">
        <f>Rfi[[#This Row],[Subject]]</f>
        <v>Pot Irrigation LI101</v>
      </c>
      <c r="D589" s="2">
        <f>Rfi[[#This Row],[Sent]]</f>
        <v>44019</v>
      </c>
      <c r="E589" s="9">
        <f ca="1">TODAY()-Table2[[#This Row],[Date Sent]]</f>
        <v>283</v>
      </c>
      <c r="F589" s="1">
        <f>Rfi[[#This Row],[Ball In Court]]</f>
        <v>0</v>
      </c>
      <c r="G589" t="str">
        <f>Rfi[[#This Row],[State]]</f>
        <v>Closed</v>
      </c>
    </row>
    <row r="590" spans="1:7" hidden="1" x14ac:dyDescent="0.35">
      <c r="A590" t="str">
        <f>Rfi[[#This Row],[Priority]]</f>
        <v>Medium</v>
      </c>
      <c r="B590">
        <f>Rfi[[#This Row],[Number]]</f>
        <v>594</v>
      </c>
      <c r="C590" t="str">
        <f>Rfi[[#This Row],[Subject]]</f>
        <v>Needle Beam Channels &amp; Beams</v>
      </c>
      <c r="D590" s="2">
        <f>Rfi[[#This Row],[Sent]]</f>
        <v>44019</v>
      </c>
      <c r="E590" s="2">
        <f ca="1">TODAY()-Table2[[#This Row],[Date Sent]]</f>
        <v>283</v>
      </c>
      <c r="F590" s="1">
        <f>Rfi[[#This Row],[Ball In Court]]</f>
        <v>0</v>
      </c>
      <c r="G590" t="str">
        <f>Rfi[[#This Row],[State]]</f>
        <v>Closed</v>
      </c>
    </row>
    <row r="591" spans="1:7" x14ac:dyDescent="0.35">
      <c r="A591" t="str">
        <f>Rfi[[#This Row],[Priority]]</f>
        <v>Medium</v>
      </c>
      <c r="B591">
        <f>Rfi[[#This Row],[Number]]</f>
        <v>595</v>
      </c>
      <c r="C591" t="str">
        <f>Rfi[[#This Row],[Subject]]</f>
        <v>CCD 040 Flooring/Base Clarifications 1</v>
      </c>
      <c r="D591" s="2">
        <f>Rfi[[#This Row],[Sent]]</f>
        <v>44020</v>
      </c>
      <c r="E591" s="9">
        <f ca="1">TODAY()-Table2[[#This Row],[Date Sent]]</f>
        <v>282</v>
      </c>
      <c r="F591" s="1">
        <f>Rfi[[#This Row],[Ball In Court]]</f>
        <v>0</v>
      </c>
      <c r="G591" t="str">
        <f>Rfi[[#This Row],[State]]</f>
        <v>Closed</v>
      </c>
    </row>
    <row r="592" spans="1:7" x14ac:dyDescent="0.35">
      <c r="A592" t="str">
        <f>Rfi[[#This Row],[Priority]]</f>
        <v>Medium</v>
      </c>
      <c r="B592">
        <f>Rfi[[#This Row],[Number]]</f>
        <v>596</v>
      </c>
      <c r="C592" t="str">
        <f>Rfi[[#This Row],[Subject]]</f>
        <v>CCD 040 Flooring/Base Clarifications 2</v>
      </c>
      <c r="D592" s="2">
        <f>Rfi[[#This Row],[Sent]]</f>
        <v>44020</v>
      </c>
      <c r="E592" s="9">
        <f ca="1">TODAY()-Table2[[#This Row],[Date Sent]]</f>
        <v>282</v>
      </c>
      <c r="F592" s="1">
        <f>Rfi[[#This Row],[Ball In Court]]</f>
        <v>0</v>
      </c>
      <c r="G592" t="str">
        <f>Rfi[[#This Row],[State]]</f>
        <v>Closed</v>
      </c>
    </row>
    <row r="593" spans="1:7" hidden="1" x14ac:dyDescent="0.35">
      <c r="A593" t="str">
        <f>Rfi[[#This Row],[Priority]]</f>
        <v>Medium</v>
      </c>
      <c r="B593">
        <f>Rfi[[#This Row],[Number]]</f>
        <v>597</v>
      </c>
      <c r="C593" t="str">
        <f>Rfi[[#This Row],[Subject]]</f>
        <v>Door Fill in Baptistery Grids HB and H2</v>
      </c>
      <c r="D593" s="2">
        <f>Rfi[[#This Row],[Sent]]</f>
        <v>44020</v>
      </c>
      <c r="E593" s="2">
        <f ca="1">TODAY()-Table2[[#This Row],[Date Sent]]</f>
        <v>282</v>
      </c>
      <c r="F593" s="1">
        <f>Rfi[[#This Row],[Ball In Court]]</f>
        <v>0</v>
      </c>
      <c r="G593" t="str">
        <f>Rfi[[#This Row],[State]]</f>
        <v>Closed</v>
      </c>
    </row>
    <row r="594" spans="1:7" hidden="1" x14ac:dyDescent="0.35">
      <c r="A594" t="str">
        <f>Rfi[[#This Row],[Priority]]</f>
        <v>Medium</v>
      </c>
      <c r="B594">
        <f>Rfi[[#This Row],[Number]]</f>
        <v>598</v>
      </c>
      <c r="C594" t="str">
        <f>Rfi[[#This Row],[Subject]]</f>
        <v>WAP location and mounting</v>
      </c>
      <c r="D594" s="2">
        <f>Rfi[[#This Row],[Sent]]</f>
        <v>44020</v>
      </c>
      <c r="E594" s="2">
        <f ca="1">TODAY()-Table2[[#This Row],[Date Sent]]</f>
        <v>282</v>
      </c>
      <c r="F594" s="1">
        <f>Rfi[[#This Row],[Ball In Court]]</f>
        <v>0</v>
      </c>
      <c r="G594" t="str">
        <f>Rfi[[#This Row],[State]]</f>
        <v>Closed</v>
      </c>
    </row>
    <row r="595" spans="1:7" hidden="1" x14ac:dyDescent="0.35">
      <c r="A595" t="str">
        <f>Rfi[[#This Row],[Priority]]</f>
        <v>Medium</v>
      </c>
      <c r="B595">
        <f>Rfi[[#This Row],[Number]]</f>
        <v>599</v>
      </c>
      <c r="C595" t="str">
        <f>Rfi[[#This Row],[Subject]]</f>
        <v>SwitchGear MS meter</v>
      </c>
      <c r="D595" s="2">
        <f>Rfi[[#This Row],[Sent]]</f>
        <v>44020</v>
      </c>
      <c r="E595" s="2">
        <f ca="1">TODAY()-Table2[[#This Row],[Date Sent]]</f>
        <v>282</v>
      </c>
      <c r="F595" s="1">
        <f>Rfi[[#This Row],[Ball In Court]]</f>
        <v>0</v>
      </c>
      <c r="G595" t="str">
        <f>Rfi[[#This Row],[State]]</f>
        <v>Closed</v>
      </c>
    </row>
    <row r="596" spans="1:7" hidden="1" x14ac:dyDescent="0.35">
      <c r="A596" t="str">
        <f>Rfi[[#This Row],[Priority]]</f>
        <v>Medium</v>
      </c>
      <c r="B596">
        <f>Rfi[[#This Row],[Number]]</f>
        <v>600</v>
      </c>
      <c r="C596" t="str">
        <f>Rfi[[#This Row],[Subject]]</f>
        <v>NE Annex Concrete Stair Detail RE: CCD_68</v>
      </c>
      <c r="D596" s="2">
        <f>Rfi[[#This Row],[Sent]]</f>
        <v>44020</v>
      </c>
      <c r="E596" s="2">
        <f ca="1">TODAY()-Table2[[#This Row],[Date Sent]]</f>
        <v>282</v>
      </c>
      <c r="F596" s="1">
        <f>Rfi[[#This Row],[Ball In Court]]</f>
        <v>0</v>
      </c>
      <c r="G596" t="str">
        <f>Rfi[[#This Row],[State]]</f>
        <v>Closed</v>
      </c>
    </row>
    <row r="597" spans="1:7" x14ac:dyDescent="0.35">
      <c r="A597" t="str">
        <f>Rfi[[#This Row],[Priority]]</f>
        <v>High</v>
      </c>
      <c r="B597">
        <f>Rfi[[#This Row],[Number]]</f>
        <v>601</v>
      </c>
      <c r="C597" t="str">
        <f>Rfi[[#This Row],[Subject]]</f>
        <v>Landscape/Site footings detail clarification</v>
      </c>
      <c r="D597" s="2">
        <f>Rfi[[#This Row],[Sent]]</f>
        <v>44020</v>
      </c>
      <c r="E597" s="9">
        <f ca="1">TODAY()-Table2[[#This Row],[Date Sent]]</f>
        <v>282</v>
      </c>
      <c r="F597" s="1">
        <f>Rfi[[#This Row],[Ball In Court]]</f>
        <v>0</v>
      </c>
      <c r="G597" t="str">
        <f>Rfi[[#This Row],[State]]</f>
        <v>Closed</v>
      </c>
    </row>
    <row r="598" spans="1:7" hidden="1" x14ac:dyDescent="0.35">
      <c r="A598" t="str">
        <f>Rfi[[#This Row],[Priority]]</f>
        <v>Medium</v>
      </c>
      <c r="B598">
        <f>Rfi[[#This Row],[Number]]</f>
        <v>602</v>
      </c>
      <c r="C598" t="str">
        <f>Rfi[[#This Row],[Subject]]</f>
        <v>Landscaping / Mechanical</v>
      </c>
      <c r="D598" s="2">
        <f>Rfi[[#This Row],[Sent]]</f>
        <v>44042</v>
      </c>
      <c r="E598" s="9">
        <f ca="1">TODAY()-Table2[[#This Row],[Date Sent]]</f>
        <v>260</v>
      </c>
      <c r="F598" s="1">
        <f>Rfi[[#This Row],[Ball In Court]]</f>
        <v>0</v>
      </c>
      <c r="G598" t="str">
        <f>Rfi[[#This Row],[State]]</f>
        <v>Closed</v>
      </c>
    </row>
    <row r="599" spans="1:7" hidden="1" x14ac:dyDescent="0.35">
      <c r="A599" t="str">
        <f>Rfi[[#This Row],[Priority]]</f>
        <v>Medium</v>
      </c>
      <c r="B599">
        <f>Rfi[[#This Row],[Number]]</f>
        <v>603</v>
      </c>
      <c r="C599" t="str">
        <f>Rfi[[#This Row],[Subject]]</f>
        <v>Humidity and Duct Detectors</v>
      </c>
      <c r="D599" s="2">
        <f>Rfi[[#This Row],[Sent]]</f>
        <v>44021</v>
      </c>
      <c r="E599" s="9">
        <f ca="1">TODAY()-Table2[[#This Row],[Date Sent]]</f>
        <v>281</v>
      </c>
      <c r="F599" s="1">
        <f>Rfi[[#This Row],[Ball In Court]]</f>
        <v>0</v>
      </c>
      <c r="G599" t="str">
        <f>Rfi[[#This Row],[State]]</f>
        <v>Closed</v>
      </c>
    </row>
    <row r="600" spans="1:7" hidden="1" x14ac:dyDescent="0.35">
      <c r="A600" t="str">
        <f>Rfi[[#This Row],[Priority]]</f>
        <v>High</v>
      </c>
      <c r="B600">
        <f>Rfi[[#This Row],[Number]]</f>
        <v>604</v>
      </c>
      <c r="C600" t="str">
        <f>Rfi[[#This Row],[Subject]]</f>
        <v>Demo Floor Around Hist. Elevator</v>
      </c>
      <c r="D600" s="2">
        <f>Rfi[[#This Row],[Sent]]</f>
        <v>44021</v>
      </c>
      <c r="E600" s="2">
        <f ca="1">TODAY()-Table2[[#This Row],[Date Sent]]</f>
        <v>281</v>
      </c>
      <c r="F600" s="1">
        <f>Rfi[[#This Row],[Ball In Court]]</f>
        <v>0</v>
      </c>
      <c r="G600" t="str">
        <f>Rfi[[#This Row],[State]]</f>
        <v>Closed</v>
      </c>
    </row>
    <row r="601" spans="1:7" hidden="1" x14ac:dyDescent="0.35">
      <c r="A601" t="str">
        <f>Rfi[[#This Row],[Priority]]</f>
        <v>High</v>
      </c>
      <c r="B601">
        <f>Rfi[[#This Row],[Number]]</f>
        <v>605</v>
      </c>
      <c r="C601" t="str">
        <f>Rfi[[#This Row],[Subject]]</f>
        <v>Historic Stair 5</v>
      </c>
      <c r="D601" s="2">
        <f>Rfi[[#This Row],[Sent]]</f>
        <v>44021</v>
      </c>
      <c r="E601" s="2">
        <f ca="1">TODAY()-Table2[[#This Row],[Date Sent]]</f>
        <v>281</v>
      </c>
      <c r="F601" s="1">
        <f>Rfi[[#This Row],[Ball In Court]]</f>
        <v>0</v>
      </c>
      <c r="G601" t="str">
        <f>Rfi[[#This Row],[State]]</f>
        <v>Closed</v>
      </c>
    </row>
    <row r="602" spans="1:7" hidden="1" x14ac:dyDescent="0.35">
      <c r="A602" t="str">
        <f>Rfi[[#This Row],[Priority]]</f>
        <v>Medium</v>
      </c>
      <c r="B602">
        <f>Rfi[[#This Row],[Number]]</f>
        <v>606</v>
      </c>
      <c r="C602" t="str">
        <f>Rfi[[#This Row],[Subject]]</f>
        <v>PR# 4 Door types level 3 and 5</v>
      </c>
      <c r="D602" s="2">
        <f>Rfi[[#This Row],[Sent]]</f>
        <v>44022</v>
      </c>
      <c r="E602" s="2">
        <f ca="1">TODAY()-Table2[[#This Row],[Date Sent]]</f>
        <v>280</v>
      </c>
      <c r="F602" s="1">
        <f>Rfi[[#This Row],[Ball In Court]]</f>
        <v>0</v>
      </c>
      <c r="G602" t="str">
        <f>Rfi[[#This Row],[State]]</f>
        <v>Closed</v>
      </c>
    </row>
    <row r="603" spans="1:7" hidden="1" x14ac:dyDescent="0.35">
      <c r="A603" t="str">
        <f>Rfi[[#This Row],[Priority]]</f>
        <v>Medium</v>
      </c>
      <c r="B603">
        <f>Rfi[[#This Row],[Number]]</f>
        <v>607</v>
      </c>
      <c r="C603" t="str">
        <f>Rfi[[#This Row],[Subject]]</f>
        <v>Custom Tile</v>
      </c>
      <c r="D603" s="2">
        <f>Rfi[[#This Row],[Sent]]</f>
        <v>44022</v>
      </c>
      <c r="E603" s="2">
        <f ca="1">TODAY()-Table2[[#This Row],[Date Sent]]</f>
        <v>280</v>
      </c>
      <c r="F603" s="1">
        <f>Rfi[[#This Row],[Ball In Court]]</f>
        <v>0</v>
      </c>
      <c r="G603" t="str">
        <f>Rfi[[#This Row],[State]]</f>
        <v>Closed</v>
      </c>
    </row>
    <row r="604" spans="1:7" hidden="1" x14ac:dyDescent="0.35">
      <c r="A604" t="str">
        <f>Rfi[[#This Row],[Priority]]</f>
        <v>High</v>
      </c>
      <c r="B604">
        <f>Rfi[[#This Row],[Number]]</f>
        <v>608</v>
      </c>
      <c r="C604" t="str">
        <f>Rfi[[#This Row],[Subject]]</f>
        <v>Blind Side Waterproofing</v>
      </c>
      <c r="D604" s="2">
        <f>Rfi[[#This Row],[Sent]]</f>
        <v>44022</v>
      </c>
      <c r="E604" s="2">
        <f ca="1">TODAY()-Table2[[#This Row],[Date Sent]]</f>
        <v>280</v>
      </c>
      <c r="F604" s="1">
        <f>Rfi[[#This Row],[Ball In Court]]</f>
        <v>0</v>
      </c>
      <c r="G604" t="str">
        <f>Rfi[[#This Row],[State]]</f>
        <v>Closed</v>
      </c>
    </row>
    <row r="605" spans="1:7" hidden="1" x14ac:dyDescent="0.35">
      <c r="A605" t="str">
        <f>Rfi[[#This Row],[Priority]]</f>
        <v>Medium</v>
      </c>
      <c r="B605">
        <f>Rfi[[#This Row],[Number]]</f>
        <v>609</v>
      </c>
      <c r="C605" t="str">
        <f>Rfi[[#This Row],[Subject]]</f>
        <v>West tower slab elevations ASI 11 and 33</v>
      </c>
      <c r="D605" s="2">
        <f>Rfi[[#This Row],[Sent]]</f>
        <v>44025</v>
      </c>
      <c r="E605" s="2">
        <f ca="1">TODAY()-Table2[[#This Row],[Date Sent]]</f>
        <v>277</v>
      </c>
      <c r="F605" s="1">
        <f>Rfi[[#This Row],[Ball In Court]]</f>
        <v>0</v>
      </c>
      <c r="G605" t="str">
        <f>Rfi[[#This Row],[State]]</f>
        <v>Closed</v>
      </c>
    </row>
    <row r="606" spans="1:7" hidden="1" x14ac:dyDescent="0.35">
      <c r="A606" t="str">
        <f>Rfi[[#This Row],[Priority]]</f>
        <v>High</v>
      </c>
      <c r="B606">
        <f>Rfi[[#This Row],[Number]]</f>
        <v>610</v>
      </c>
      <c r="C606" t="str">
        <f>Rfi[[#This Row],[Subject]]</f>
        <v>Basement Mechanical Openings</v>
      </c>
      <c r="D606" s="2">
        <f>Rfi[[#This Row],[Sent]]</f>
        <v>44026</v>
      </c>
      <c r="E606" s="2">
        <f ca="1">TODAY()-Table2[[#This Row],[Date Sent]]</f>
        <v>276</v>
      </c>
      <c r="F606" s="1">
        <f>Rfi[[#This Row],[Ball In Court]]</f>
        <v>0</v>
      </c>
      <c r="G606" t="str">
        <f>Rfi[[#This Row],[State]]</f>
        <v>Closed</v>
      </c>
    </row>
    <row r="607" spans="1:7" x14ac:dyDescent="0.35">
      <c r="A607" t="str">
        <f>Rfi[[#This Row],[Priority]]</f>
        <v>Medium</v>
      </c>
      <c r="B607">
        <f>Rfi[[#This Row],[Number]]</f>
        <v>611</v>
      </c>
      <c r="C607" t="str">
        <f>Rfi[[#This Row],[Subject]]</f>
        <v>CCD 040 Stone and Tile Clarifications</v>
      </c>
      <c r="D607" s="2">
        <f>Rfi[[#This Row],[Sent]]</f>
        <v>44026</v>
      </c>
      <c r="E607" s="9">
        <f ca="1">TODAY()-Table2[[#This Row],[Date Sent]]</f>
        <v>276</v>
      </c>
      <c r="F607" s="1">
        <f>Rfi[[#This Row],[Ball In Court]]</f>
        <v>0</v>
      </c>
      <c r="G607" t="str">
        <f>Rfi[[#This Row],[State]]</f>
        <v>Closed</v>
      </c>
    </row>
    <row r="608" spans="1:7" x14ac:dyDescent="0.35">
      <c r="A608" t="str">
        <f>Rfi[[#This Row],[Priority]]</f>
        <v>Medium</v>
      </c>
      <c r="B608">
        <f>Rfi[[#This Row],[Number]]</f>
        <v>612</v>
      </c>
      <c r="C608" t="str">
        <f>Rfi[[#This Row],[Subject]]</f>
        <v>CCD 54.4 Stone and Tile Questions</v>
      </c>
      <c r="D608" s="2">
        <f>Rfi[[#This Row],[Sent]]</f>
        <v>44026</v>
      </c>
      <c r="E608" s="9">
        <f ca="1">TODAY()-Table2[[#This Row],[Date Sent]]</f>
        <v>276</v>
      </c>
      <c r="F608" s="1">
        <f>Rfi[[#This Row],[Ball In Court]]</f>
        <v>0</v>
      </c>
      <c r="G608" t="str">
        <f>Rfi[[#This Row],[State]]</f>
        <v>Closed</v>
      </c>
    </row>
    <row r="609" spans="1:7" hidden="1" x14ac:dyDescent="0.35">
      <c r="A609" t="str">
        <f>Rfi[[#This Row],[Priority]]</f>
        <v>Medium</v>
      </c>
      <c r="B609">
        <f>Rfi[[#This Row],[Number]]</f>
        <v>613</v>
      </c>
      <c r="C609" t="str">
        <f>Rfi[[#This Row],[Subject]]</f>
        <v>Sealant at dryer exhaust</v>
      </c>
      <c r="D609" s="2">
        <f>Rfi[[#This Row],[Sent]]</f>
        <v>44026</v>
      </c>
      <c r="E609" s="2">
        <f ca="1">TODAY()-Table2[[#This Row],[Date Sent]]</f>
        <v>276</v>
      </c>
      <c r="F609" s="1">
        <f>Rfi[[#This Row],[Ball In Court]]</f>
        <v>0</v>
      </c>
      <c r="G609" t="str">
        <f>Rfi[[#This Row],[State]]</f>
        <v>Closed</v>
      </c>
    </row>
    <row r="610" spans="1:7" hidden="1" x14ac:dyDescent="0.35">
      <c r="A610" t="str">
        <f>Rfi[[#This Row],[Priority]]</f>
        <v>Medium</v>
      </c>
      <c r="B610">
        <f>Rfi[[#This Row],[Number]]</f>
        <v>614</v>
      </c>
      <c r="C610" t="str">
        <f>Rfi[[#This Row],[Subject]]</f>
        <v>LS4C Lights in Rest Rooms</v>
      </c>
      <c r="D610" s="2">
        <f>Rfi[[#This Row],[Sent]]</f>
        <v>44027</v>
      </c>
      <c r="E610" s="2">
        <f ca="1">TODAY()-Table2[[#This Row],[Date Sent]]</f>
        <v>275</v>
      </c>
      <c r="F610" s="1">
        <f>Rfi[[#This Row],[Ball In Court]]</f>
        <v>0</v>
      </c>
      <c r="G610" t="str">
        <f>Rfi[[#This Row],[State]]</f>
        <v>Closed</v>
      </c>
    </row>
    <row r="611" spans="1:7" hidden="1" x14ac:dyDescent="0.35">
      <c r="A611" t="str">
        <f>Rfi[[#This Row],[Priority]]</f>
        <v>High</v>
      </c>
      <c r="B611">
        <f>Rfi[[#This Row],[Number]]</f>
        <v>615</v>
      </c>
      <c r="C611" t="str">
        <f>Rfi[[#This Row],[Subject]]</f>
        <v>4th Floor Ceiling North/South Wings</v>
      </c>
      <c r="D611" s="2">
        <f>Rfi[[#This Row],[Sent]]</f>
        <v>44034</v>
      </c>
      <c r="E611" s="2">
        <f ca="1">TODAY()-Table2[[#This Row],[Date Sent]]</f>
        <v>268</v>
      </c>
      <c r="F611" s="1">
        <f>Rfi[[#This Row],[Ball In Court]]</f>
        <v>0</v>
      </c>
      <c r="G611" t="str">
        <f>Rfi[[#This Row],[State]]</f>
        <v>Closed</v>
      </c>
    </row>
    <row r="612" spans="1:7" hidden="1" x14ac:dyDescent="0.35">
      <c r="A612" t="str">
        <f>Rfi[[#This Row],[Priority]]</f>
        <v>High</v>
      </c>
      <c r="B612">
        <f>Rfi[[#This Row],[Number]]</f>
        <v>616</v>
      </c>
      <c r="C612" t="str">
        <f>Rfi[[#This Row],[Subject]]</f>
        <v>Rebar Around Buttress A7 / AH</v>
      </c>
      <c r="D612" s="2">
        <f>Rfi[[#This Row],[Sent]]</f>
        <v>44034</v>
      </c>
      <c r="E612" s="2">
        <f ca="1">TODAY()-Table2[[#This Row],[Date Sent]]</f>
        <v>268</v>
      </c>
      <c r="F612" s="1">
        <f>Rfi[[#This Row],[Ball In Court]]</f>
        <v>0</v>
      </c>
      <c r="G612" t="str">
        <f>Rfi[[#This Row],[State]]</f>
        <v>Closed</v>
      </c>
    </row>
    <row r="613" spans="1:7" hidden="1" x14ac:dyDescent="0.35">
      <c r="A613" t="str">
        <f>Rfi[[#This Row],[Priority]]</f>
        <v>High</v>
      </c>
      <c r="B613">
        <f>Rfi[[#This Row],[Number]]</f>
        <v>617</v>
      </c>
      <c r="C613" t="str">
        <f>Rfi[[#This Row],[Subject]]</f>
        <v>Annex / Addition Bldg - Interior Windows Types AA &amp; BB</v>
      </c>
      <c r="D613" s="2">
        <f>Rfi[[#This Row],[Sent]]</f>
        <v>44035</v>
      </c>
      <c r="E613" s="9">
        <f ca="1">TODAY()-Table2[[#This Row],[Date Sent]]</f>
        <v>267</v>
      </c>
      <c r="F613" s="1">
        <f>Rfi[[#This Row],[Ball In Court]]</f>
        <v>0</v>
      </c>
      <c r="G613" t="str">
        <f>Rfi[[#This Row],[State]]</f>
        <v>Closed</v>
      </c>
    </row>
    <row r="614" spans="1:7" hidden="1" x14ac:dyDescent="0.35">
      <c r="A614" t="str">
        <f>Rfi[[#This Row],[Priority]]</f>
        <v>Medium</v>
      </c>
      <c r="B614">
        <f>Rfi[[#This Row],[Number]]</f>
        <v>618</v>
      </c>
      <c r="C614" t="str">
        <f>Rfi[[#This Row],[Subject]]</f>
        <v>Addition level 1 Floor Boxes</v>
      </c>
      <c r="D614" s="2">
        <f>Rfi[[#This Row],[Sent]]</f>
        <v>44039</v>
      </c>
      <c r="E614" s="2">
        <f ca="1">TODAY()-Table2[[#This Row],[Date Sent]]</f>
        <v>263</v>
      </c>
      <c r="F614" s="1">
        <f>Rfi[[#This Row],[Ball In Court]]</f>
        <v>0</v>
      </c>
      <c r="G614" t="str">
        <f>Rfi[[#This Row],[State]]</f>
        <v>Closed</v>
      </c>
    </row>
    <row r="615" spans="1:7" hidden="1" x14ac:dyDescent="0.35">
      <c r="A615" t="str">
        <f>Rfi[[#This Row],[Priority]]</f>
        <v>Medium</v>
      </c>
      <c r="B615">
        <f>Rfi[[#This Row],[Number]]</f>
        <v>619</v>
      </c>
      <c r="C615" t="str">
        <f>Rfi[[#This Row],[Subject]]</f>
        <v>Clear &amp; Grub Sod Areas</v>
      </c>
      <c r="D615" s="2">
        <f>Rfi[[#This Row],[Sent]]</f>
        <v>44040</v>
      </c>
      <c r="E615" s="9">
        <f ca="1">TODAY()-Table2[[#This Row],[Date Sent]]</f>
        <v>262</v>
      </c>
      <c r="F615" s="1">
        <f>Rfi[[#This Row],[Ball In Court]]</f>
        <v>0</v>
      </c>
      <c r="G615" t="str">
        <f>Rfi[[#This Row],[State]]</f>
        <v>Closed</v>
      </c>
    </row>
    <row r="616" spans="1:7" x14ac:dyDescent="0.35">
      <c r="A616" t="str">
        <f>Rfi[[#This Row],[Priority]]</f>
        <v>Medium</v>
      </c>
      <c r="B616">
        <f>Rfi[[#This Row],[Number]]</f>
        <v>620</v>
      </c>
      <c r="C616" t="str">
        <f>Rfi[[#This Row],[Subject]]</f>
        <v>Mainline PSI</v>
      </c>
      <c r="D616" s="2">
        <f>Rfi[[#This Row],[Sent]]</f>
        <v>44040</v>
      </c>
      <c r="E616" s="9">
        <f ca="1">TODAY()-Table2[[#This Row],[Date Sent]]</f>
        <v>262</v>
      </c>
      <c r="F616" s="1">
        <f>Rfi[[#This Row],[Ball In Court]]</f>
        <v>0</v>
      </c>
      <c r="G616" t="str">
        <f>Rfi[[#This Row],[State]]</f>
        <v>Closed</v>
      </c>
    </row>
    <row r="617" spans="1:7" hidden="1" x14ac:dyDescent="0.35">
      <c r="A617" t="str">
        <f>Rfi[[#This Row],[Priority]]</f>
        <v>High</v>
      </c>
      <c r="B617">
        <f>Rfi[[#This Row],[Number]]</f>
        <v>621</v>
      </c>
      <c r="C617" t="str">
        <f>Rfi[[#This Row],[Subject]]</f>
        <v>4th floor lighting on lower ceilings</v>
      </c>
      <c r="D617" s="2">
        <f>Rfi[[#This Row],[Sent]]</f>
        <v>44042</v>
      </c>
      <c r="E617" s="9">
        <f ca="1">TODAY()-Table2[[#This Row],[Date Sent]]</f>
        <v>260</v>
      </c>
      <c r="F617" s="1">
        <f>Rfi[[#This Row],[Ball In Court]]</f>
        <v>0</v>
      </c>
      <c r="G617" t="str">
        <f>Rfi[[#This Row],[State]]</f>
        <v>Closed</v>
      </c>
    </row>
    <row r="618" spans="1:7" hidden="1" x14ac:dyDescent="0.35">
      <c r="A618" t="str">
        <f>Rfi[[#This Row],[Priority]]</f>
        <v>Medium</v>
      </c>
      <c r="B618">
        <f>Rfi[[#This Row],[Number]]</f>
        <v>622</v>
      </c>
      <c r="C618" t="str">
        <f>Rfi[[#This Row],[Subject]]</f>
        <v>Generator Pad</v>
      </c>
      <c r="D618" s="2">
        <f>Rfi[[#This Row],[Sent]]</f>
        <v>44042</v>
      </c>
      <c r="E618" s="2">
        <f ca="1">TODAY()-Table2[[#This Row],[Date Sent]]</f>
        <v>260</v>
      </c>
      <c r="F618" s="1">
        <f>Rfi[[#This Row],[Ball In Court]]</f>
        <v>0</v>
      </c>
      <c r="G618" t="str">
        <f>Rfi[[#This Row],[State]]</f>
        <v>Closed</v>
      </c>
    </row>
    <row r="619" spans="1:7" hidden="1" x14ac:dyDescent="0.35">
      <c r="A619" t="str">
        <f>Rfi[[#This Row],[Priority]]</f>
        <v>High</v>
      </c>
      <c r="B619">
        <f>Rfi[[#This Row],[Number]]</f>
        <v>623</v>
      </c>
      <c r="C619" t="str">
        <f>Rfi[[#This Row],[Subject]]</f>
        <v>Cut Columns on North Wall of Stair</v>
      </c>
      <c r="D619" s="2">
        <f>Rfi[[#This Row],[Sent]]</f>
        <v>44048</v>
      </c>
      <c r="E619" s="2">
        <f ca="1">TODAY()-Table2[[#This Row],[Date Sent]]</f>
        <v>254</v>
      </c>
      <c r="F619" s="1">
        <f>Rfi[[#This Row],[Ball In Court]]</f>
        <v>0</v>
      </c>
      <c r="G619" t="str">
        <f>Rfi[[#This Row],[State]]</f>
        <v>Closed</v>
      </c>
    </row>
    <row r="620" spans="1:7" hidden="1" x14ac:dyDescent="0.35">
      <c r="A620" t="str">
        <f>Rfi[[#This Row],[Priority]]</f>
        <v>Medium</v>
      </c>
      <c r="B620">
        <f>Rfi[[#This Row],[Number]]</f>
        <v>624</v>
      </c>
      <c r="C620" t="str">
        <f>Rfi[[#This Row],[Subject]]</f>
        <v>LVL Spacing 2nd and 0.5 Levels</v>
      </c>
      <c r="D620" s="2">
        <f>Rfi[[#This Row],[Sent]]</f>
        <v>44048</v>
      </c>
      <c r="E620" s="2">
        <f ca="1">TODAY()-Table2[[#This Row],[Date Sent]]</f>
        <v>254</v>
      </c>
      <c r="F620" s="1">
        <f>Rfi[[#This Row],[Ball In Court]]</f>
        <v>0</v>
      </c>
      <c r="G620" t="str">
        <f>Rfi[[#This Row],[State]]</f>
        <v>Closed</v>
      </c>
    </row>
    <row r="621" spans="1:7" hidden="1" x14ac:dyDescent="0.35">
      <c r="A621" t="str">
        <f>Rfi[[#This Row],[Priority]]</f>
        <v>Medium</v>
      </c>
      <c r="B621">
        <f>Rfi[[#This Row],[Number]]</f>
        <v>625</v>
      </c>
      <c r="C621" t="str">
        <f>Rfi[[#This Row],[Subject]]</f>
        <v>2” main irrigation line in area A</v>
      </c>
      <c r="D621" s="2">
        <f>Rfi[[#This Row],[Sent]]</f>
        <v>44084</v>
      </c>
      <c r="E621" s="9">
        <f ca="1">TODAY()-Table2[[#This Row],[Date Sent]]</f>
        <v>218</v>
      </c>
      <c r="F621" s="1">
        <f>Rfi[[#This Row],[Ball In Court]]</f>
        <v>0</v>
      </c>
      <c r="G621" t="str">
        <f>Rfi[[#This Row],[State]]</f>
        <v>Closed</v>
      </c>
    </row>
    <row r="622" spans="1:7" hidden="1" x14ac:dyDescent="0.35">
      <c r="A622" t="str">
        <f>Rfi[[#This Row],[Priority]]</f>
        <v>Medium</v>
      </c>
      <c r="B622">
        <f>Rfi[[#This Row],[Number]]</f>
        <v>626</v>
      </c>
      <c r="C622" t="str">
        <f>Rfi[[#This Row],[Subject]]</f>
        <v>Sewer, Landscaper shed sewer elevation and sewer line connec</v>
      </c>
      <c r="D622" s="2">
        <f>Rfi[[#This Row],[Sent]]</f>
        <v>44043</v>
      </c>
      <c r="E622" s="9">
        <f ca="1">TODAY()-Table2[[#This Row],[Date Sent]]</f>
        <v>259</v>
      </c>
      <c r="F622" s="1">
        <f>Rfi[[#This Row],[Ball In Court]]</f>
        <v>0</v>
      </c>
      <c r="G622" t="str">
        <f>Rfi[[#This Row],[State]]</f>
        <v>Closed</v>
      </c>
    </row>
    <row r="623" spans="1:7" x14ac:dyDescent="0.35">
      <c r="A623" t="str">
        <f>Rfi[[#This Row],[Priority]]</f>
        <v>High</v>
      </c>
      <c r="B623">
        <f>Rfi[[#This Row],[Number]]</f>
        <v>627</v>
      </c>
      <c r="C623" t="str">
        <f>Rfi[[#This Row],[Subject]]</f>
        <v>CCD 040 Floor Finish Schedule</v>
      </c>
      <c r="D623" s="2">
        <f>Rfi[[#This Row],[Sent]]</f>
        <v>44043</v>
      </c>
      <c r="E623" s="9">
        <f ca="1">TODAY()-Table2[[#This Row],[Date Sent]]</f>
        <v>259</v>
      </c>
      <c r="F623" s="1">
        <f>Rfi[[#This Row],[Ball In Court]]</f>
        <v>0</v>
      </c>
      <c r="G623" t="str">
        <f>Rfi[[#This Row],[State]]</f>
        <v>Closed</v>
      </c>
    </row>
    <row r="624" spans="1:7" hidden="1" x14ac:dyDescent="0.35">
      <c r="A624" t="str">
        <f>Rfi[[#This Row],[Priority]]</f>
        <v>Medium</v>
      </c>
      <c r="B624">
        <f>Rfi[[#This Row],[Number]]</f>
        <v>628</v>
      </c>
      <c r="C624" t="str">
        <f>Rfi[[#This Row],[Subject]]</f>
        <v>Concrete sidewalk dowels needed for the 2 part pour</v>
      </c>
      <c r="D624" s="2">
        <f>Rfi[[#This Row],[Sent]]</f>
        <v>44043</v>
      </c>
      <c r="E624" s="9">
        <f ca="1">TODAY()-Table2[[#This Row],[Date Sent]]</f>
        <v>259</v>
      </c>
      <c r="F624" s="1">
        <f>Rfi[[#This Row],[Ball In Court]]</f>
        <v>0</v>
      </c>
      <c r="G624" t="str">
        <f>Rfi[[#This Row],[State]]</f>
        <v>Closed</v>
      </c>
    </row>
    <row r="625" spans="1:7" hidden="1" x14ac:dyDescent="0.35">
      <c r="A625" t="str">
        <f>Rfi[[#This Row],[Priority]]</f>
        <v>Medium</v>
      </c>
      <c r="B625">
        <f>Rfi[[#This Row],[Number]]</f>
        <v>629</v>
      </c>
      <c r="C625" t="str">
        <f>Rfi[[#This Row],[Subject]]</f>
        <v>Historic East Tower Crawl Space Slab and Penetrations</v>
      </c>
      <c r="D625" s="2">
        <f>Rfi[[#This Row],[Sent]]</f>
        <v>44043</v>
      </c>
      <c r="E625" s="9">
        <f ca="1">TODAY()-Table2[[#This Row],[Date Sent]]</f>
        <v>259</v>
      </c>
      <c r="F625" s="1">
        <f>Rfi[[#This Row],[Ball In Court]]</f>
        <v>0</v>
      </c>
      <c r="G625" t="str">
        <f>Rfi[[#This Row],[State]]</f>
        <v>Closed</v>
      </c>
    </row>
    <row r="626" spans="1:7" hidden="1" x14ac:dyDescent="0.35">
      <c r="A626" t="str">
        <f>Rfi[[#This Row],[Priority]]</f>
        <v>Medium</v>
      </c>
      <c r="B626">
        <f>Rfi[[#This Row],[Number]]</f>
        <v>630</v>
      </c>
      <c r="C626" t="str">
        <f>Rfi[[#This Row],[Subject]]</f>
        <v>Brides exit drinking fountain drain</v>
      </c>
      <c r="D626" s="2">
        <f>Rfi[[#This Row],[Sent]]</f>
        <v>44046</v>
      </c>
      <c r="E626" s="9">
        <f ca="1">TODAY()-Table2[[#This Row],[Date Sent]]</f>
        <v>256</v>
      </c>
      <c r="F626" s="1">
        <f>Rfi[[#This Row],[Ball In Court]]</f>
        <v>0</v>
      </c>
      <c r="G626" t="str">
        <f>Rfi[[#This Row],[State]]</f>
        <v>Closed</v>
      </c>
    </row>
    <row r="627" spans="1:7" hidden="1" x14ac:dyDescent="0.35">
      <c r="A627" t="str">
        <f>Rfi[[#This Row],[Priority]]</f>
        <v>Medium</v>
      </c>
      <c r="B627">
        <f>Rfi[[#This Row],[Number]]</f>
        <v>631</v>
      </c>
      <c r="C627" t="str">
        <f>Rfi[[#This Row],[Subject]]</f>
        <v>Door schedule question resulting from CCD54.4R2 revised door</v>
      </c>
      <c r="D627" s="2">
        <f>Rfi[[#This Row],[Sent]]</f>
        <v>44046</v>
      </c>
      <c r="E627" s="9">
        <f ca="1">TODAY()-Table2[[#This Row],[Date Sent]]</f>
        <v>256</v>
      </c>
      <c r="F627" s="1">
        <f>Rfi[[#This Row],[Ball In Court]]</f>
        <v>0</v>
      </c>
      <c r="G627" t="str">
        <f>Rfi[[#This Row],[State]]</f>
        <v>Closed</v>
      </c>
    </row>
    <row r="628" spans="1:7" hidden="1" x14ac:dyDescent="0.35">
      <c r="A628" t="str">
        <f>Rfi[[#This Row],[Priority]]</f>
        <v>High</v>
      </c>
      <c r="B628">
        <f>Rfi[[#This Row],[Number]]</f>
        <v>632</v>
      </c>
      <c r="C628" t="str">
        <f>Rfi[[#This Row],[Subject]]</f>
        <v>Floor Box Furniture Coordination</v>
      </c>
      <c r="D628" s="2">
        <f>Rfi[[#This Row],[Sent]]</f>
        <v>44047</v>
      </c>
      <c r="E628" s="9">
        <f ca="1">TODAY()-Table2[[#This Row],[Date Sent]]</f>
        <v>255</v>
      </c>
      <c r="F628" s="1">
        <f>Rfi[[#This Row],[Ball In Court]]</f>
        <v>0</v>
      </c>
      <c r="G628" t="str">
        <f>Rfi[[#This Row],[State]]</f>
        <v>Closed</v>
      </c>
    </row>
    <row r="629" spans="1:7" x14ac:dyDescent="0.35">
      <c r="A629" t="str">
        <f>Rfi[[#This Row],[Priority]]</f>
        <v>High</v>
      </c>
      <c r="B629">
        <f>Rfi[[#This Row],[Number]]</f>
        <v>633</v>
      </c>
      <c r="C629" t="str">
        <f>Rfi[[#This Row],[Subject]]</f>
        <v>Fabric for altars</v>
      </c>
      <c r="D629" s="2">
        <f>Rfi[[#This Row],[Sent]]</f>
        <v>44168</v>
      </c>
      <c r="E629" s="9">
        <f ca="1">TODAY()-Table2[[#This Row],[Date Sent]]</f>
        <v>134</v>
      </c>
      <c r="F629" s="1">
        <f>Rfi[[#This Row],[Ball In Court]]</f>
        <v>0</v>
      </c>
      <c r="G629" t="str">
        <f>Rfi[[#This Row],[State]]</f>
        <v>Closed</v>
      </c>
    </row>
    <row r="630" spans="1:7" hidden="1" x14ac:dyDescent="0.35">
      <c r="A630" t="str">
        <f>Rfi[[#This Row],[Priority]]</f>
        <v>Medium</v>
      </c>
      <c r="B630">
        <f>Rfi[[#This Row],[Number]]</f>
        <v>634</v>
      </c>
      <c r="C630" t="str">
        <f>Rfi[[#This Row],[Subject]]</f>
        <v>Column Top of Pier Elevation</v>
      </c>
      <c r="D630" s="2">
        <f>Rfi[[#This Row],[Sent]]</f>
        <v>44048</v>
      </c>
      <c r="E630" s="2">
        <f ca="1">TODAY()-Table2[[#This Row],[Date Sent]]</f>
        <v>254</v>
      </c>
      <c r="F630" s="1">
        <f>Rfi[[#This Row],[Ball In Court]]</f>
        <v>0</v>
      </c>
      <c r="G630" t="str">
        <f>Rfi[[#This Row],[State]]</f>
        <v>Closed</v>
      </c>
    </row>
    <row r="631" spans="1:7" x14ac:dyDescent="0.35">
      <c r="A631" t="str">
        <f>Rfi[[#This Row],[Priority]]</f>
        <v>Medium</v>
      </c>
      <c r="B631">
        <f>Rfi[[#This Row],[Number]]</f>
        <v>635</v>
      </c>
      <c r="C631" t="str">
        <f>Rfi[[#This Row],[Subject]]</f>
        <v>East Tower Dry Sprinkler system</v>
      </c>
      <c r="D631" s="2">
        <f>Rfi[[#This Row],[Sent]]</f>
        <v>44049</v>
      </c>
      <c r="E631" s="9">
        <f ca="1">TODAY()-Table2[[#This Row],[Date Sent]]</f>
        <v>253</v>
      </c>
      <c r="F631" s="1">
        <f>Rfi[[#This Row],[Ball In Court]]</f>
        <v>0</v>
      </c>
      <c r="G631" t="str">
        <f>Rfi[[#This Row],[State]]</f>
        <v>Closed</v>
      </c>
    </row>
    <row r="632" spans="1:7" x14ac:dyDescent="0.35">
      <c r="A632" t="str">
        <f>Rfi[[#This Row],[Priority]]</f>
        <v>Medium</v>
      </c>
      <c r="B632">
        <f>Rfi[[#This Row],[Number]]</f>
        <v>636</v>
      </c>
      <c r="C632" t="str">
        <f>Rfi[[#This Row],[Subject]]</f>
        <v>Flat screen rm 042</v>
      </c>
      <c r="D632" s="2">
        <f>Rfi[[#This Row],[Sent]]</f>
        <v>44049</v>
      </c>
      <c r="E632" s="9">
        <f ca="1">TODAY()-Table2[[#This Row],[Date Sent]]</f>
        <v>253</v>
      </c>
      <c r="F632" s="1">
        <f>Rfi[[#This Row],[Ball In Court]]</f>
        <v>0</v>
      </c>
      <c r="G632" t="str">
        <f>Rfi[[#This Row],[State]]</f>
        <v>Closed</v>
      </c>
    </row>
    <row r="633" spans="1:7" hidden="1" x14ac:dyDescent="0.35">
      <c r="A633" t="str">
        <f>Rfi[[#This Row],[Priority]]</f>
        <v>Medium</v>
      </c>
      <c r="B633">
        <f>Rfi[[#This Row],[Number]]</f>
        <v>637</v>
      </c>
      <c r="C633" t="str">
        <f>Rfi[[#This Row],[Subject]]</f>
        <v>AE140 - Annex Basement Dimensions</v>
      </c>
      <c r="D633" s="2">
        <f>Rfi[[#This Row],[Sent]]</f>
        <v>44049</v>
      </c>
      <c r="E633" s="2">
        <f ca="1">TODAY()-Table2[[#This Row],[Date Sent]]</f>
        <v>253</v>
      </c>
      <c r="F633" s="1">
        <f>Rfi[[#This Row],[Ball In Court]]</f>
        <v>0</v>
      </c>
      <c r="G633" t="str">
        <f>Rfi[[#This Row],[State]]</f>
        <v>Closed</v>
      </c>
    </row>
    <row r="634" spans="1:7" hidden="1" x14ac:dyDescent="0.35">
      <c r="A634" t="str">
        <f>Rfi[[#This Row],[Priority]]</f>
        <v>Medium</v>
      </c>
      <c r="B634">
        <f>Rfi[[#This Row],[Number]]</f>
        <v>638</v>
      </c>
      <c r="C634" t="str">
        <f>Rfi[[#This Row],[Subject]]</f>
        <v>Dome Ceiling Finish Thickness Inquiry</v>
      </c>
      <c r="D634" s="2">
        <f>Rfi[[#This Row],[Sent]]</f>
        <v>44049</v>
      </c>
      <c r="E634" s="2">
        <f ca="1">TODAY()-Table2[[#This Row],[Date Sent]]</f>
        <v>253</v>
      </c>
      <c r="F634" s="1">
        <f>Rfi[[#This Row],[Ball In Court]]</f>
        <v>0</v>
      </c>
      <c r="G634" t="str">
        <f>Rfi[[#This Row],[State]]</f>
        <v>Closed</v>
      </c>
    </row>
    <row r="635" spans="1:7" x14ac:dyDescent="0.35">
      <c r="A635" t="str">
        <f>Rfi[[#This Row],[Priority]]</f>
        <v>Medium</v>
      </c>
      <c r="B635">
        <f>Rfi[[#This Row],[Number]]</f>
        <v>639</v>
      </c>
      <c r="C635" t="str">
        <f>Rfi[[#This Row],[Subject]]</f>
        <v>Delete north roof drain solid pipe and correlating RDCO's</v>
      </c>
      <c r="D635" s="2">
        <f>Rfi[[#This Row],[Sent]]</f>
        <v>44050</v>
      </c>
      <c r="E635" s="9">
        <f ca="1">TODAY()-Table2[[#This Row],[Date Sent]]</f>
        <v>252</v>
      </c>
      <c r="F635" s="1">
        <f>Rfi[[#This Row],[Ball In Court]]</f>
        <v>0</v>
      </c>
      <c r="G635" t="str">
        <f>Rfi[[#This Row],[State]]</f>
        <v>Closed</v>
      </c>
    </row>
    <row r="636" spans="1:7" hidden="1" x14ac:dyDescent="0.35">
      <c r="A636" t="str">
        <f>Rfi[[#This Row],[Priority]]</f>
        <v>Medium</v>
      </c>
      <c r="B636">
        <f>Rfi[[#This Row],[Number]]</f>
        <v>640</v>
      </c>
      <c r="C636" t="str">
        <f>Rfi[[#This Row],[Subject]]</f>
        <v>roof drain for lanscaper shed</v>
      </c>
      <c r="D636" s="2">
        <f>Rfi[[#This Row],[Sent]]</f>
        <v>44050</v>
      </c>
      <c r="E636" s="9">
        <f ca="1">TODAY()-Table2[[#This Row],[Date Sent]]</f>
        <v>252</v>
      </c>
      <c r="F636" s="1">
        <f>Rfi[[#This Row],[Ball In Court]]</f>
        <v>0</v>
      </c>
      <c r="G636" t="str">
        <f>Rfi[[#This Row],[State]]</f>
        <v>Closed</v>
      </c>
    </row>
    <row r="637" spans="1:7" x14ac:dyDescent="0.35">
      <c r="A637" t="str">
        <f>Rfi[[#This Row],[Priority]]</f>
        <v>Medium</v>
      </c>
      <c r="B637">
        <f>Rfi[[#This Row],[Number]]</f>
        <v>641</v>
      </c>
      <c r="C637" t="str">
        <f>Rfi[[#This Row],[Subject]]</f>
        <v>Basement Layout</v>
      </c>
      <c r="D637" s="2">
        <f>Rfi[[#This Row],[Sent]]</f>
        <v>44147</v>
      </c>
      <c r="E637" s="9">
        <f ca="1">TODAY()-Table2[[#This Row],[Date Sent]]</f>
        <v>155</v>
      </c>
      <c r="F637" s="1">
        <f>Rfi[[#This Row],[Ball In Court]]</f>
        <v>0</v>
      </c>
      <c r="G637" t="str">
        <f>Rfi[[#This Row],[State]]</f>
        <v>Closed</v>
      </c>
    </row>
    <row r="638" spans="1:7" x14ac:dyDescent="0.35">
      <c r="A638" t="str">
        <f>Rfi[[#This Row],[Priority]]</f>
        <v>High</v>
      </c>
      <c r="B638">
        <f>Rfi[[#This Row],[Number]]</f>
        <v>642</v>
      </c>
      <c r="C638" t="str">
        <f>Rfi[[#This Row],[Subject]]</f>
        <v>Fire protection site supply line.</v>
      </c>
      <c r="D638" s="2">
        <f>Rfi[[#This Row],[Sent]]</f>
        <v>44051</v>
      </c>
      <c r="E638" s="9">
        <f ca="1">TODAY()-Table2[[#This Row],[Date Sent]]</f>
        <v>251</v>
      </c>
      <c r="F638" s="1">
        <f>Rfi[[#This Row],[Ball In Court]]</f>
        <v>0</v>
      </c>
      <c r="G638" t="str">
        <f>Rfi[[#This Row],[State]]</f>
        <v>Closed</v>
      </c>
    </row>
    <row r="639" spans="1:7" hidden="1" x14ac:dyDescent="0.35">
      <c r="A639" t="str">
        <f>Rfi[[#This Row],[Priority]]</f>
        <v>High</v>
      </c>
      <c r="B639">
        <f>Rfi[[#This Row],[Number]]</f>
        <v>643</v>
      </c>
      <c r="C639" t="str">
        <f>Rfi[[#This Row],[Subject]]</f>
        <v>Historic jacket wall epoxy dowel spacing clarification</v>
      </c>
      <c r="D639" s="2">
        <f>Rfi[[#This Row],[Sent]]</f>
        <v>44053</v>
      </c>
      <c r="E639" s="2">
        <f ca="1">TODAY()-Table2[[#This Row],[Date Sent]]</f>
        <v>249</v>
      </c>
      <c r="F639" s="1">
        <f>Rfi[[#This Row],[Ball In Court]]</f>
        <v>0</v>
      </c>
      <c r="G639" t="str">
        <f>Rfi[[#This Row],[State]]</f>
        <v>Closed</v>
      </c>
    </row>
    <row r="640" spans="1:7" x14ac:dyDescent="0.35">
      <c r="A640" t="str">
        <f>Rfi[[#This Row],[Priority]]</f>
        <v>High</v>
      </c>
      <c r="B640">
        <f>Rfi[[#This Row],[Number]]</f>
        <v>644</v>
      </c>
      <c r="C640" t="str">
        <f>Rfi[[#This Row],[Subject]]</f>
        <v>Stair 1 Floor Finish Details</v>
      </c>
      <c r="D640" s="2">
        <f>Rfi[[#This Row],[Sent]]</f>
        <v>44054</v>
      </c>
      <c r="E640" s="9">
        <f ca="1">TODAY()-Table2[[#This Row],[Date Sent]]</f>
        <v>248</v>
      </c>
      <c r="F640" s="1">
        <f>Rfi[[#This Row],[Ball In Court]]</f>
        <v>0</v>
      </c>
      <c r="G640" t="str">
        <f>Rfi[[#This Row],[State]]</f>
        <v>Closed</v>
      </c>
    </row>
    <row r="641" spans="1:7" hidden="1" x14ac:dyDescent="0.35">
      <c r="A641" t="str">
        <f>Rfi[[#This Row],[Priority]]</f>
        <v>High</v>
      </c>
      <c r="B641">
        <f>Rfi[[#This Row],[Number]]</f>
        <v>645</v>
      </c>
      <c r="C641" t="str">
        <f>Rfi[[#This Row],[Subject]]</f>
        <v>Annex High Entrance Roof Steel</v>
      </c>
      <c r="D641" s="2">
        <f>Rfi[[#This Row],[Sent]]</f>
        <v>44054</v>
      </c>
      <c r="E641" s="9">
        <f ca="1">TODAY()-Table2[[#This Row],[Date Sent]]</f>
        <v>248</v>
      </c>
      <c r="F641" s="1">
        <f>Rfi[[#This Row],[Ball In Court]]</f>
        <v>0</v>
      </c>
      <c r="G641" t="str">
        <f>Rfi[[#This Row],[State]]</f>
        <v>Closed</v>
      </c>
    </row>
    <row r="642" spans="1:7" hidden="1" x14ac:dyDescent="0.35">
      <c r="A642" t="str">
        <f>Rfi[[#This Row],[Priority]]</f>
        <v>High</v>
      </c>
      <c r="B642">
        <f>Rfi[[#This Row],[Number]]</f>
        <v>646</v>
      </c>
      <c r="C642" t="str">
        <f>Rfi[[#This Row],[Subject]]</f>
        <v>Can Location in Ceiling of 3rd Level East Room</v>
      </c>
      <c r="D642" s="2">
        <f>Rfi[[#This Row],[Sent]]</f>
        <v>44054</v>
      </c>
      <c r="E642" s="2">
        <f ca="1">TODAY()-Table2[[#This Row],[Date Sent]]</f>
        <v>248</v>
      </c>
      <c r="F642" s="1">
        <f>Rfi[[#This Row],[Ball In Court]]</f>
        <v>0</v>
      </c>
      <c r="G642" t="str">
        <f>Rfi[[#This Row],[State]]</f>
        <v>Closed</v>
      </c>
    </row>
    <row r="643" spans="1:7" hidden="1" x14ac:dyDescent="0.35">
      <c r="A643" t="str">
        <f>Rfi[[#This Row],[Priority]]</f>
        <v>Medium</v>
      </c>
      <c r="B643">
        <f>Rfi[[#This Row],[Number]]</f>
        <v>647</v>
      </c>
      <c r="C643" t="str">
        <f>Rfi[[#This Row],[Subject]]</f>
        <v>Duct vs. Structural Pier at Basement Historic</v>
      </c>
      <c r="D643" s="2">
        <f>Rfi[[#This Row],[Sent]]</f>
        <v>44054</v>
      </c>
      <c r="E643" s="9">
        <f ca="1">TODAY()-Table2[[#This Row],[Date Sent]]</f>
        <v>248</v>
      </c>
      <c r="F643" s="1">
        <f>Rfi[[#This Row],[Ball In Court]]</f>
        <v>0</v>
      </c>
      <c r="G643" t="str">
        <f>Rfi[[#This Row],[State]]</f>
        <v>Closed</v>
      </c>
    </row>
    <row r="644" spans="1:7" x14ac:dyDescent="0.35">
      <c r="A644" t="str">
        <f>Rfi[[#This Row],[Priority]]</f>
        <v>Medium</v>
      </c>
      <c r="B644">
        <f>Rfi[[#This Row],[Number]]</f>
        <v>648</v>
      </c>
      <c r="C644" t="str">
        <f>Rfi[[#This Row],[Subject]]</f>
        <v>Fire Rated assemblies at Level 1 Annex</v>
      </c>
      <c r="D644" s="2">
        <f>Rfi[[#This Row],[Sent]]</f>
        <v>44054</v>
      </c>
      <c r="E644" s="9">
        <f ca="1">TODAY()-Table2[[#This Row],[Date Sent]]</f>
        <v>248</v>
      </c>
      <c r="F644" s="1">
        <f>Rfi[[#This Row],[Ball In Court]]</f>
        <v>0</v>
      </c>
      <c r="G644" t="str">
        <f>Rfi[[#This Row],[State]]</f>
        <v>Closed</v>
      </c>
    </row>
    <row r="645" spans="1:7" hidden="1" x14ac:dyDescent="0.35">
      <c r="A645" t="str">
        <f>Rfi[[#This Row],[Priority]]</f>
        <v>High</v>
      </c>
      <c r="B645">
        <f>Rfi[[#This Row],[Number]]</f>
        <v>649</v>
      </c>
      <c r="C645" t="str">
        <f>Rfi[[#This Row],[Subject]]</f>
        <v>Annex Wall Heights</v>
      </c>
      <c r="D645" s="2">
        <f>Rfi[[#This Row],[Sent]]</f>
        <v>44055</v>
      </c>
      <c r="E645" s="2">
        <f ca="1">TODAY()-Table2[[#This Row],[Date Sent]]</f>
        <v>247</v>
      </c>
      <c r="F645" s="1">
        <f>Rfi[[#This Row],[Ball In Court]]</f>
        <v>0</v>
      </c>
      <c r="G645" t="str">
        <f>Rfi[[#This Row],[State]]</f>
        <v>Closed</v>
      </c>
    </row>
    <row r="646" spans="1:7" hidden="1" x14ac:dyDescent="0.35">
      <c r="A646" t="str">
        <f>Rfi[[#This Row],[Priority]]</f>
        <v>Medium</v>
      </c>
      <c r="B646">
        <f>Rfi[[#This Row],[Number]]</f>
        <v>650</v>
      </c>
      <c r="C646" t="str">
        <f>Rfi[[#This Row],[Subject]]</f>
        <v>Area Wells at Annex</v>
      </c>
      <c r="D646" s="2">
        <f>Rfi[[#This Row],[Sent]]</f>
        <v>44055</v>
      </c>
      <c r="E646" s="9">
        <f ca="1">TODAY()-Table2[[#This Row],[Date Sent]]</f>
        <v>247</v>
      </c>
      <c r="F646" s="1">
        <f>Rfi[[#This Row],[Ball In Court]]</f>
        <v>0</v>
      </c>
      <c r="G646" t="str">
        <f>Rfi[[#This Row],[State]]</f>
        <v>Closed</v>
      </c>
    </row>
    <row r="647" spans="1:7" x14ac:dyDescent="0.35">
      <c r="A647" t="str">
        <f>Rfi[[#This Row],[Priority]]</f>
        <v>Medium</v>
      </c>
      <c r="B647">
        <f>Rfi[[#This Row],[Number]]</f>
        <v>651</v>
      </c>
      <c r="C647" t="str">
        <f>Rfi[[#This Row],[Subject]]</f>
        <v>Data Rm. 039 power</v>
      </c>
      <c r="D647" s="2">
        <f>Rfi[[#This Row],[Sent]]</f>
        <v>44055</v>
      </c>
      <c r="E647" s="9">
        <f ca="1">TODAY()-Table2[[#This Row],[Date Sent]]</f>
        <v>247</v>
      </c>
      <c r="F647" s="1">
        <f>Rfi[[#This Row],[Ball In Court]]</f>
        <v>0</v>
      </c>
      <c r="G647" t="str">
        <f>Rfi[[#This Row],[State]]</f>
        <v>Closed</v>
      </c>
    </row>
    <row r="648" spans="1:7" hidden="1" x14ac:dyDescent="0.35">
      <c r="A648" t="str">
        <f>Rfi[[#This Row],[Priority]]</f>
        <v>Medium</v>
      </c>
      <c r="B648">
        <f>Rfi[[#This Row],[Number]]</f>
        <v>652</v>
      </c>
      <c r="C648" t="str">
        <f>Rfi[[#This Row],[Subject]]</f>
        <v>1” Electrical Lines Ran Through I Beam</v>
      </c>
      <c r="D648" s="2">
        <f>Rfi[[#This Row],[Sent]]</f>
        <v>44055</v>
      </c>
      <c r="E648" s="9">
        <f ca="1">TODAY()-Table2[[#This Row],[Date Sent]]</f>
        <v>247</v>
      </c>
      <c r="F648" s="1">
        <f>Rfi[[#This Row],[Ball In Court]]</f>
        <v>0</v>
      </c>
      <c r="G648" t="str">
        <f>Rfi[[#This Row],[State]]</f>
        <v>Closed</v>
      </c>
    </row>
    <row r="649" spans="1:7" hidden="1" x14ac:dyDescent="0.35">
      <c r="A649" t="str">
        <f>Rfi[[#This Row],[Priority]]</f>
        <v>Medium</v>
      </c>
      <c r="B649">
        <f>Rfi[[#This Row],[Number]]</f>
        <v>653</v>
      </c>
      <c r="C649" t="str">
        <f>Rfi[[#This Row],[Subject]]</f>
        <v>Basement Gravel Base Under Slab</v>
      </c>
      <c r="D649" s="2">
        <f>Rfi[[#This Row],[Sent]]</f>
        <v>44055</v>
      </c>
      <c r="E649" s="9">
        <f ca="1">TODAY()-Table2[[#This Row],[Date Sent]]</f>
        <v>247</v>
      </c>
      <c r="F649" s="1">
        <f>Rfi[[#This Row],[Ball In Court]]</f>
        <v>0</v>
      </c>
      <c r="G649" t="str">
        <f>Rfi[[#This Row],[State]]</f>
        <v>Closed</v>
      </c>
    </row>
  </sheetData>
  <phoneticPr fontId="1" type="noConversion"/>
  <pageMargins left="0.25" right="0.25" top="0.75" bottom="0.75" header="0.3" footer="0.3"/>
  <pageSetup scale="65" fitToHeight="0" orientation="portrait" r:id="rId1"/>
  <headerFooter>
    <oddHeader>&amp;C&amp;18SGUT Major Renovation 2019 - RFI Log &amp;D</oddHead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A1"/>
  <sheetViews>
    <sheetView workbookViewId="0">
      <selection activeCell="H18" sqref="H18"/>
    </sheetView>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97814-B25A-4B86-9647-49131000972A}">
  <sheetPr codeName="Sheet4"/>
  <dimension ref="A1"/>
  <sheetViews>
    <sheetView workbookViewId="0">
      <selection activeCell="H20" sqref="H2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58D2712-1D2B-44CB-95B8-044457EF94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Import</vt:lpstr>
      <vt:lpstr>Monthly Report</vt:lpstr>
      <vt:lpstr>Sheet1</vt:lpstr>
      <vt:lpstr>OAC Log</vt:lpstr>
      <vt:lpstr>Posting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2020-08-27T15:19:23Z</cp:lastPrinted>
  <dcterms:created xsi:type="dcterms:W3CDTF">2019-04-09T17:53:55Z</dcterms:created>
  <dcterms:modified xsi:type="dcterms:W3CDTF">2021-04-17T01:04:39Z</dcterms:modified>
</cp:coreProperties>
</file>